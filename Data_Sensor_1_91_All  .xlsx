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 Nabil\Dropbox\PC\Downloads\"/>
    </mc:Choice>
  </mc:AlternateContent>
  <xr:revisionPtr revIDLastSave="0" documentId="13_ncr:1_{FFE0A3C6-EBC2-4B45-8367-EC563987A258}" xr6:coauthVersionLast="47" xr6:coauthVersionMax="47" xr10:uidLastSave="{00000000-0000-0000-0000-000000000000}"/>
  <bookViews>
    <workbookView xWindow="-25800" yWindow="4320" windowWidth="17280" windowHeight="9420" xr2:uid="{9074DAF2-A03E-4058-AD68-8187B7C2C12B}"/>
  </bookViews>
  <sheets>
    <sheet name="Data_All" sheetId="1" r:id="rId1"/>
    <sheet name="Data_Tekstur" sheetId="9" r:id="rId2"/>
    <sheet name="Data_Cocok_Produktivitas" sheetId="10" r:id="rId3"/>
    <sheet name="Data_NPK_Lab_100" sheetId="11" r:id="rId4"/>
    <sheet name="Data_All_TempTime" sheetId="7" r:id="rId5"/>
    <sheet name="Train" sheetId="2" r:id="rId6"/>
    <sheet name="VALIDATE" sheetId="4" r:id="rId7"/>
    <sheet name="Test" sheetId="3" r:id="rId8"/>
    <sheet name="Train_Aug_Kesesuaian" sheetId="5" r:id="rId9"/>
    <sheet name="Train_Aug_Produktivitas" sheetId="6" r:id="rId10"/>
  </sheets>
  <definedNames>
    <definedName name="_xlnm._FilterDatabase" localSheetId="9" hidden="1">Train_Aug_Produktivitas!$J$1:$J$1772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3" i="1"/>
  <c r="V6" i="7"/>
  <c r="Y6" i="7" s="1"/>
  <c r="X4" i="7"/>
  <c r="S4" i="7"/>
  <c r="Y4" i="7" s="1"/>
  <c r="V4" i="7"/>
  <c r="V16" i="7"/>
  <c r="Y16" i="7" s="1"/>
  <c r="V14" i="7"/>
  <c r="Y14" i="7" s="1"/>
  <c r="V12" i="7"/>
  <c r="Y12" i="7" s="1"/>
  <c r="V8" i="7"/>
  <c r="X16" i="7"/>
  <c r="X14" i="7"/>
  <c r="X12" i="7"/>
  <c r="Y8" i="7"/>
  <c r="X8" i="7"/>
  <c r="S16" i="7"/>
  <c r="S14" i="7"/>
  <c r="S12" i="7"/>
  <c r="S8" i="7"/>
  <c r="S6" i="7"/>
  <c r="P5" i="2"/>
  <c r="P8" i="2" s="1"/>
  <c r="O184" i="7"/>
  <c r="O183" i="7"/>
  <c r="O182" i="7"/>
  <c r="O181" i="7"/>
  <c r="O179" i="7"/>
  <c r="O177" i="7"/>
  <c r="O173" i="7"/>
  <c r="O171" i="7"/>
  <c r="O169" i="7"/>
  <c r="O167" i="7"/>
  <c r="O165" i="7"/>
  <c r="O163" i="7"/>
  <c r="O157" i="7"/>
  <c r="O153" i="7"/>
  <c r="O149" i="7"/>
  <c r="O147" i="7"/>
  <c r="O145" i="7"/>
  <c r="O143" i="7"/>
  <c r="O141" i="7"/>
  <c r="O139" i="7"/>
  <c r="O138" i="7"/>
  <c r="O137" i="7"/>
  <c r="O133" i="7"/>
  <c r="O129" i="7"/>
  <c r="O127" i="7"/>
  <c r="O125" i="7"/>
  <c r="O123" i="7"/>
  <c r="O119" i="7"/>
  <c r="O115" i="7"/>
  <c r="O113" i="7"/>
  <c r="O111" i="7"/>
  <c r="O109" i="7"/>
  <c r="O107" i="7"/>
  <c r="O105" i="7"/>
  <c r="O103" i="7"/>
  <c r="O101" i="7"/>
  <c r="O99" i="7"/>
  <c r="O97" i="7"/>
  <c r="O95" i="7"/>
  <c r="O93" i="7"/>
  <c r="O91" i="7"/>
  <c r="O89" i="7"/>
  <c r="O85" i="7"/>
  <c r="O81" i="7"/>
  <c r="O77" i="7"/>
  <c r="O75" i="7"/>
  <c r="O73" i="7"/>
  <c r="O71" i="7"/>
  <c r="O67" i="7"/>
  <c r="O65" i="7"/>
  <c r="O63" i="7"/>
  <c r="O55" i="7"/>
  <c r="O53" i="7"/>
  <c r="O51" i="7"/>
  <c r="O49" i="7"/>
  <c r="O47" i="7"/>
  <c r="O45" i="7"/>
  <c r="O41" i="7"/>
  <c r="O37" i="7"/>
  <c r="O33" i="7"/>
  <c r="O29" i="7"/>
  <c r="O25" i="7"/>
  <c r="O21" i="7"/>
  <c r="O17" i="7"/>
  <c r="O15" i="7"/>
  <c r="O13" i="7"/>
  <c r="O11" i="7"/>
  <c r="O3" i="7"/>
  <c r="O7" i="7"/>
  <c r="R6" i="5"/>
  <c r="R5" i="5"/>
  <c r="R4" i="5"/>
  <c r="R3" i="5"/>
  <c r="P6" i="5"/>
  <c r="P5" i="5"/>
  <c r="P4" i="5"/>
  <c r="P3" i="5"/>
  <c r="P7" i="2"/>
  <c r="P6" i="2"/>
  <c r="X6" i="7" l="1"/>
</calcChain>
</file>

<file path=xl/sharedStrings.xml><?xml version="1.0" encoding="utf-8"?>
<sst xmlns="http://schemas.openxmlformats.org/spreadsheetml/2006/main" count="16455" uniqueCount="108">
  <si>
    <t>EC_S1</t>
  </si>
  <si>
    <t>N_S1</t>
  </si>
  <si>
    <t>P_S1</t>
  </si>
  <si>
    <t>K_S1</t>
  </si>
  <si>
    <t>PH_S1</t>
  </si>
  <si>
    <t>Moist_S1</t>
  </si>
  <si>
    <t>Temp_D_S1</t>
  </si>
  <si>
    <t>Temp_L</t>
  </si>
  <si>
    <t>Elevasi</t>
  </si>
  <si>
    <t>Kecocokan</t>
  </si>
  <si>
    <t>Produktivitas</t>
  </si>
  <si>
    <t>Cocok</t>
  </si>
  <si>
    <t>Netral</t>
  </si>
  <si>
    <t>Tidak Cocok</t>
  </si>
  <si>
    <t>Kabupaten</t>
  </si>
  <si>
    <t>Banjarnegara</t>
  </si>
  <si>
    <t>Wonosobo</t>
  </si>
  <si>
    <t>Temanggung</t>
  </si>
  <si>
    <t>Pasuruan</t>
  </si>
  <si>
    <t>Probolinggo</t>
  </si>
  <si>
    <t>Malang</t>
  </si>
  <si>
    <t>Batu</t>
  </si>
  <si>
    <t>Bandung</t>
  </si>
  <si>
    <t>Bandung Barat</t>
  </si>
  <si>
    <t>Garut</t>
  </si>
  <si>
    <t>Tasikmalaya</t>
  </si>
  <si>
    <t>Bantul</t>
  </si>
  <si>
    <t>Magelang</t>
  </si>
  <si>
    <t>EKSPERIMEN</t>
  </si>
  <si>
    <t>Desa</t>
  </si>
  <si>
    <t>Karangtengah</t>
  </si>
  <si>
    <t>Bakal</t>
  </si>
  <si>
    <t>Sumberejo</t>
  </si>
  <si>
    <t>Kepakisan</t>
  </si>
  <si>
    <t>Dieng Kulon</t>
  </si>
  <si>
    <t>Surengede</t>
  </si>
  <si>
    <t>Sikunang</t>
  </si>
  <si>
    <t>Patakbanteng</t>
  </si>
  <si>
    <t>Tieng</t>
  </si>
  <si>
    <t>Kledung</t>
  </si>
  <si>
    <t>Wonokitri</t>
  </si>
  <si>
    <t>Podokoyo</t>
  </si>
  <si>
    <t>Tosari</t>
  </si>
  <si>
    <t>Ngadiwono</t>
  </si>
  <si>
    <t>Ngadas</t>
  </si>
  <si>
    <t>Ngadisari</t>
  </si>
  <si>
    <t>Wonokerto</t>
  </si>
  <si>
    <t>Sapikerep</t>
  </si>
  <si>
    <t>Pandansari</t>
  </si>
  <si>
    <t>Wringinanom</t>
  </si>
  <si>
    <t>Ngantru</t>
  </si>
  <si>
    <t>Pudjon Kidul</t>
  </si>
  <si>
    <t>Sumber Brantas</t>
  </si>
  <si>
    <t>Margamukti</t>
  </si>
  <si>
    <t>Sukamanah</t>
  </si>
  <si>
    <t>Cibeet</t>
  </si>
  <si>
    <t>Cikole</t>
  </si>
  <si>
    <t>Simpang</t>
  </si>
  <si>
    <t>Margamulya</t>
  </si>
  <si>
    <t>Sukawargi</t>
  </si>
  <si>
    <t>Cikandang</t>
  </si>
  <si>
    <t>Karya Mekar</t>
  </si>
  <si>
    <t>Linggarjati</t>
  </si>
  <si>
    <t xml:space="preserve">Parangtritis </t>
  </si>
  <si>
    <t>Bangunroto</t>
  </si>
  <si>
    <t>Sumber_Data</t>
  </si>
  <si>
    <t>Augmented</t>
  </si>
  <si>
    <t>Asli</t>
  </si>
  <si>
    <t>Kesesuaian</t>
  </si>
  <si>
    <t>SMOTE</t>
  </si>
  <si>
    <t>PAGI</t>
  </si>
  <si>
    <t>SIANG</t>
  </si>
  <si>
    <t>SORE</t>
  </si>
  <si>
    <t>Temp_D_rata2</t>
  </si>
  <si>
    <t xml:space="preserve">  </t>
  </si>
  <si>
    <t>Rata-Rata_Pagi</t>
  </si>
  <si>
    <t>Rata-Rata_Siang</t>
  </si>
  <si>
    <t>Rata-Rata_Sore</t>
  </si>
  <si>
    <t>Temp_D</t>
  </si>
  <si>
    <t>SD_Pagi</t>
  </si>
  <si>
    <t>SD_Siang</t>
  </si>
  <si>
    <t>SD_Sore</t>
  </si>
  <si>
    <t>Data Produktivitas BPS</t>
  </si>
  <si>
    <t>-</t>
  </si>
  <si>
    <t>untuk desa bangunroto belum ada data</t>
  </si>
  <si>
    <t>min</t>
  </si>
  <si>
    <t>max</t>
  </si>
  <si>
    <t>Jenis_Tanah</t>
  </si>
  <si>
    <t>Lempung</t>
  </si>
  <si>
    <t>Lempung Berliat</t>
  </si>
  <si>
    <t>Lempung Berliat/Lempung Liat Berpasir</t>
  </si>
  <si>
    <t>Lempung Liat/Lempung Liat Berpasir</t>
  </si>
  <si>
    <t>Lempung Liat Berpasir</t>
  </si>
  <si>
    <t>Liat</t>
  </si>
  <si>
    <t>Lempung Berpasir</t>
  </si>
  <si>
    <t>Liat/Lempung Berliat</t>
  </si>
  <si>
    <t>Pasir Berlempung</t>
  </si>
  <si>
    <t xml:space="preserve">Lempung </t>
  </si>
  <si>
    <t>Lempung/Lempung Berpasir</t>
  </si>
  <si>
    <t>Lempung Berdebu</t>
  </si>
  <si>
    <t>Lempung Berliat/Lempung</t>
  </si>
  <si>
    <t>Pasir Berlempung/Lempung Berpasir</t>
  </si>
  <si>
    <t>N_Lab</t>
  </si>
  <si>
    <t>P_tersedia</t>
  </si>
  <si>
    <t>K_tersedia</t>
  </si>
  <si>
    <t>Sesuai</t>
  </si>
  <si>
    <t>Tidak Sesuai</t>
  </si>
  <si>
    <t>Tidak sesuai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</si>
</sst>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AEDFB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readingOrder="1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5" xfId="0" applyFont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4" fillId="0" borderId="0" xfId="0" applyFont="1"/>
    <xf numFmtId="0" fontId="4" fillId="0" borderId="5" xfId="0" applyFont="1" applyBorder="1"/>
    <xf numFmtId="0" fontId="7" fillId="3" borderId="5" xfId="0" applyFont="1" applyFill="1" applyBorder="1"/>
    <xf numFmtId="0" fontId="4" fillId="0" borderId="6" xfId="0" applyFont="1" applyBorder="1"/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readingOrder="1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readingOrder="1"/>
    </xf>
    <xf numFmtId="0" fontId="10" fillId="0" borderId="10" xfId="0" applyFont="1" applyBorder="1" applyAlignment="1">
      <alignment horizontal="center" vertical="center" readingOrder="1"/>
    </xf>
    <xf numFmtId="0" fontId="10" fillId="0" borderId="9" xfId="0" applyFont="1" applyBorder="1" applyAlignment="1">
      <alignment horizontal="center" vertical="center" readingOrder="1"/>
    </xf>
    <xf numFmtId="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E1A18B-7E44-49DD-B4AC-9C85ECA27E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Data</a:t>
            </a:r>
            <a:r>
              <a:rPr lang="en-ID" baseline="0"/>
              <a:t> Kesesuaian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Data_All!$P$3:$P$5</c:f>
              <c:strCache>
                <c:ptCount val="3"/>
                <c:pt idx="0">
                  <c:v>Sesuai</c:v>
                </c:pt>
                <c:pt idx="1">
                  <c:v>Netral</c:v>
                </c:pt>
                <c:pt idx="2">
                  <c:v>Tidak Sesuai</c:v>
                </c:pt>
              </c:strCache>
            </c:strRef>
          </c:cat>
          <c:val>
            <c:numRef>
              <c:f>Data_All!$Q$3:$Q$5</c:f>
              <c:numCache>
                <c:formatCode>General</c:formatCode>
                <c:ptCount val="3"/>
                <c:pt idx="0">
                  <c:v>136</c:v>
                </c:pt>
                <c:pt idx="1">
                  <c:v>27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9-4EFB-BFD5-96F1C29EE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979439"/>
        <c:axId val="1717970319"/>
      </c:barChart>
      <c:catAx>
        <c:axId val="171797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70319"/>
        <c:crosses val="autoZero"/>
        <c:auto val="1"/>
        <c:lblAlgn val="ctr"/>
        <c:lblOffset val="100"/>
        <c:noMultiLvlLbl val="0"/>
      </c:catAx>
      <c:valAx>
        <c:axId val="17179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7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Perbandingan</a:t>
            </a:r>
            <a:r>
              <a:rPr lang="en-ID" baseline="0"/>
              <a:t> Data Mentah dengan Data Hasil Augmentasi + SMOTE 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Data Asli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Data_All!$P$3:$P$5</c:f>
              <c:strCache>
                <c:ptCount val="3"/>
                <c:pt idx="0">
                  <c:v>Sesuai</c:v>
                </c:pt>
                <c:pt idx="1">
                  <c:v>Netral</c:v>
                </c:pt>
                <c:pt idx="2">
                  <c:v>Tidak Sesuai</c:v>
                </c:pt>
              </c:strCache>
            </c:strRef>
          </c:cat>
          <c:val>
            <c:numRef>
              <c:f>Data_All!$Q$3:$Q$5</c:f>
              <c:numCache>
                <c:formatCode>General</c:formatCode>
                <c:ptCount val="3"/>
                <c:pt idx="0">
                  <c:v>136</c:v>
                </c:pt>
                <c:pt idx="1">
                  <c:v>27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5-4ED9-A6B6-8EF1B14BF820}"/>
            </c:ext>
          </c:extLst>
        </c:ser>
        <c:ser>
          <c:idx val="1"/>
          <c:order val="1"/>
          <c:tx>
            <c:v>Data Augmentasi + SMOTE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Data_All!$P$3:$P$5</c:f>
              <c:strCache>
                <c:ptCount val="3"/>
                <c:pt idx="0">
                  <c:v>Sesuai</c:v>
                </c:pt>
                <c:pt idx="1">
                  <c:v>Netral</c:v>
                </c:pt>
                <c:pt idx="2">
                  <c:v>Tidak Sesuai</c:v>
                </c:pt>
              </c:strCache>
            </c:strRef>
          </c:cat>
          <c:val>
            <c:numRef>
              <c:f>Data_All!$S$3:$S$5</c:f>
              <c:numCache>
                <c:formatCode>General</c:formatCode>
                <c:ptCount val="3"/>
                <c:pt idx="0">
                  <c:v>1339</c:v>
                </c:pt>
                <c:pt idx="1">
                  <c:v>1339</c:v>
                </c:pt>
                <c:pt idx="2">
                  <c:v>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55-4ED9-A6B6-8EF1B14BF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overlap val="-12"/>
        <c:axId val="1203813823"/>
        <c:axId val="1203814783"/>
      </c:barChart>
      <c:catAx>
        <c:axId val="120381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14783"/>
        <c:crosses val="autoZero"/>
        <c:auto val="1"/>
        <c:lblAlgn val="ctr"/>
        <c:lblOffset val="100"/>
        <c:noMultiLvlLbl val="0"/>
      </c:catAx>
      <c:valAx>
        <c:axId val="120381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1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Perbandingan</a:t>
            </a:r>
            <a:r>
              <a:rPr lang="en-ID" baseline="0"/>
              <a:t> Data Mentah dengan Data Hasil Augmentasi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Data Asli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Data_All!$X$3:$X$4</c:f>
              <c:strCache>
                <c:ptCount val="2"/>
                <c:pt idx="0">
                  <c:v>Sesuai</c:v>
                </c:pt>
                <c:pt idx="1">
                  <c:v>Tidak sesuai</c:v>
                </c:pt>
              </c:strCache>
            </c:strRef>
          </c:cat>
          <c:val>
            <c:numRef>
              <c:f>Data_All!$Y$3:$Y$4</c:f>
              <c:numCache>
                <c:formatCode>General</c:formatCode>
                <c:ptCount val="2"/>
                <c:pt idx="0">
                  <c:v>136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F-44CC-B54E-CB4AA346922B}"/>
            </c:ext>
          </c:extLst>
        </c:ser>
        <c:ser>
          <c:idx val="1"/>
          <c:order val="1"/>
          <c:tx>
            <c:v>Data Augmentasi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Data_All!$X$3:$X$4</c:f>
              <c:strCache>
                <c:ptCount val="2"/>
                <c:pt idx="0">
                  <c:v>Sesuai</c:v>
                </c:pt>
                <c:pt idx="1">
                  <c:v>Tidak sesuai</c:v>
                </c:pt>
              </c:strCache>
            </c:strRef>
          </c:cat>
          <c:val>
            <c:numRef>
              <c:f>Data_All!$Z$3:$Z$4</c:f>
              <c:numCache>
                <c:formatCode>General</c:formatCode>
                <c:ptCount val="2"/>
                <c:pt idx="0">
                  <c:v>1346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F-44CC-B54E-CB4AA3469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705343"/>
        <c:axId val="1203700063"/>
      </c:barChart>
      <c:catAx>
        <c:axId val="120370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00063"/>
        <c:crosses val="autoZero"/>
        <c:auto val="1"/>
        <c:lblAlgn val="ctr"/>
        <c:lblOffset val="100"/>
        <c:noMultiLvlLbl val="0"/>
      </c:catAx>
      <c:valAx>
        <c:axId val="12037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0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Data_All_TempTime!$K$2</c:f>
              <c:strCache>
                <c:ptCount val="1"/>
                <c:pt idx="0">
                  <c:v>Elevasi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Data_All_TempTime!$K$3:$K$68</c:f>
              <c:numCache>
                <c:formatCode>General</c:formatCode>
                <c:ptCount val="66"/>
                <c:pt idx="0">
                  <c:v>1900</c:v>
                </c:pt>
                <c:pt idx="1">
                  <c:v>1900</c:v>
                </c:pt>
                <c:pt idx="2">
                  <c:v>1900</c:v>
                </c:pt>
                <c:pt idx="3">
                  <c:v>1900</c:v>
                </c:pt>
                <c:pt idx="4">
                  <c:v>1895</c:v>
                </c:pt>
                <c:pt idx="5">
                  <c:v>1895</c:v>
                </c:pt>
                <c:pt idx="6">
                  <c:v>1895</c:v>
                </c:pt>
                <c:pt idx="7">
                  <c:v>1895</c:v>
                </c:pt>
                <c:pt idx="8">
                  <c:v>1635</c:v>
                </c:pt>
                <c:pt idx="9">
                  <c:v>1635</c:v>
                </c:pt>
                <c:pt idx="10">
                  <c:v>1647</c:v>
                </c:pt>
                <c:pt idx="11">
                  <c:v>1647</c:v>
                </c:pt>
                <c:pt idx="12">
                  <c:v>1467</c:v>
                </c:pt>
                <c:pt idx="13">
                  <c:v>1467</c:v>
                </c:pt>
                <c:pt idx="14">
                  <c:v>1471</c:v>
                </c:pt>
                <c:pt idx="15">
                  <c:v>1471</c:v>
                </c:pt>
                <c:pt idx="16">
                  <c:v>1471</c:v>
                </c:pt>
                <c:pt idx="17">
                  <c:v>1471</c:v>
                </c:pt>
                <c:pt idx="18">
                  <c:v>1839</c:v>
                </c:pt>
                <c:pt idx="19">
                  <c:v>1839</c:v>
                </c:pt>
                <c:pt idx="20">
                  <c:v>1839</c:v>
                </c:pt>
                <c:pt idx="21">
                  <c:v>1839</c:v>
                </c:pt>
                <c:pt idx="22">
                  <c:v>1941</c:v>
                </c:pt>
                <c:pt idx="23">
                  <c:v>1941</c:v>
                </c:pt>
                <c:pt idx="24">
                  <c:v>1941</c:v>
                </c:pt>
                <c:pt idx="25">
                  <c:v>1941</c:v>
                </c:pt>
                <c:pt idx="26">
                  <c:v>1960</c:v>
                </c:pt>
                <c:pt idx="27">
                  <c:v>1960</c:v>
                </c:pt>
                <c:pt idx="28">
                  <c:v>1960</c:v>
                </c:pt>
                <c:pt idx="29">
                  <c:v>1960</c:v>
                </c:pt>
                <c:pt idx="30">
                  <c:v>682</c:v>
                </c:pt>
                <c:pt idx="31">
                  <c:v>682</c:v>
                </c:pt>
                <c:pt idx="32">
                  <c:v>682</c:v>
                </c:pt>
                <c:pt idx="33">
                  <c:v>682</c:v>
                </c:pt>
                <c:pt idx="34">
                  <c:v>1731</c:v>
                </c:pt>
                <c:pt idx="35">
                  <c:v>1731</c:v>
                </c:pt>
                <c:pt idx="36">
                  <c:v>1731</c:v>
                </c:pt>
                <c:pt idx="37">
                  <c:v>1731</c:v>
                </c:pt>
                <c:pt idx="38">
                  <c:v>1628</c:v>
                </c:pt>
                <c:pt idx="39">
                  <c:v>1628</c:v>
                </c:pt>
                <c:pt idx="40">
                  <c:v>1628</c:v>
                </c:pt>
                <c:pt idx="41">
                  <c:v>1628</c:v>
                </c:pt>
                <c:pt idx="42">
                  <c:v>1251</c:v>
                </c:pt>
                <c:pt idx="43">
                  <c:v>1251</c:v>
                </c:pt>
                <c:pt idx="44">
                  <c:v>1284</c:v>
                </c:pt>
                <c:pt idx="45">
                  <c:v>1284</c:v>
                </c:pt>
                <c:pt idx="46">
                  <c:v>1340</c:v>
                </c:pt>
                <c:pt idx="47">
                  <c:v>1340</c:v>
                </c:pt>
                <c:pt idx="48">
                  <c:v>1753</c:v>
                </c:pt>
                <c:pt idx="49">
                  <c:v>1753</c:v>
                </c:pt>
                <c:pt idx="50">
                  <c:v>1638.91</c:v>
                </c:pt>
                <c:pt idx="51">
                  <c:v>1638.91</c:v>
                </c:pt>
                <c:pt idx="52">
                  <c:v>738</c:v>
                </c:pt>
                <c:pt idx="53">
                  <c:v>738</c:v>
                </c:pt>
                <c:pt idx="54">
                  <c:v>738</c:v>
                </c:pt>
                <c:pt idx="55">
                  <c:v>738</c:v>
                </c:pt>
                <c:pt idx="56">
                  <c:v>738</c:v>
                </c:pt>
                <c:pt idx="57">
                  <c:v>738</c:v>
                </c:pt>
                <c:pt idx="58">
                  <c:v>738</c:v>
                </c:pt>
                <c:pt idx="59">
                  <c:v>738</c:v>
                </c:pt>
                <c:pt idx="60">
                  <c:v>1083</c:v>
                </c:pt>
                <c:pt idx="61">
                  <c:v>1083</c:v>
                </c:pt>
                <c:pt idx="62">
                  <c:v>1210</c:v>
                </c:pt>
                <c:pt idx="63">
                  <c:v>1210</c:v>
                </c:pt>
                <c:pt idx="64">
                  <c:v>711</c:v>
                </c:pt>
                <c:pt idx="65">
                  <c:v>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C-428F-8587-24B2E89AD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682224"/>
        <c:axId val="2094685104"/>
      </c:lineChart>
      <c:catAx>
        <c:axId val="2094682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685104"/>
        <c:crosses val="autoZero"/>
        <c:auto val="1"/>
        <c:lblAlgn val="ctr"/>
        <c:lblOffset val="100"/>
        <c:noMultiLvlLbl val="0"/>
      </c:catAx>
      <c:valAx>
        <c:axId val="20946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68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Data_All_TempTime!$I$2</c:f>
              <c:strCache>
                <c:ptCount val="1"/>
                <c:pt idx="0">
                  <c:v>Temp_D_S1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Data_All_TempTime!$I$3:$I$68</c:f>
              <c:numCache>
                <c:formatCode>General</c:formatCode>
                <c:ptCount val="66"/>
                <c:pt idx="0">
                  <c:v>19.5</c:v>
                </c:pt>
                <c:pt idx="1">
                  <c:v>21.6</c:v>
                </c:pt>
                <c:pt idx="2">
                  <c:v>20.3</c:v>
                </c:pt>
                <c:pt idx="3">
                  <c:v>20.5</c:v>
                </c:pt>
                <c:pt idx="4">
                  <c:v>19.7</c:v>
                </c:pt>
                <c:pt idx="5">
                  <c:v>18.2</c:v>
                </c:pt>
                <c:pt idx="6">
                  <c:v>17.3</c:v>
                </c:pt>
                <c:pt idx="7">
                  <c:v>18.7</c:v>
                </c:pt>
                <c:pt idx="8">
                  <c:v>17.399999999999999</c:v>
                </c:pt>
                <c:pt idx="9">
                  <c:v>17.600000000000001</c:v>
                </c:pt>
                <c:pt idx="10">
                  <c:v>16.7</c:v>
                </c:pt>
                <c:pt idx="11">
                  <c:v>18.3</c:v>
                </c:pt>
                <c:pt idx="12">
                  <c:v>15.9</c:v>
                </c:pt>
                <c:pt idx="13">
                  <c:v>15</c:v>
                </c:pt>
                <c:pt idx="14">
                  <c:v>17.7</c:v>
                </c:pt>
                <c:pt idx="15">
                  <c:v>17.399999999999999</c:v>
                </c:pt>
                <c:pt idx="16">
                  <c:v>19.399999999999999</c:v>
                </c:pt>
                <c:pt idx="17">
                  <c:v>19.2</c:v>
                </c:pt>
                <c:pt idx="18">
                  <c:v>18.7</c:v>
                </c:pt>
                <c:pt idx="19">
                  <c:v>27.7</c:v>
                </c:pt>
                <c:pt idx="20">
                  <c:v>23.1</c:v>
                </c:pt>
                <c:pt idx="21">
                  <c:v>25.1</c:v>
                </c:pt>
                <c:pt idx="22">
                  <c:v>22.1</c:v>
                </c:pt>
                <c:pt idx="23">
                  <c:v>20.3</c:v>
                </c:pt>
                <c:pt idx="24">
                  <c:v>26.1</c:v>
                </c:pt>
                <c:pt idx="25">
                  <c:v>20.3</c:v>
                </c:pt>
                <c:pt idx="26">
                  <c:v>18.399999999999999</c:v>
                </c:pt>
                <c:pt idx="27">
                  <c:v>20.3</c:v>
                </c:pt>
                <c:pt idx="28">
                  <c:v>20.3</c:v>
                </c:pt>
                <c:pt idx="29">
                  <c:v>20</c:v>
                </c:pt>
                <c:pt idx="30">
                  <c:v>26.3</c:v>
                </c:pt>
                <c:pt idx="31">
                  <c:v>24.7</c:v>
                </c:pt>
                <c:pt idx="32">
                  <c:v>24.5</c:v>
                </c:pt>
                <c:pt idx="33">
                  <c:v>24.5</c:v>
                </c:pt>
                <c:pt idx="34">
                  <c:v>21.3</c:v>
                </c:pt>
                <c:pt idx="35">
                  <c:v>18.100000000000001</c:v>
                </c:pt>
                <c:pt idx="36">
                  <c:v>17.600000000000001</c:v>
                </c:pt>
                <c:pt idx="37">
                  <c:v>22.9</c:v>
                </c:pt>
                <c:pt idx="38">
                  <c:v>24</c:v>
                </c:pt>
                <c:pt idx="39">
                  <c:v>24.3</c:v>
                </c:pt>
                <c:pt idx="40">
                  <c:v>23</c:v>
                </c:pt>
                <c:pt idx="41">
                  <c:v>23.5</c:v>
                </c:pt>
                <c:pt idx="42">
                  <c:v>21.7</c:v>
                </c:pt>
                <c:pt idx="43">
                  <c:v>22.5</c:v>
                </c:pt>
                <c:pt idx="44">
                  <c:v>22.4</c:v>
                </c:pt>
                <c:pt idx="45">
                  <c:v>21.1</c:v>
                </c:pt>
                <c:pt idx="46">
                  <c:v>25.6</c:v>
                </c:pt>
                <c:pt idx="47">
                  <c:v>24.4</c:v>
                </c:pt>
                <c:pt idx="48">
                  <c:v>18.3</c:v>
                </c:pt>
                <c:pt idx="49">
                  <c:v>18.8</c:v>
                </c:pt>
                <c:pt idx="50">
                  <c:v>20</c:v>
                </c:pt>
                <c:pt idx="51">
                  <c:v>20</c:v>
                </c:pt>
                <c:pt idx="52">
                  <c:v>23.6</c:v>
                </c:pt>
                <c:pt idx="53">
                  <c:v>23.4</c:v>
                </c:pt>
                <c:pt idx="54">
                  <c:v>24.4</c:v>
                </c:pt>
                <c:pt idx="55">
                  <c:v>23.6</c:v>
                </c:pt>
                <c:pt idx="56">
                  <c:v>24.6</c:v>
                </c:pt>
                <c:pt idx="57">
                  <c:v>25.2</c:v>
                </c:pt>
                <c:pt idx="58">
                  <c:v>25.1</c:v>
                </c:pt>
                <c:pt idx="59">
                  <c:v>26.7</c:v>
                </c:pt>
                <c:pt idx="60">
                  <c:v>21</c:v>
                </c:pt>
                <c:pt idx="61">
                  <c:v>20.7</c:v>
                </c:pt>
                <c:pt idx="62">
                  <c:v>20.5</c:v>
                </c:pt>
                <c:pt idx="63">
                  <c:v>23.3</c:v>
                </c:pt>
                <c:pt idx="64">
                  <c:v>27.3</c:v>
                </c:pt>
                <c:pt idx="65">
                  <c:v>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3-468F-B436-1B2433428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361872"/>
        <c:axId val="2005359472"/>
      </c:lineChart>
      <c:catAx>
        <c:axId val="2005361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59472"/>
        <c:crosses val="autoZero"/>
        <c:auto val="1"/>
        <c:lblAlgn val="ctr"/>
        <c:lblOffset val="100"/>
        <c:noMultiLvlLbl val="0"/>
      </c:catAx>
      <c:valAx>
        <c:axId val="200535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6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Data_All_TempTime!$I$70</c:f>
              <c:strCache>
                <c:ptCount val="1"/>
                <c:pt idx="0">
                  <c:v>Temp_D_S1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Data_All_TempTime!$I$71:$I$160</c:f>
              <c:numCache>
                <c:formatCode>General</c:formatCode>
                <c:ptCount val="90"/>
                <c:pt idx="0">
                  <c:v>20.8</c:v>
                </c:pt>
                <c:pt idx="1">
                  <c:v>19.899999999999999</c:v>
                </c:pt>
                <c:pt idx="2">
                  <c:v>23.1</c:v>
                </c:pt>
                <c:pt idx="3">
                  <c:v>21.8</c:v>
                </c:pt>
                <c:pt idx="4">
                  <c:v>25.2</c:v>
                </c:pt>
                <c:pt idx="5">
                  <c:v>22.6</c:v>
                </c:pt>
                <c:pt idx="6">
                  <c:v>19.8</c:v>
                </c:pt>
                <c:pt idx="7">
                  <c:v>16.899999999999999</c:v>
                </c:pt>
                <c:pt idx="8">
                  <c:v>18</c:v>
                </c:pt>
                <c:pt idx="9">
                  <c:v>19.2</c:v>
                </c:pt>
                <c:pt idx="10">
                  <c:v>24.2</c:v>
                </c:pt>
                <c:pt idx="11">
                  <c:v>24</c:v>
                </c:pt>
                <c:pt idx="12">
                  <c:v>25.2</c:v>
                </c:pt>
                <c:pt idx="13">
                  <c:v>24</c:v>
                </c:pt>
                <c:pt idx="14">
                  <c:v>22.8</c:v>
                </c:pt>
                <c:pt idx="15">
                  <c:v>23.6</c:v>
                </c:pt>
                <c:pt idx="16">
                  <c:v>20.7</c:v>
                </c:pt>
                <c:pt idx="17">
                  <c:v>20.5</c:v>
                </c:pt>
                <c:pt idx="18">
                  <c:v>17.399999999999999</c:v>
                </c:pt>
                <c:pt idx="19">
                  <c:v>17.899999999999999</c:v>
                </c:pt>
                <c:pt idx="20">
                  <c:v>20.8</c:v>
                </c:pt>
                <c:pt idx="21">
                  <c:v>20.8</c:v>
                </c:pt>
                <c:pt idx="22">
                  <c:v>19.899999999999999</c:v>
                </c:pt>
                <c:pt idx="23">
                  <c:v>19.600000000000001</c:v>
                </c:pt>
                <c:pt idx="24">
                  <c:v>20.2</c:v>
                </c:pt>
                <c:pt idx="25">
                  <c:v>20.7</c:v>
                </c:pt>
                <c:pt idx="26">
                  <c:v>19.3</c:v>
                </c:pt>
                <c:pt idx="27">
                  <c:v>20.100000000000001</c:v>
                </c:pt>
                <c:pt idx="28">
                  <c:v>20.100000000000001</c:v>
                </c:pt>
                <c:pt idx="29">
                  <c:v>21.4</c:v>
                </c:pt>
                <c:pt idx="30">
                  <c:v>23.5</c:v>
                </c:pt>
                <c:pt idx="31">
                  <c:v>22.7</c:v>
                </c:pt>
                <c:pt idx="32">
                  <c:v>20.6</c:v>
                </c:pt>
                <c:pt idx="33">
                  <c:v>21</c:v>
                </c:pt>
                <c:pt idx="34">
                  <c:v>18.899999999999999</c:v>
                </c:pt>
                <c:pt idx="35">
                  <c:v>19.100000000000001</c:v>
                </c:pt>
                <c:pt idx="36">
                  <c:v>34.1</c:v>
                </c:pt>
                <c:pt idx="37">
                  <c:v>37.799999999999997</c:v>
                </c:pt>
                <c:pt idx="38">
                  <c:v>30.3</c:v>
                </c:pt>
                <c:pt idx="39">
                  <c:v>28.4</c:v>
                </c:pt>
                <c:pt idx="40">
                  <c:v>18.2</c:v>
                </c:pt>
                <c:pt idx="41">
                  <c:v>18.8</c:v>
                </c:pt>
                <c:pt idx="42">
                  <c:v>19</c:v>
                </c:pt>
                <c:pt idx="43">
                  <c:v>19.5</c:v>
                </c:pt>
                <c:pt idx="44">
                  <c:v>16.899999999999999</c:v>
                </c:pt>
                <c:pt idx="45">
                  <c:v>17</c:v>
                </c:pt>
                <c:pt idx="46">
                  <c:v>17</c:v>
                </c:pt>
                <c:pt idx="47">
                  <c:v>17.399999999999999</c:v>
                </c:pt>
                <c:pt idx="48">
                  <c:v>26.1</c:v>
                </c:pt>
                <c:pt idx="49">
                  <c:v>27</c:v>
                </c:pt>
                <c:pt idx="50">
                  <c:v>31.4</c:v>
                </c:pt>
                <c:pt idx="51">
                  <c:v>31.4</c:v>
                </c:pt>
                <c:pt idx="52">
                  <c:v>26.3</c:v>
                </c:pt>
                <c:pt idx="53">
                  <c:v>23.6</c:v>
                </c:pt>
                <c:pt idx="54">
                  <c:v>22.3</c:v>
                </c:pt>
                <c:pt idx="55">
                  <c:v>25.2</c:v>
                </c:pt>
                <c:pt idx="56">
                  <c:v>24.1</c:v>
                </c:pt>
                <c:pt idx="57">
                  <c:v>24.8</c:v>
                </c:pt>
                <c:pt idx="58">
                  <c:v>32</c:v>
                </c:pt>
                <c:pt idx="59">
                  <c:v>32.799999999999997</c:v>
                </c:pt>
                <c:pt idx="60">
                  <c:v>30.7</c:v>
                </c:pt>
                <c:pt idx="61">
                  <c:v>31.8</c:v>
                </c:pt>
                <c:pt idx="62">
                  <c:v>32.700000000000003</c:v>
                </c:pt>
                <c:pt idx="63">
                  <c:v>33.299999999999997</c:v>
                </c:pt>
                <c:pt idx="64">
                  <c:v>31.3</c:v>
                </c:pt>
                <c:pt idx="65">
                  <c:v>32.299999999999997</c:v>
                </c:pt>
                <c:pt idx="66">
                  <c:v>20.399999999999999</c:v>
                </c:pt>
                <c:pt idx="67">
                  <c:v>20.9</c:v>
                </c:pt>
                <c:pt idx="68">
                  <c:v>20.3</c:v>
                </c:pt>
                <c:pt idx="69">
                  <c:v>20.2</c:v>
                </c:pt>
                <c:pt idx="70">
                  <c:v>19.100000000000001</c:v>
                </c:pt>
                <c:pt idx="71">
                  <c:v>19.899999999999999</c:v>
                </c:pt>
                <c:pt idx="72">
                  <c:v>24.4</c:v>
                </c:pt>
                <c:pt idx="73">
                  <c:v>24.9</c:v>
                </c:pt>
                <c:pt idx="74">
                  <c:v>26.2</c:v>
                </c:pt>
                <c:pt idx="75">
                  <c:v>30.5</c:v>
                </c:pt>
                <c:pt idx="76">
                  <c:v>22.1</c:v>
                </c:pt>
                <c:pt idx="77">
                  <c:v>22.9</c:v>
                </c:pt>
                <c:pt idx="78">
                  <c:v>30.6</c:v>
                </c:pt>
                <c:pt idx="79">
                  <c:v>31.1</c:v>
                </c:pt>
                <c:pt idx="80">
                  <c:v>31</c:v>
                </c:pt>
                <c:pt idx="81">
                  <c:v>29.3</c:v>
                </c:pt>
                <c:pt idx="82">
                  <c:v>30.4</c:v>
                </c:pt>
                <c:pt idx="83">
                  <c:v>29.6</c:v>
                </c:pt>
                <c:pt idx="84">
                  <c:v>29.6</c:v>
                </c:pt>
                <c:pt idx="85">
                  <c:v>31.4</c:v>
                </c:pt>
                <c:pt idx="86">
                  <c:v>34.700000000000003</c:v>
                </c:pt>
                <c:pt idx="87">
                  <c:v>30.8</c:v>
                </c:pt>
                <c:pt idx="88">
                  <c:v>31.3</c:v>
                </c:pt>
                <c:pt idx="89">
                  <c:v>34.1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C-478E-ACD3-B10FA2075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440816"/>
        <c:axId val="1883442256"/>
      </c:lineChart>
      <c:catAx>
        <c:axId val="188344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42256"/>
        <c:crosses val="autoZero"/>
        <c:auto val="1"/>
        <c:lblAlgn val="ctr"/>
        <c:lblOffset val="100"/>
        <c:noMultiLvlLbl val="0"/>
      </c:catAx>
      <c:valAx>
        <c:axId val="18834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44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Data_All_TempTime!$K$70</c:f>
              <c:strCache>
                <c:ptCount val="1"/>
                <c:pt idx="0">
                  <c:v>Elevasi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Data_All_TempTime!$K$71:$K$160</c:f>
              <c:numCache>
                <c:formatCode>General</c:formatCode>
                <c:ptCount val="90"/>
                <c:pt idx="0">
                  <c:v>2002</c:v>
                </c:pt>
                <c:pt idx="1">
                  <c:v>2002</c:v>
                </c:pt>
                <c:pt idx="2">
                  <c:v>1823</c:v>
                </c:pt>
                <c:pt idx="3">
                  <c:v>1823</c:v>
                </c:pt>
                <c:pt idx="4">
                  <c:v>1612</c:v>
                </c:pt>
                <c:pt idx="5">
                  <c:v>1612</c:v>
                </c:pt>
                <c:pt idx="6">
                  <c:v>2122</c:v>
                </c:pt>
                <c:pt idx="7">
                  <c:v>2122</c:v>
                </c:pt>
                <c:pt idx="8">
                  <c:v>2122</c:v>
                </c:pt>
                <c:pt idx="9">
                  <c:v>2122</c:v>
                </c:pt>
                <c:pt idx="10">
                  <c:v>2077</c:v>
                </c:pt>
                <c:pt idx="11">
                  <c:v>2077</c:v>
                </c:pt>
                <c:pt idx="12">
                  <c:v>2077</c:v>
                </c:pt>
                <c:pt idx="13">
                  <c:v>2077</c:v>
                </c:pt>
                <c:pt idx="14">
                  <c:v>2074</c:v>
                </c:pt>
                <c:pt idx="15">
                  <c:v>2074</c:v>
                </c:pt>
                <c:pt idx="16">
                  <c:v>2074</c:v>
                </c:pt>
                <c:pt idx="17">
                  <c:v>2074</c:v>
                </c:pt>
                <c:pt idx="18">
                  <c:v>1434</c:v>
                </c:pt>
                <c:pt idx="19">
                  <c:v>1434</c:v>
                </c:pt>
                <c:pt idx="20">
                  <c:v>2176</c:v>
                </c:pt>
                <c:pt idx="21">
                  <c:v>2176</c:v>
                </c:pt>
                <c:pt idx="22">
                  <c:v>2193</c:v>
                </c:pt>
                <c:pt idx="23">
                  <c:v>2193</c:v>
                </c:pt>
                <c:pt idx="24">
                  <c:v>2088</c:v>
                </c:pt>
                <c:pt idx="25">
                  <c:v>2088</c:v>
                </c:pt>
                <c:pt idx="26">
                  <c:v>1894</c:v>
                </c:pt>
                <c:pt idx="27">
                  <c:v>1894</c:v>
                </c:pt>
                <c:pt idx="28">
                  <c:v>1709</c:v>
                </c:pt>
                <c:pt idx="29">
                  <c:v>1709</c:v>
                </c:pt>
                <c:pt idx="30">
                  <c:v>1597</c:v>
                </c:pt>
                <c:pt idx="31">
                  <c:v>1597</c:v>
                </c:pt>
                <c:pt idx="32">
                  <c:v>1866</c:v>
                </c:pt>
                <c:pt idx="33">
                  <c:v>1866</c:v>
                </c:pt>
                <c:pt idx="34">
                  <c:v>1870</c:v>
                </c:pt>
                <c:pt idx="35">
                  <c:v>1870</c:v>
                </c:pt>
                <c:pt idx="36">
                  <c:v>1763</c:v>
                </c:pt>
                <c:pt idx="37">
                  <c:v>1763</c:v>
                </c:pt>
                <c:pt idx="38">
                  <c:v>1816</c:v>
                </c:pt>
                <c:pt idx="39">
                  <c:v>1816</c:v>
                </c:pt>
                <c:pt idx="40">
                  <c:v>2257</c:v>
                </c:pt>
                <c:pt idx="41">
                  <c:v>2257</c:v>
                </c:pt>
                <c:pt idx="42">
                  <c:v>2239</c:v>
                </c:pt>
                <c:pt idx="43">
                  <c:v>2239</c:v>
                </c:pt>
                <c:pt idx="44">
                  <c:v>1751</c:v>
                </c:pt>
                <c:pt idx="45">
                  <c:v>1751</c:v>
                </c:pt>
                <c:pt idx="46">
                  <c:v>1751</c:v>
                </c:pt>
                <c:pt idx="47">
                  <c:v>1751</c:v>
                </c:pt>
                <c:pt idx="48">
                  <c:v>1320</c:v>
                </c:pt>
                <c:pt idx="49">
                  <c:v>1320</c:v>
                </c:pt>
                <c:pt idx="50">
                  <c:v>1320</c:v>
                </c:pt>
                <c:pt idx="51">
                  <c:v>1320</c:v>
                </c:pt>
                <c:pt idx="52">
                  <c:v>1485</c:v>
                </c:pt>
                <c:pt idx="53">
                  <c:v>1485</c:v>
                </c:pt>
                <c:pt idx="54">
                  <c:v>1406</c:v>
                </c:pt>
                <c:pt idx="55">
                  <c:v>1406</c:v>
                </c:pt>
                <c:pt idx="56">
                  <c:v>1382</c:v>
                </c:pt>
                <c:pt idx="57">
                  <c:v>1382</c:v>
                </c:pt>
                <c:pt idx="58">
                  <c:v>1170</c:v>
                </c:pt>
                <c:pt idx="59">
                  <c:v>1170</c:v>
                </c:pt>
                <c:pt idx="60">
                  <c:v>1170</c:v>
                </c:pt>
                <c:pt idx="61">
                  <c:v>1170</c:v>
                </c:pt>
                <c:pt idx="62">
                  <c:v>1156</c:v>
                </c:pt>
                <c:pt idx="63">
                  <c:v>1156</c:v>
                </c:pt>
                <c:pt idx="64">
                  <c:v>1156</c:v>
                </c:pt>
                <c:pt idx="65">
                  <c:v>1156</c:v>
                </c:pt>
                <c:pt idx="66">
                  <c:v>1519</c:v>
                </c:pt>
                <c:pt idx="67">
                  <c:v>1518</c:v>
                </c:pt>
                <c:pt idx="68">
                  <c:v>1551</c:v>
                </c:pt>
                <c:pt idx="69">
                  <c:v>1551</c:v>
                </c:pt>
                <c:pt idx="70">
                  <c:v>1618</c:v>
                </c:pt>
                <c:pt idx="71">
                  <c:v>1618</c:v>
                </c:pt>
                <c:pt idx="72">
                  <c:v>1466</c:v>
                </c:pt>
                <c:pt idx="73">
                  <c:v>1466</c:v>
                </c:pt>
                <c:pt idx="74">
                  <c:v>1349</c:v>
                </c:pt>
                <c:pt idx="75">
                  <c:v>1349</c:v>
                </c:pt>
                <c:pt idx="76">
                  <c:v>1567.28</c:v>
                </c:pt>
                <c:pt idx="77">
                  <c:v>1567.28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3-4EF9-BDE1-8497E88D4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889728"/>
        <c:axId val="1918890208"/>
      </c:lineChart>
      <c:catAx>
        <c:axId val="191888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90208"/>
        <c:crosses val="autoZero"/>
        <c:auto val="1"/>
        <c:lblAlgn val="ctr"/>
        <c:lblOffset val="100"/>
        <c:noMultiLvlLbl val="0"/>
      </c:catAx>
      <c:valAx>
        <c:axId val="19188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8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Data_All_TempTime!$I$162</c:f>
              <c:strCache>
                <c:ptCount val="1"/>
                <c:pt idx="0">
                  <c:v>Temp_D_S1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Data_All_TempTime!$I$163:$I$185</c:f>
              <c:numCache>
                <c:formatCode>General</c:formatCode>
                <c:ptCount val="23"/>
                <c:pt idx="0">
                  <c:v>23.2</c:v>
                </c:pt>
                <c:pt idx="1">
                  <c:v>24.1</c:v>
                </c:pt>
                <c:pt idx="2">
                  <c:v>22.3</c:v>
                </c:pt>
                <c:pt idx="3">
                  <c:v>23.3</c:v>
                </c:pt>
                <c:pt idx="4">
                  <c:v>20.9</c:v>
                </c:pt>
                <c:pt idx="5">
                  <c:v>21.5</c:v>
                </c:pt>
                <c:pt idx="6">
                  <c:v>20</c:v>
                </c:pt>
                <c:pt idx="7">
                  <c:v>19.899999999999999</c:v>
                </c:pt>
                <c:pt idx="8">
                  <c:v>19.7</c:v>
                </c:pt>
                <c:pt idx="9">
                  <c:v>20</c:v>
                </c:pt>
                <c:pt idx="10">
                  <c:v>29.4</c:v>
                </c:pt>
                <c:pt idx="11">
                  <c:v>30.5</c:v>
                </c:pt>
                <c:pt idx="12">
                  <c:v>30.7</c:v>
                </c:pt>
                <c:pt idx="13">
                  <c:v>30</c:v>
                </c:pt>
                <c:pt idx="14">
                  <c:v>21.5</c:v>
                </c:pt>
                <c:pt idx="15">
                  <c:v>21.2</c:v>
                </c:pt>
                <c:pt idx="16">
                  <c:v>20</c:v>
                </c:pt>
                <c:pt idx="17">
                  <c:v>20.5</c:v>
                </c:pt>
                <c:pt idx="18">
                  <c:v>28</c:v>
                </c:pt>
                <c:pt idx="19">
                  <c:v>26.5</c:v>
                </c:pt>
                <c:pt idx="20">
                  <c:v>26.2</c:v>
                </c:pt>
                <c:pt idx="21">
                  <c:v>24.6</c:v>
                </c:pt>
                <c:pt idx="22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A2-49B5-9937-52D423DC2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6736880"/>
        <c:axId val="1736737360"/>
      </c:lineChart>
      <c:catAx>
        <c:axId val="173673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37360"/>
        <c:crosses val="autoZero"/>
        <c:auto val="1"/>
        <c:lblAlgn val="ctr"/>
        <c:lblOffset val="100"/>
        <c:noMultiLvlLbl val="0"/>
      </c:catAx>
      <c:valAx>
        <c:axId val="173673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73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Data_All_TempTime!$K$162</c:f>
              <c:strCache>
                <c:ptCount val="1"/>
                <c:pt idx="0">
                  <c:v>Elevasi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Data_All_TempTime!$K$163:$K$185</c:f>
              <c:numCache>
                <c:formatCode>General</c:formatCode>
                <c:ptCount val="23"/>
                <c:pt idx="0">
                  <c:v>1987</c:v>
                </c:pt>
                <c:pt idx="1">
                  <c:v>1987</c:v>
                </c:pt>
                <c:pt idx="2">
                  <c:v>1720</c:v>
                </c:pt>
                <c:pt idx="3">
                  <c:v>1720</c:v>
                </c:pt>
                <c:pt idx="4">
                  <c:v>1681</c:v>
                </c:pt>
                <c:pt idx="5">
                  <c:v>1681</c:v>
                </c:pt>
                <c:pt idx="6">
                  <c:v>1675</c:v>
                </c:pt>
                <c:pt idx="7">
                  <c:v>1675</c:v>
                </c:pt>
                <c:pt idx="8">
                  <c:v>1779</c:v>
                </c:pt>
                <c:pt idx="9">
                  <c:v>1779</c:v>
                </c:pt>
                <c:pt idx="10">
                  <c:v>727</c:v>
                </c:pt>
                <c:pt idx="11">
                  <c:v>727</c:v>
                </c:pt>
                <c:pt idx="12">
                  <c:v>727</c:v>
                </c:pt>
                <c:pt idx="13">
                  <c:v>727</c:v>
                </c:pt>
                <c:pt idx="14">
                  <c:v>1558</c:v>
                </c:pt>
                <c:pt idx="15">
                  <c:v>1558</c:v>
                </c:pt>
                <c:pt idx="16">
                  <c:v>1535</c:v>
                </c:pt>
                <c:pt idx="17">
                  <c:v>1535</c:v>
                </c:pt>
                <c:pt idx="18">
                  <c:v>749</c:v>
                </c:pt>
                <c:pt idx="19">
                  <c:v>1213</c:v>
                </c:pt>
                <c:pt idx="20">
                  <c:v>1203</c:v>
                </c:pt>
                <c:pt idx="21">
                  <c:v>1265</c:v>
                </c:pt>
                <c:pt idx="22">
                  <c:v>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0-4A14-9885-46123AEB9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2177264"/>
        <c:axId val="1912178704"/>
      </c:lineChart>
      <c:catAx>
        <c:axId val="191217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178704"/>
        <c:crosses val="autoZero"/>
        <c:auto val="1"/>
        <c:lblAlgn val="ctr"/>
        <c:lblOffset val="100"/>
        <c:noMultiLvlLbl val="0"/>
      </c:catAx>
      <c:valAx>
        <c:axId val="19121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17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Data_All_TempTime!$J$2</c:f>
              <c:strCache>
                <c:ptCount val="1"/>
                <c:pt idx="0">
                  <c:v>Temp_L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Data_All_TempTime!$J$3:$J$68</c:f>
              <c:numCache>
                <c:formatCode>General</c:formatCode>
                <c:ptCount val="6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26.7</c:v>
                </c:pt>
                <c:pt idx="9">
                  <c:v>26.7</c:v>
                </c:pt>
                <c:pt idx="10">
                  <c:v>28.5</c:v>
                </c:pt>
                <c:pt idx="11">
                  <c:v>28.5</c:v>
                </c:pt>
                <c:pt idx="12">
                  <c:v>23.3</c:v>
                </c:pt>
                <c:pt idx="13">
                  <c:v>23.3</c:v>
                </c:pt>
                <c:pt idx="14">
                  <c:v>22.2</c:v>
                </c:pt>
                <c:pt idx="15">
                  <c:v>22.2</c:v>
                </c:pt>
                <c:pt idx="16">
                  <c:v>22.2</c:v>
                </c:pt>
                <c:pt idx="17">
                  <c:v>22.2</c:v>
                </c:pt>
                <c:pt idx="18">
                  <c:v>19.2</c:v>
                </c:pt>
                <c:pt idx="19">
                  <c:v>19.2</c:v>
                </c:pt>
                <c:pt idx="20">
                  <c:v>19.2</c:v>
                </c:pt>
                <c:pt idx="21">
                  <c:v>19.2</c:v>
                </c:pt>
                <c:pt idx="22">
                  <c:v>19.2</c:v>
                </c:pt>
                <c:pt idx="23">
                  <c:v>19.2</c:v>
                </c:pt>
                <c:pt idx="24">
                  <c:v>19.2</c:v>
                </c:pt>
                <c:pt idx="25">
                  <c:v>19.2</c:v>
                </c:pt>
                <c:pt idx="26">
                  <c:v>19.2</c:v>
                </c:pt>
                <c:pt idx="27">
                  <c:v>19.2</c:v>
                </c:pt>
                <c:pt idx="28">
                  <c:v>19.2</c:v>
                </c:pt>
                <c:pt idx="29">
                  <c:v>19.2</c:v>
                </c:pt>
                <c:pt idx="30">
                  <c:v>25.1</c:v>
                </c:pt>
                <c:pt idx="31">
                  <c:v>25.1</c:v>
                </c:pt>
                <c:pt idx="32">
                  <c:v>25.1</c:v>
                </c:pt>
                <c:pt idx="33">
                  <c:v>25.1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20</c:v>
                </c:pt>
                <c:pt idx="43">
                  <c:v>20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16</c:v>
                </c:pt>
                <c:pt idx="49">
                  <c:v>16</c:v>
                </c:pt>
                <c:pt idx="50">
                  <c:v>19</c:v>
                </c:pt>
                <c:pt idx="51">
                  <c:v>19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0-44A3-9BE3-850B81B31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8117103"/>
        <c:axId val="1578123343"/>
      </c:lineChart>
      <c:catAx>
        <c:axId val="1578117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23343"/>
        <c:crosses val="autoZero"/>
        <c:auto val="1"/>
        <c:lblAlgn val="ctr"/>
        <c:lblOffset val="100"/>
        <c:noMultiLvlLbl val="0"/>
      </c:catAx>
      <c:valAx>
        <c:axId val="157812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1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Data_All_TempTime!$J$70</c:f>
              <c:strCache>
                <c:ptCount val="1"/>
                <c:pt idx="0">
                  <c:v>Temp_L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Data_All_TempTime!$J$71:$J$160</c:f>
              <c:numCache>
                <c:formatCode>General</c:formatCode>
                <c:ptCount val="90"/>
                <c:pt idx="0">
                  <c:v>28.1</c:v>
                </c:pt>
                <c:pt idx="1">
                  <c:v>28.1</c:v>
                </c:pt>
                <c:pt idx="2">
                  <c:v>27</c:v>
                </c:pt>
                <c:pt idx="3">
                  <c:v>27</c:v>
                </c:pt>
                <c:pt idx="4">
                  <c:v>20</c:v>
                </c:pt>
                <c:pt idx="5">
                  <c:v>20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28.7</c:v>
                </c:pt>
                <c:pt idx="15">
                  <c:v>28.7</c:v>
                </c:pt>
                <c:pt idx="16">
                  <c:v>28.7</c:v>
                </c:pt>
                <c:pt idx="17">
                  <c:v>28.7</c:v>
                </c:pt>
                <c:pt idx="18">
                  <c:v>24.1</c:v>
                </c:pt>
                <c:pt idx="19">
                  <c:v>24.1</c:v>
                </c:pt>
                <c:pt idx="20">
                  <c:v>27.1</c:v>
                </c:pt>
                <c:pt idx="21">
                  <c:v>27.1</c:v>
                </c:pt>
                <c:pt idx="22">
                  <c:v>25.9</c:v>
                </c:pt>
                <c:pt idx="23">
                  <c:v>25.9</c:v>
                </c:pt>
                <c:pt idx="24">
                  <c:v>22.1</c:v>
                </c:pt>
                <c:pt idx="25">
                  <c:v>22.1</c:v>
                </c:pt>
                <c:pt idx="26">
                  <c:v>20.3</c:v>
                </c:pt>
                <c:pt idx="27">
                  <c:v>20.3</c:v>
                </c:pt>
                <c:pt idx="28">
                  <c:v>29.7</c:v>
                </c:pt>
                <c:pt idx="29">
                  <c:v>29.7</c:v>
                </c:pt>
                <c:pt idx="30">
                  <c:v>27</c:v>
                </c:pt>
                <c:pt idx="31">
                  <c:v>27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32.6</c:v>
                </c:pt>
                <c:pt idx="37">
                  <c:v>32.6</c:v>
                </c:pt>
                <c:pt idx="38">
                  <c:v>34.5</c:v>
                </c:pt>
                <c:pt idx="39">
                  <c:v>34.5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27.1</c:v>
                </c:pt>
                <c:pt idx="53">
                  <c:v>27.1</c:v>
                </c:pt>
                <c:pt idx="54">
                  <c:v>26.8</c:v>
                </c:pt>
                <c:pt idx="55">
                  <c:v>26.8</c:v>
                </c:pt>
                <c:pt idx="56">
                  <c:v>26.2</c:v>
                </c:pt>
                <c:pt idx="57">
                  <c:v>26.2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20.9</c:v>
                </c:pt>
                <c:pt idx="67">
                  <c:v>20.9</c:v>
                </c:pt>
                <c:pt idx="68">
                  <c:v>18.5</c:v>
                </c:pt>
                <c:pt idx="69">
                  <c:v>18.5</c:v>
                </c:pt>
                <c:pt idx="70">
                  <c:v>20.6</c:v>
                </c:pt>
                <c:pt idx="71">
                  <c:v>20.6</c:v>
                </c:pt>
                <c:pt idx="72">
                  <c:v>23</c:v>
                </c:pt>
                <c:pt idx="73">
                  <c:v>23</c:v>
                </c:pt>
                <c:pt idx="74">
                  <c:v>22</c:v>
                </c:pt>
                <c:pt idx="75">
                  <c:v>22</c:v>
                </c:pt>
                <c:pt idx="76">
                  <c:v>21</c:v>
                </c:pt>
                <c:pt idx="77">
                  <c:v>21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B-4929-BAF4-2DEAECC34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4652416"/>
        <c:axId val="1754652896"/>
      </c:lineChart>
      <c:catAx>
        <c:axId val="1754652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52896"/>
        <c:crosses val="autoZero"/>
        <c:auto val="1"/>
        <c:lblAlgn val="ctr"/>
        <c:lblOffset val="100"/>
        <c:noMultiLvlLbl val="0"/>
      </c:catAx>
      <c:valAx>
        <c:axId val="17546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5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Data_All_TempTime!$J$162</c:f>
              <c:strCache>
                <c:ptCount val="1"/>
                <c:pt idx="0">
                  <c:v>Temp_L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Data_All_TempTime!$J$163:$J$185</c:f>
              <c:numCache>
                <c:formatCode>General</c:formatCode>
                <c:ptCount val="23"/>
                <c:pt idx="0">
                  <c:v>26.8</c:v>
                </c:pt>
                <c:pt idx="1">
                  <c:v>26.8</c:v>
                </c:pt>
                <c:pt idx="2">
                  <c:v>22.4</c:v>
                </c:pt>
                <c:pt idx="3">
                  <c:v>22.4</c:v>
                </c:pt>
                <c:pt idx="4">
                  <c:v>20.9</c:v>
                </c:pt>
                <c:pt idx="5">
                  <c:v>20.9</c:v>
                </c:pt>
                <c:pt idx="6">
                  <c:v>20.9</c:v>
                </c:pt>
                <c:pt idx="7">
                  <c:v>20.9</c:v>
                </c:pt>
                <c:pt idx="8">
                  <c:v>20.5</c:v>
                </c:pt>
                <c:pt idx="9">
                  <c:v>20.5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25</c:v>
                </c:pt>
                <c:pt idx="19">
                  <c:v>22</c:v>
                </c:pt>
                <c:pt idx="20">
                  <c:v>22</c:v>
                </c:pt>
                <c:pt idx="21">
                  <c:v>20</c:v>
                </c:pt>
                <c:pt idx="2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8-48CF-A713-A91804467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4642816"/>
        <c:axId val="1754641376"/>
      </c:lineChart>
      <c:catAx>
        <c:axId val="1754642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41376"/>
        <c:crosses val="autoZero"/>
        <c:auto val="1"/>
        <c:lblAlgn val="ctr"/>
        <c:lblOffset val="100"/>
        <c:noMultiLvlLbl val="0"/>
      </c:catAx>
      <c:valAx>
        <c:axId val="17546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4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873678994519188E-2"/>
          <c:y val="0.11487160161340879"/>
          <c:w val="0.90642229893183124"/>
          <c:h val="0.80263864716168731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Data_All_TempTime!$AV$2</c:f>
              <c:strCache>
                <c:ptCount val="1"/>
                <c:pt idx="0">
                  <c:v>Temp_D_S1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Data_All_TempTime!$AU$3:$AU$69</c:f>
              <c:numCache>
                <c:formatCode>General</c:formatCode>
                <c:ptCount val="67"/>
                <c:pt idx="0">
                  <c:v>1900</c:v>
                </c:pt>
                <c:pt idx="1">
                  <c:v>1900</c:v>
                </c:pt>
                <c:pt idx="2">
                  <c:v>1900</c:v>
                </c:pt>
                <c:pt idx="3">
                  <c:v>1900</c:v>
                </c:pt>
                <c:pt idx="4">
                  <c:v>1895</c:v>
                </c:pt>
                <c:pt idx="5">
                  <c:v>1895</c:v>
                </c:pt>
                <c:pt idx="6">
                  <c:v>1895</c:v>
                </c:pt>
                <c:pt idx="7">
                  <c:v>1895</c:v>
                </c:pt>
                <c:pt idx="8">
                  <c:v>1635</c:v>
                </c:pt>
                <c:pt idx="9">
                  <c:v>1635</c:v>
                </c:pt>
                <c:pt idx="10">
                  <c:v>1647</c:v>
                </c:pt>
                <c:pt idx="11">
                  <c:v>1647</c:v>
                </c:pt>
                <c:pt idx="12">
                  <c:v>1467</c:v>
                </c:pt>
                <c:pt idx="13">
                  <c:v>1467</c:v>
                </c:pt>
                <c:pt idx="14">
                  <c:v>1471</c:v>
                </c:pt>
                <c:pt idx="15">
                  <c:v>1471</c:v>
                </c:pt>
                <c:pt idx="16">
                  <c:v>1471</c:v>
                </c:pt>
                <c:pt idx="17">
                  <c:v>1471</c:v>
                </c:pt>
                <c:pt idx="18">
                  <c:v>1839</c:v>
                </c:pt>
                <c:pt idx="19">
                  <c:v>1839</c:v>
                </c:pt>
                <c:pt idx="20">
                  <c:v>1839</c:v>
                </c:pt>
                <c:pt idx="21">
                  <c:v>1839</c:v>
                </c:pt>
                <c:pt idx="22">
                  <c:v>1941</c:v>
                </c:pt>
                <c:pt idx="23">
                  <c:v>1941</c:v>
                </c:pt>
                <c:pt idx="24">
                  <c:v>1941</c:v>
                </c:pt>
                <c:pt idx="25">
                  <c:v>1941</c:v>
                </c:pt>
                <c:pt idx="26">
                  <c:v>1960</c:v>
                </c:pt>
                <c:pt idx="27">
                  <c:v>1960</c:v>
                </c:pt>
                <c:pt idx="28">
                  <c:v>1960</c:v>
                </c:pt>
                <c:pt idx="29">
                  <c:v>1960</c:v>
                </c:pt>
                <c:pt idx="30">
                  <c:v>682</c:v>
                </c:pt>
                <c:pt idx="31">
                  <c:v>682</c:v>
                </c:pt>
                <c:pt idx="32">
                  <c:v>682</c:v>
                </c:pt>
                <c:pt idx="33">
                  <c:v>682</c:v>
                </c:pt>
                <c:pt idx="34">
                  <c:v>1731</c:v>
                </c:pt>
                <c:pt idx="35">
                  <c:v>1731</c:v>
                </c:pt>
                <c:pt idx="36">
                  <c:v>1731</c:v>
                </c:pt>
                <c:pt idx="37">
                  <c:v>1731</c:v>
                </c:pt>
                <c:pt idx="38">
                  <c:v>1628</c:v>
                </c:pt>
                <c:pt idx="39">
                  <c:v>1628</c:v>
                </c:pt>
                <c:pt idx="40">
                  <c:v>1628</c:v>
                </c:pt>
                <c:pt idx="41">
                  <c:v>1628</c:v>
                </c:pt>
                <c:pt idx="42">
                  <c:v>1251</c:v>
                </c:pt>
                <c:pt idx="43">
                  <c:v>1251</c:v>
                </c:pt>
                <c:pt idx="44">
                  <c:v>1284</c:v>
                </c:pt>
                <c:pt idx="45">
                  <c:v>1284</c:v>
                </c:pt>
                <c:pt idx="46">
                  <c:v>1340</c:v>
                </c:pt>
                <c:pt idx="47">
                  <c:v>1340</c:v>
                </c:pt>
                <c:pt idx="48">
                  <c:v>1753</c:v>
                </c:pt>
                <c:pt idx="49">
                  <c:v>1753</c:v>
                </c:pt>
                <c:pt idx="50">
                  <c:v>1638.91</c:v>
                </c:pt>
                <c:pt idx="51">
                  <c:v>1638.91</c:v>
                </c:pt>
                <c:pt idx="52">
                  <c:v>738</c:v>
                </c:pt>
                <c:pt idx="53">
                  <c:v>738</c:v>
                </c:pt>
                <c:pt idx="54">
                  <c:v>738</c:v>
                </c:pt>
                <c:pt idx="55">
                  <c:v>738</c:v>
                </c:pt>
                <c:pt idx="56">
                  <c:v>738</c:v>
                </c:pt>
                <c:pt idx="57">
                  <c:v>738</c:v>
                </c:pt>
                <c:pt idx="58">
                  <c:v>738</c:v>
                </c:pt>
                <c:pt idx="59">
                  <c:v>738</c:v>
                </c:pt>
                <c:pt idx="60">
                  <c:v>1083</c:v>
                </c:pt>
                <c:pt idx="61">
                  <c:v>1083</c:v>
                </c:pt>
                <c:pt idx="62">
                  <c:v>1210</c:v>
                </c:pt>
                <c:pt idx="63">
                  <c:v>1210</c:v>
                </c:pt>
                <c:pt idx="64">
                  <c:v>711</c:v>
                </c:pt>
                <c:pt idx="65">
                  <c:v>711</c:v>
                </c:pt>
              </c:numCache>
            </c:numRef>
          </c:xVal>
          <c:yVal>
            <c:numRef>
              <c:f>Data_All_TempTime!$AV$3:$AV$69</c:f>
              <c:numCache>
                <c:formatCode>General</c:formatCode>
                <c:ptCount val="67"/>
                <c:pt idx="0">
                  <c:v>19.5</c:v>
                </c:pt>
                <c:pt idx="1">
                  <c:v>21.6</c:v>
                </c:pt>
                <c:pt idx="2">
                  <c:v>20.3</c:v>
                </c:pt>
                <c:pt idx="3">
                  <c:v>20.5</c:v>
                </c:pt>
                <c:pt idx="4">
                  <c:v>19.7</c:v>
                </c:pt>
                <c:pt idx="5">
                  <c:v>18.2</c:v>
                </c:pt>
                <c:pt idx="6">
                  <c:v>17.3</c:v>
                </c:pt>
                <c:pt idx="7">
                  <c:v>18.7</c:v>
                </c:pt>
                <c:pt idx="8">
                  <c:v>17.399999999999999</c:v>
                </c:pt>
                <c:pt idx="9">
                  <c:v>17.600000000000001</c:v>
                </c:pt>
                <c:pt idx="10">
                  <c:v>16.7</c:v>
                </c:pt>
                <c:pt idx="11">
                  <c:v>18.3</c:v>
                </c:pt>
                <c:pt idx="12">
                  <c:v>15.9</c:v>
                </c:pt>
                <c:pt idx="13">
                  <c:v>15</c:v>
                </c:pt>
                <c:pt idx="14">
                  <c:v>17.7</c:v>
                </c:pt>
                <c:pt idx="15">
                  <c:v>17.399999999999999</c:v>
                </c:pt>
                <c:pt idx="16">
                  <c:v>19.399999999999999</c:v>
                </c:pt>
                <c:pt idx="17">
                  <c:v>19.2</c:v>
                </c:pt>
                <c:pt idx="18">
                  <c:v>18.7</c:v>
                </c:pt>
                <c:pt idx="19">
                  <c:v>27.7</c:v>
                </c:pt>
                <c:pt idx="20">
                  <c:v>23.1</c:v>
                </c:pt>
                <c:pt idx="21">
                  <c:v>25.1</c:v>
                </c:pt>
                <c:pt idx="22">
                  <c:v>22.1</c:v>
                </c:pt>
                <c:pt idx="23">
                  <c:v>20.3</c:v>
                </c:pt>
                <c:pt idx="24">
                  <c:v>26.1</c:v>
                </c:pt>
                <c:pt idx="25">
                  <c:v>20.3</c:v>
                </c:pt>
                <c:pt idx="26">
                  <c:v>18.399999999999999</c:v>
                </c:pt>
                <c:pt idx="27">
                  <c:v>20.3</c:v>
                </c:pt>
                <c:pt idx="28">
                  <c:v>20.3</c:v>
                </c:pt>
                <c:pt idx="29">
                  <c:v>20</c:v>
                </c:pt>
                <c:pt idx="30">
                  <c:v>26.3</c:v>
                </c:pt>
                <c:pt idx="31">
                  <c:v>24.7</c:v>
                </c:pt>
                <c:pt idx="32">
                  <c:v>24.5</c:v>
                </c:pt>
                <c:pt idx="33">
                  <c:v>24.5</c:v>
                </c:pt>
                <c:pt idx="34">
                  <c:v>21.3</c:v>
                </c:pt>
                <c:pt idx="35">
                  <c:v>18.100000000000001</c:v>
                </c:pt>
                <c:pt idx="36">
                  <c:v>17.600000000000001</c:v>
                </c:pt>
                <c:pt idx="37">
                  <c:v>22.9</c:v>
                </c:pt>
                <c:pt idx="38">
                  <c:v>24</c:v>
                </c:pt>
                <c:pt idx="39">
                  <c:v>24.3</c:v>
                </c:pt>
                <c:pt idx="40">
                  <c:v>23</c:v>
                </c:pt>
                <c:pt idx="41">
                  <c:v>23.5</c:v>
                </c:pt>
                <c:pt idx="42">
                  <c:v>21.7</c:v>
                </c:pt>
                <c:pt idx="43">
                  <c:v>22.5</c:v>
                </c:pt>
                <c:pt idx="44">
                  <c:v>22.4</c:v>
                </c:pt>
                <c:pt idx="45">
                  <c:v>21.1</c:v>
                </c:pt>
                <c:pt idx="46">
                  <c:v>25.6</c:v>
                </c:pt>
                <c:pt idx="47">
                  <c:v>24.4</c:v>
                </c:pt>
                <c:pt idx="48">
                  <c:v>18.3</c:v>
                </c:pt>
                <c:pt idx="49">
                  <c:v>18.8</c:v>
                </c:pt>
                <c:pt idx="50">
                  <c:v>20</c:v>
                </c:pt>
                <c:pt idx="51">
                  <c:v>20</c:v>
                </c:pt>
                <c:pt idx="52">
                  <c:v>23.6</c:v>
                </c:pt>
                <c:pt idx="53">
                  <c:v>23.4</c:v>
                </c:pt>
                <c:pt idx="54">
                  <c:v>24.4</c:v>
                </c:pt>
                <c:pt idx="55">
                  <c:v>23.6</c:v>
                </c:pt>
                <c:pt idx="56">
                  <c:v>24.6</c:v>
                </c:pt>
                <c:pt idx="57">
                  <c:v>25.2</c:v>
                </c:pt>
                <c:pt idx="58">
                  <c:v>25.1</c:v>
                </c:pt>
                <c:pt idx="59">
                  <c:v>26.7</c:v>
                </c:pt>
                <c:pt idx="60">
                  <c:v>21</c:v>
                </c:pt>
                <c:pt idx="61">
                  <c:v>20.7</c:v>
                </c:pt>
                <c:pt idx="62">
                  <c:v>20.5</c:v>
                </c:pt>
                <c:pt idx="63">
                  <c:v>23.3</c:v>
                </c:pt>
                <c:pt idx="64">
                  <c:v>27.3</c:v>
                </c:pt>
                <c:pt idx="65">
                  <c:v>29.3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B-454F-BA62-C736DF536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895711"/>
        <c:axId val="1522084399"/>
      </c:scatterChart>
      <c:valAx>
        <c:axId val="152189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084399"/>
        <c:crosses val="autoZero"/>
        <c:crossBetween val="midCat"/>
      </c:valAx>
      <c:valAx>
        <c:axId val="15220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95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Data_All_TempTime!$AV$70</c:f>
              <c:strCache>
                <c:ptCount val="1"/>
                <c:pt idx="0">
                  <c:v>Temp_D_S1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Data_All_TempTime!$AU$71:$AU$160</c:f>
              <c:numCache>
                <c:formatCode>General</c:formatCode>
                <c:ptCount val="90"/>
                <c:pt idx="0">
                  <c:v>2002</c:v>
                </c:pt>
                <c:pt idx="1">
                  <c:v>2002</c:v>
                </c:pt>
                <c:pt idx="2">
                  <c:v>1823</c:v>
                </c:pt>
                <c:pt idx="3">
                  <c:v>1823</c:v>
                </c:pt>
                <c:pt idx="4">
                  <c:v>1612</c:v>
                </c:pt>
                <c:pt idx="5">
                  <c:v>1612</c:v>
                </c:pt>
                <c:pt idx="6">
                  <c:v>2122</c:v>
                </c:pt>
                <c:pt idx="7">
                  <c:v>2122</c:v>
                </c:pt>
                <c:pt idx="8">
                  <c:v>2122</c:v>
                </c:pt>
                <c:pt idx="9">
                  <c:v>2122</c:v>
                </c:pt>
                <c:pt idx="10">
                  <c:v>2077</c:v>
                </c:pt>
                <c:pt idx="11">
                  <c:v>2077</c:v>
                </c:pt>
                <c:pt idx="12">
                  <c:v>2077</c:v>
                </c:pt>
                <c:pt idx="13">
                  <c:v>2077</c:v>
                </c:pt>
                <c:pt idx="14">
                  <c:v>2074</c:v>
                </c:pt>
                <c:pt idx="15">
                  <c:v>2074</c:v>
                </c:pt>
                <c:pt idx="16">
                  <c:v>2074</c:v>
                </c:pt>
                <c:pt idx="17">
                  <c:v>2074</c:v>
                </c:pt>
                <c:pt idx="18">
                  <c:v>1434</c:v>
                </c:pt>
                <c:pt idx="19">
                  <c:v>1434</c:v>
                </c:pt>
                <c:pt idx="20">
                  <c:v>2176</c:v>
                </c:pt>
                <c:pt idx="21">
                  <c:v>2176</c:v>
                </c:pt>
                <c:pt idx="22">
                  <c:v>2193</c:v>
                </c:pt>
                <c:pt idx="23">
                  <c:v>2193</c:v>
                </c:pt>
                <c:pt idx="24">
                  <c:v>2088</c:v>
                </c:pt>
                <c:pt idx="25">
                  <c:v>2088</c:v>
                </c:pt>
                <c:pt idx="26">
                  <c:v>1894</c:v>
                </c:pt>
                <c:pt idx="27">
                  <c:v>1894</c:v>
                </c:pt>
                <c:pt idx="28">
                  <c:v>1709</c:v>
                </c:pt>
                <c:pt idx="29">
                  <c:v>1709</c:v>
                </c:pt>
                <c:pt idx="30">
                  <c:v>1597</c:v>
                </c:pt>
                <c:pt idx="31">
                  <c:v>1597</c:v>
                </c:pt>
                <c:pt idx="32">
                  <c:v>1866</c:v>
                </c:pt>
                <c:pt idx="33">
                  <c:v>1866</c:v>
                </c:pt>
                <c:pt idx="34">
                  <c:v>1870</c:v>
                </c:pt>
                <c:pt idx="35">
                  <c:v>1870</c:v>
                </c:pt>
                <c:pt idx="36">
                  <c:v>1763</c:v>
                </c:pt>
                <c:pt idx="37">
                  <c:v>1763</c:v>
                </c:pt>
                <c:pt idx="38">
                  <c:v>1816</c:v>
                </c:pt>
                <c:pt idx="39">
                  <c:v>1816</c:v>
                </c:pt>
                <c:pt idx="40">
                  <c:v>2257</c:v>
                </c:pt>
                <c:pt idx="41">
                  <c:v>2257</c:v>
                </c:pt>
                <c:pt idx="42">
                  <c:v>2239</c:v>
                </c:pt>
                <c:pt idx="43">
                  <c:v>2239</c:v>
                </c:pt>
                <c:pt idx="44">
                  <c:v>1751</c:v>
                </c:pt>
                <c:pt idx="45">
                  <c:v>1751</c:v>
                </c:pt>
                <c:pt idx="46">
                  <c:v>1751</c:v>
                </c:pt>
                <c:pt idx="47">
                  <c:v>1751</c:v>
                </c:pt>
                <c:pt idx="48">
                  <c:v>1320</c:v>
                </c:pt>
                <c:pt idx="49">
                  <c:v>1320</c:v>
                </c:pt>
                <c:pt idx="50">
                  <c:v>1320</c:v>
                </c:pt>
                <c:pt idx="51">
                  <c:v>1320</c:v>
                </c:pt>
                <c:pt idx="52">
                  <c:v>1485</c:v>
                </c:pt>
                <c:pt idx="53">
                  <c:v>1485</c:v>
                </c:pt>
                <c:pt idx="54">
                  <c:v>1406</c:v>
                </c:pt>
                <c:pt idx="55">
                  <c:v>1406</c:v>
                </c:pt>
                <c:pt idx="56">
                  <c:v>1382</c:v>
                </c:pt>
                <c:pt idx="57">
                  <c:v>1382</c:v>
                </c:pt>
                <c:pt idx="58">
                  <c:v>1170</c:v>
                </c:pt>
                <c:pt idx="59">
                  <c:v>1170</c:v>
                </c:pt>
                <c:pt idx="60">
                  <c:v>1170</c:v>
                </c:pt>
                <c:pt idx="61">
                  <c:v>1170</c:v>
                </c:pt>
                <c:pt idx="62">
                  <c:v>1156</c:v>
                </c:pt>
                <c:pt idx="63">
                  <c:v>1156</c:v>
                </c:pt>
                <c:pt idx="64">
                  <c:v>1156</c:v>
                </c:pt>
                <c:pt idx="65">
                  <c:v>1156</c:v>
                </c:pt>
                <c:pt idx="66">
                  <c:v>1519</c:v>
                </c:pt>
                <c:pt idx="67">
                  <c:v>1518</c:v>
                </c:pt>
                <c:pt idx="68">
                  <c:v>1551</c:v>
                </c:pt>
                <c:pt idx="69">
                  <c:v>1551</c:v>
                </c:pt>
                <c:pt idx="70">
                  <c:v>1618</c:v>
                </c:pt>
                <c:pt idx="71">
                  <c:v>1618</c:v>
                </c:pt>
                <c:pt idx="72">
                  <c:v>1466</c:v>
                </c:pt>
                <c:pt idx="73">
                  <c:v>1466</c:v>
                </c:pt>
                <c:pt idx="74">
                  <c:v>1349</c:v>
                </c:pt>
                <c:pt idx="75">
                  <c:v>1349</c:v>
                </c:pt>
                <c:pt idx="76">
                  <c:v>1567.28</c:v>
                </c:pt>
                <c:pt idx="77">
                  <c:v>1567.28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</c:numCache>
            </c:numRef>
          </c:xVal>
          <c:yVal>
            <c:numRef>
              <c:f>Data_All_TempTime!$AV$71:$AV$160</c:f>
              <c:numCache>
                <c:formatCode>General</c:formatCode>
                <c:ptCount val="90"/>
                <c:pt idx="0">
                  <c:v>20.8</c:v>
                </c:pt>
                <c:pt idx="1">
                  <c:v>19.899999999999999</c:v>
                </c:pt>
                <c:pt idx="2">
                  <c:v>23.1</c:v>
                </c:pt>
                <c:pt idx="3">
                  <c:v>21.8</c:v>
                </c:pt>
                <c:pt idx="4">
                  <c:v>25.2</c:v>
                </c:pt>
                <c:pt idx="5">
                  <c:v>22.6</c:v>
                </c:pt>
                <c:pt idx="6">
                  <c:v>19.8</c:v>
                </c:pt>
                <c:pt idx="7">
                  <c:v>16.899999999999999</c:v>
                </c:pt>
                <c:pt idx="8">
                  <c:v>18</c:v>
                </c:pt>
                <c:pt idx="9">
                  <c:v>19.2</c:v>
                </c:pt>
                <c:pt idx="10">
                  <c:v>24.2</c:v>
                </c:pt>
                <c:pt idx="11">
                  <c:v>24</c:v>
                </c:pt>
                <c:pt idx="12">
                  <c:v>25.2</c:v>
                </c:pt>
                <c:pt idx="13">
                  <c:v>24</c:v>
                </c:pt>
                <c:pt idx="14">
                  <c:v>22.8</c:v>
                </c:pt>
                <c:pt idx="15">
                  <c:v>23.6</c:v>
                </c:pt>
                <c:pt idx="16">
                  <c:v>20.7</c:v>
                </c:pt>
                <c:pt idx="17">
                  <c:v>20.5</c:v>
                </c:pt>
                <c:pt idx="18">
                  <c:v>17.399999999999999</c:v>
                </c:pt>
                <c:pt idx="19">
                  <c:v>17.899999999999999</c:v>
                </c:pt>
                <c:pt idx="20">
                  <c:v>20.8</c:v>
                </c:pt>
                <c:pt idx="21">
                  <c:v>20.8</c:v>
                </c:pt>
                <c:pt idx="22">
                  <c:v>19.899999999999999</c:v>
                </c:pt>
                <c:pt idx="23">
                  <c:v>19.600000000000001</c:v>
                </c:pt>
                <c:pt idx="24">
                  <c:v>20.2</c:v>
                </c:pt>
                <c:pt idx="25">
                  <c:v>20.7</c:v>
                </c:pt>
                <c:pt idx="26">
                  <c:v>19.3</c:v>
                </c:pt>
                <c:pt idx="27">
                  <c:v>20.100000000000001</c:v>
                </c:pt>
                <c:pt idx="28">
                  <c:v>20.100000000000001</c:v>
                </c:pt>
                <c:pt idx="29">
                  <c:v>21.4</c:v>
                </c:pt>
                <c:pt idx="30">
                  <c:v>23.5</c:v>
                </c:pt>
                <c:pt idx="31">
                  <c:v>22.7</c:v>
                </c:pt>
                <c:pt idx="32">
                  <c:v>20.6</c:v>
                </c:pt>
                <c:pt idx="33">
                  <c:v>21</c:v>
                </c:pt>
                <c:pt idx="34">
                  <c:v>18.899999999999999</c:v>
                </c:pt>
                <c:pt idx="35">
                  <c:v>19.100000000000001</c:v>
                </c:pt>
                <c:pt idx="36">
                  <c:v>34.1</c:v>
                </c:pt>
                <c:pt idx="37">
                  <c:v>37.799999999999997</c:v>
                </c:pt>
                <c:pt idx="38">
                  <c:v>30.3</c:v>
                </c:pt>
                <c:pt idx="39">
                  <c:v>28.4</c:v>
                </c:pt>
                <c:pt idx="40">
                  <c:v>18.2</c:v>
                </c:pt>
                <c:pt idx="41">
                  <c:v>18.8</c:v>
                </c:pt>
                <c:pt idx="42">
                  <c:v>19</c:v>
                </c:pt>
                <c:pt idx="43">
                  <c:v>19.5</c:v>
                </c:pt>
                <c:pt idx="44">
                  <c:v>16.899999999999999</c:v>
                </c:pt>
                <c:pt idx="45">
                  <c:v>17</c:v>
                </c:pt>
                <c:pt idx="46">
                  <c:v>17</c:v>
                </c:pt>
                <c:pt idx="47">
                  <c:v>17.399999999999999</c:v>
                </c:pt>
                <c:pt idx="48">
                  <c:v>26.1</c:v>
                </c:pt>
                <c:pt idx="49">
                  <c:v>27</c:v>
                </c:pt>
                <c:pt idx="50">
                  <c:v>31.4</c:v>
                </c:pt>
                <c:pt idx="51">
                  <c:v>31.4</c:v>
                </c:pt>
                <c:pt idx="52">
                  <c:v>26.3</c:v>
                </c:pt>
                <c:pt idx="53">
                  <c:v>23.6</c:v>
                </c:pt>
                <c:pt idx="54">
                  <c:v>22.3</c:v>
                </c:pt>
                <c:pt idx="55">
                  <c:v>25.2</c:v>
                </c:pt>
                <c:pt idx="56">
                  <c:v>24.1</c:v>
                </c:pt>
                <c:pt idx="57">
                  <c:v>24.8</c:v>
                </c:pt>
                <c:pt idx="58">
                  <c:v>32</c:v>
                </c:pt>
                <c:pt idx="59">
                  <c:v>32.799999999999997</c:v>
                </c:pt>
                <c:pt idx="60">
                  <c:v>30.7</c:v>
                </c:pt>
                <c:pt idx="61">
                  <c:v>31.8</c:v>
                </c:pt>
                <c:pt idx="62">
                  <c:v>32.700000000000003</c:v>
                </c:pt>
                <c:pt idx="63">
                  <c:v>33.299999999999997</c:v>
                </c:pt>
                <c:pt idx="64">
                  <c:v>31.3</c:v>
                </c:pt>
                <c:pt idx="65">
                  <c:v>32.299999999999997</c:v>
                </c:pt>
                <c:pt idx="66">
                  <c:v>20.399999999999999</c:v>
                </c:pt>
                <c:pt idx="67">
                  <c:v>20.9</c:v>
                </c:pt>
                <c:pt idx="68">
                  <c:v>20.3</c:v>
                </c:pt>
                <c:pt idx="69">
                  <c:v>20.2</c:v>
                </c:pt>
                <c:pt idx="70">
                  <c:v>19.100000000000001</c:v>
                </c:pt>
                <c:pt idx="71">
                  <c:v>19.899999999999999</c:v>
                </c:pt>
                <c:pt idx="72">
                  <c:v>24.4</c:v>
                </c:pt>
                <c:pt idx="73">
                  <c:v>24.9</c:v>
                </c:pt>
                <c:pt idx="74">
                  <c:v>26.2</c:v>
                </c:pt>
                <c:pt idx="75">
                  <c:v>30.5</c:v>
                </c:pt>
                <c:pt idx="76">
                  <c:v>22.1</c:v>
                </c:pt>
                <c:pt idx="77">
                  <c:v>22.9</c:v>
                </c:pt>
                <c:pt idx="78">
                  <c:v>30.6</c:v>
                </c:pt>
                <c:pt idx="79">
                  <c:v>31.1</c:v>
                </c:pt>
                <c:pt idx="80">
                  <c:v>31</c:v>
                </c:pt>
                <c:pt idx="81">
                  <c:v>29.3</c:v>
                </c:pt>
                <c:pt idx="82">
                  <c:v>30.4</c:v>
                </c:pt>
                <c:pt idx="83">
                  <c:v>29.6</c:v>
                </c:pt>
                <c:pt idx="84">
                  <c:v>29.6</c:v>
                </c:pt>
                <c:pt idx="85">
                  <c:v>31.4</c:v>
                </c:pt>
                <c:pt idx="86">
                  <c:v>34.700000000000003</c:v>
                </c:pt>
                <c:pt idx="87">
                  <c:v>30.8</c:v>
                </c:pt>
                <c:pt idx="88">
                  <c:v>31.3</c:v>
                </c:pt>
                <c:pt idx="89">
                  <c:v>34.1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D-4082-9D3A-A75C99AEA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096239"/>
        <c:axId val="1527101519"/>
      </c:scatterChart>
      <c:valAx>
        <c:axId val="152709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01519"/>
        <c:crosses val="autoZero"/>
        <c:crossBetween val="midCat"/>
      </c:valAx>
      <c:valAx>
        <c:axId val="152710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9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Data_All_TempTime!$AV$162</c:f>
              <c:strCache>
                <c:ptCount val="1"/>
                <c:pt idx="0">
                  <c:v>Temp_D_S1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Data_All_TempTime!$AU$163:$AU$185</c:f>
              <c:numCache>
                <c:formatCode>General</c:formatCode>
                <c:ptCount val="23"/>
                <c:pt idx="0">
                  <c:v>1987</c:v>
                </c:pt>
                <c:pt idx="1">
                  <c:v>1987</c:v>
                </c:pt>
                <c:pt idx="2">
                  <c:v>1720</c:v>
                </c:pt>
                <c:pt idx="3">
                  <c:v>1720</c:v>
                </c:pt>
                <c:pt idx="4">
                  <c:v>1681</c:v>
                </c:pt>
                <c:pt idx="5">
                  <c:v>1681</c:v>
                </c:pt>
                <c:pt idx="6">
                  <c:v>1675</c:v>
                </c:pt>
                <c:pt idx="7">
                  <c:v>1675</c:v>
                </c:pt>
                <c:pt idx="8">
                  <c:v>1779</c:v>
                </c:pt>
                <c:pt idx="9">
                  <c:v>1779</c:v>
                </c:pt>
                <c:pt idx="10">
                  <c:v>727</c:v>
                </c:pt>
                <c:pt idx="11">
                  <c:v>727</c:v>
                </c:pt>
                <c:pt idx="12">
                  <c:v>727</c:v>
                </c:pt>
                <c:pt idx="13">
                  <c:v>727</c:v>
                </c:pt>
                <c:pt idx="14">
                  <c:v>1558</c:v>
                </c:pt>
                <c:pt idx="15">
                  <c:v>1558</c:v>
                </c:pt>
                <c:pt idx="16">
                  <c:v>1535</c:v>
                </c:pt>
                <c:pt idx="17">
                  <c:v>1535</c:v>
                </c:pt>
                <c:pt idx="18">
                  <c:v>749</c:v>
                </c:pt>
                <c:pt idx="19">
                  <c:v>1213</c:v>
                </c:pt>
                <c:pt idx="20">
                  <c:v>1203</c:v>
                </c:pt>
                <c:pt idx="21">
                  <c:v>1265</c:v>
                </c:pt>
                <c:pt idx="22">
                  <c:v>1265</c:v>
                </c:pt>
              </c:numCache>
            </c:numRef>
          </c:xVal>
          <c:yVal>
            <c:numRef>
              <c:f>Data_All_TempTime!$AV$163:$AV$185</c:f>
              <c:numCache>
                <c:formatCode>General</c:formatCode>
                <c:ptCount val="23"/>
                <c:pt idx="0">
                  <c:v>23.2</c:v>
                </c:pt>
                <c:pt idx="1">
                  <c:v>24.1</c:v>
                </c:pt>
                <c:pt idx="2">
                  <c:v>22.3</c:v>
                </c:pt>
                <c:pt idx="3">
                  <c:v>23.3</c:v>
                </c:pt>
                <c:pt idx="4">
                  <c:v>20.9</c:v>
                </c:pt>
                <c:pt idx="5">
                  <c:v>21.5</c:v>
                </c:pt>
                <c:pt idx="6">
                  <c:v>20</c:v>
                </c:pt>
                <c:pt idx="7">
                  <c:v>19.899999999999999</c:v>
                </c:pt>
                <c:pt idx="8">
                  <c:v>19.7</c:v>
                </c:pt>
                <c:pt idx="9">
                  <c:v>20</c:v>
                </c:pt>
                <c:pt idx="10">
                  <c:v>29.4</c:v>
                </c:pt>
                <c:pt idx="11">
                  <c:v>30.5</c:v>
                </c:pt>
                <c:pt idx="12">
                  <c:v>30.7</c:v>
                </c:pt>
                <c:pt idx="13">
                  <c:v>30</c:v>
                </c:pt>
                <c:pt idx="14">
                  <c:v>21.5</c:v>
                </c:pt>
                <c:pt idx="15">
                  <c:v>21.2</c:v>
                </c:pt>
                <c:pt idx="16">
                  <c:v>20</c:v>
                </c:pt>
                <c:pt idx="17">
                  <c:v>20.5</c:v>
                </c:pt>
                <c:pt idx="18">
                  <c:v>28</c:v>
                </c:pt>
                <c:pt idx="19">
                  <c:v>26.5</c:v>
                </c:pt>
                <c:pt idx="20">
                  <c:v>26.2</c:v>
                </c:pt>
                <c:pt idx="21">
                  <c:v>24.6</c:v>
                </c:pt>
                <c:pt idx="22">
                  <c:v>24.6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F6-42CA-B6BC-BEB410DAF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268799"/>
        <c:axId val="1353270239"/>
      </c:scatterChart>
      <c:valAx>
        <c:axId val="135326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70239"/>
        <c:crosses val="autoZero"/>
        <c:crossBetween val="midCat"/>
      </c:valAx>
      <c:valAx>
        <c:axId val="13532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6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Data_All_TempTime!$AW$2</c:f>
              <c:strCache>
                <c:ptCount val="1"/>
                <c:pt idx="0">
                  <c:v>Temp_L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Data_All_TempTime!$AU$3:$AU$68</c:f>
              <c:numCache>
                <c:formatCode>General</c:formatCode>
                <c:ptCount val="66"/>
                <c:pt idx="0">
                  <c:v>1900</c:v>
                </c:pt>
                <c:pt idx="1">
                  <c:v>1900</c:v>
                </c:pt>
                <c:pt idx="2">
                  <c:v>1900</c:v>
                </c:pt>
                <c:pt idx="3">
                  <c:v>1900</c:v>
                </c:pt>
                <c:pt idx="4">
                  <c:v>1895</c:v>
                </c:pt>
                <c:pt idx="5">
                  <c:v>1895</c:v>
                </c:pt>
                <c:pt idx="6">
                  <c:v>1895</c:v>
                </c:pt>
                <c:pt idx="7">
                  <c:v>1895</c:v>
                </c:pt>
                <c:pt idx="8">
                  <c:v>1635</c:v>
                </c:pt>
                <c:pt idx="9">
                  <c:v>1635</c:v>
                </c:pt>
                <c:pt idx="10">
                  <c:v>1647</c:v>
                </c:pt>
                <c:pt idx="11">
                  <c:v>1647</c:v>
                </c:pt>
                <c:pt idx="12">
                  <c:v>1467</c:v>
                </c:pt>
                <c:pt idx="13">
                  <c:v>1467</c:v>
                </c:pt>
                <c:pt idx="14">
                  <c:v>1471</c:v>
                </c:pt>
                <c:pt idx="15">
                  <c:v>1471</c:v>
                </c:pt>
                <c:pt idx="16">
                  <c:v>1471</c:v>
                </c:pt>
                <c:pt idx="17">
                  <c:v>1471</c:v>
                </c:pt>
                <c:pt idx="18">
                  <c:v>1839</c:v>
                </c:pt>
                <c:pt idx="19">
                  <c:v>1839</c:v>
                </c:pt>
                <c:pt idx="20">
                  <c:v>1839</c:v>
                </c:pt>
                <c:pt idx="21">
                  <c:v>1839</c:v>
                </c:pt>
                <c:pt idx="22">
                  <c:v>1941</c:v>
                </c:pt>
                <c:pt idx="23">
                  <c:v>1941</c:v>
                </c:pt>
                <c:pt idx="24">
                  <c:v>1941</c:v>
                </c:pt>
                <c:pt idx="25">
                  <c:v>1941</c:v>
                </c:pt>
                <c:pt idx="26">
                  <c:v>1960</c:v>
                </c:pt>
                <c:pt idx="27">
                  <c:v>1960</c:v>
                </c:pt>
                <c:pt idx="28">
                  <c:v>1960</c:v>
                </c:pt>
                <c:pt idx="29">
                  <c:v>1960</c:v>
                </c:pt>
                <c:pt idx="30">
                  <c:v>682</c:v>
                </c:pt>
                <c:pt idx="31">
                  <c:v>682</c:v>
                </c:pt>
                <c:pt idx="32">
                  <c:v>682</c:v>
                </c:pt>
                <c:pt idx="33">
                  <c:v>682</c:v>
                </c:pt>
                <c:pt idx="34">
                  <c:v>1731</c:v>
                </c:pt>
                <c:pt idx="35">
                  <c:v>1731</c:v>
                </c:pt>
                <c:pt idx="36">
                  <c:v>1731</c:v>
                </c:pt>
                <c:pt idx="37">
                  <c:v>1731</c:v>
                </c:pt>
                <c:pt idx="38">
                  <c:v>1628</c:v>
                </c:pt>
                <c:pt idx="39">
                  <c:v>1628</c:v>
                </c:pt>
                <c:pt idx="40">
                  <c:v>1628</c:v>
                </c:pt>
                <c:pt idx="41">
                  <c:v>1628</c:v>
                </c:pt>
                <c:pt idx="42">
                  <c:v>1251</c:v>
                </c:pt>
                <c:pt idx="43">
                  <c:v>1251</c:v>
                </c:pt>
                <c:pt idx="44">
                  <c:v>1284</c:v>
                </c:pt>
                <c:pt idx="45">
                  <c:v>1284</c:v>
                </c:pt>
                <c:pt idx="46">
                  <c:v>1340</c:v>
                </c:pt>
                <c:pt idx="47">
                  <c:v>1340</c:v>
                </c:pt>
                <c:pt idx="48">
                  <c:v>1753</c:v>
                </c:pt>
                <c:pt idx="49">
                  <c:v>1753</c:v>
                </c:pt>
                <c:pt idx="50">
                  <c:v>1638.91</c:v>
                </c:pt>
                <c:pt idx="51">
                  <c:v>1638.91</c:v>
                </c:pt>
                <c:pt idx="52">
                  <c:v>738</c:v>
                </c:pt>
                <c:pt idx="53">
                  <c:v>738</c:v>
                </c:pt>
                <c:pt idx="54">
                  <c:v>738</c:v>
                </c:pt>
                <c:pt idx="55">
                  <c:v>738</c:v>
                </c:pt>
                <c:pt idx="56">
                  <c:v>738</c:v>
                </c:pt>
                <c:pt idx="57">
                  <c:v>738</c:v>
                </c:pt>
                <c:pt idx="58">
                  <c:v>738</c:v>
                </c:pt>
                <c:pt idx="59">
                  <c:v>738</c:v>
                </c:pt>
                <c:pt idx="60">
                  <c:v>1083</c:v>
                </c:pt>
                <c:pt idx="61">
                  <c:v>1083</c:v>
                </c:pt>
                <c:pt idx="62">
                  <c:v>1210</c:v>
                </c:pt>
                <c:pt idx="63">
                  <c:v>1210</c:v>
                </c:pt>
                <c:pt idx="64">
                  <c:v>711</c:v>
                </c:pt>
                <c:pt idx="65">
                  <c:v>711</c:v>
                </c:pt>
              </c:numCache>
            </c:numRef>
          </c:xVal>
          <c:yVal>
            <c:numRef>
              <c:f>Data_All_TempTime!$AW$3:$AW$68</c:f>
              <c:numCache>
                <c:formatCode>General</c:formatCode>
                <c:ptCount val="66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26.7</c:v>
                </c:pt>
                <c:pt idx="9">
                  <c:v>26.7</c:v>
                </c:pt>
                <c:pt idx="10">
                  <c:v>28.5</c:v>
                </c:pt>
                <c:pt idx="11">
                  <c:v>28.5</c:v>
                </c:pt>
                <c:pt idx="12">
                  <c:v>23.3</c:v>
                </c:pt>
                <c:pt idx="13">
                  <c:v>23.3</c:v>
                </c:pt>
                <c:pt idx="14">
                  <c:v>22.2</c:v>
                </c:pt>
                <c:pt idx="15">
                  <c:v>22.2</c:v>
                </c:pt>
                <c:pt idx="16">
                  <c:v>22.2</c:v>
                </c:pt>
                <c:pt idx="17">
                  <c:v>22.2</c:v>
                </c:pt>
                <c:pt idx="18">
                  <c:v>19.2</c:v>
                </c:pt>
                <c:pt idx="19">
                  <c:v>19.2</c:v>
                </c:pt>
                <c:pt idx="20">
                  <c:v>19.2</c:v>
                </c:pt>
                <c:pt idx="21">
                  <c:v>19.2</c:v>
                </c:pt>
                <c:pt idx="22">
                  <c:v>19.2</c:v>
                </c:pt>
                <c:pt idx="23">
                  <c:v>19.2</c:v>
                </c:pt>
                <c:pt idx="24">
                  <c:v>19.2</c:v>
                </c:pt>
                <c:pt idx="25">
                  <c:v>19.2</c:v>
                </c:pt>
                <c:pt idx="26">
                  <c:v>19.2</c:v>
                </c:pt>
                <c:pt idx="27">
                  <c:v>19.2</c:v>
                </c:pt>
                <c:pt idx="28">
                  <c:v>19.2</c:v>
                </c:pt>
                <c:pt idx="29">
                  <c:v>19.2</c:v>
                </c:pt>
                <c:pt idx="30">
                  <c:v>25.1</c:v>
                </c:pt>
                <c:pt idx="31">
                  <c:v>25.1</c:v>
                </c:pt>
                <c:pt idx="32">
                  <c:v>25.1</c:v>
                </c:pt>
                <c:pt idx="33">
                  <c:v>25.1</c:v>
                </c:pt>
                <c:pt idx="34">
                  <c:v>21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20</c:v>
                </c:pt>
                <c:pt idx="43">
                  <c:v>20</c:v>
                </c:pt>
                <c:pt idx="44">
                  <c:v>21</c:v>
                </c:pt>
                <c:pt idx="45">
                  <c:v>21</c:v>
                </c:pt>
                <c:pt idx="46">
                  <c:v>22</c:v>
                </c:pt>
                <c:pt idx="47">
                  <c:v>22</c:v>
                </c:pt>
                <c:pt idx="48">
                  <c:v>16</c:v>
                </c:pt>
                <c:pt idx="49">
                  <c:v>16</c:v>
                </c:pt>
                <c:pt idx="50">
                  <c:v>19</c:v>
                </c:pt>
                <c:pt idx="51">
                  <c:v>19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99-489E-AFAF-FD0A5825F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128015"/>
        <c:axId val="1625125615"/>
      </c:scatterChart>
      <c:valAx>
        <c:axId val="162512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25615"/>
        <c:crosses val="autoZero"/>
        <c:crossBetween val="midCat"/>
      </c:valAx>
      <c:valAx>
        <c:axId val="16251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12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Data_All_TempTime!$AW$70</c:f>
              <c:strCache>
                <c:ptCount val="1"/>
                <c:pt idx="0">
                  <c:v>Temp_L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Data_All_TempTime!$AU$71:$AU$160</c:f>
              <c:numCache>
                <c:formatCode>General</c:formatCode>
                <c:ptCount val="90"/>
                <c:pt idx="0">
                  <c:v>2002</c:v>
                </c:pt>
                <c:pt idx="1">
                  <c:v>2002</c:v>
                </c:pt>
                <c:pt idx="2">
                  <c:v>1823</c:v>
                </c:pt>
                <c:pt idx="3">
                  <c:v>1823</c:v>
                </c:pt>
                <c:pt idx="4">
                  <c:v>1612</c:v>
                </c:pt>
                <c:pt idx="5">
                  <c:v>1612</c:v>
                </c:pt>
                <c:pt idx="6">
                  <c:v>2122</c:v>
                </c:pt>
                <c:pt idx="7">
                  <c:v>2122</c:v>
                </c:pt>
                <c:pt idx="8">
                  <c:v>2122</c:v>
                </c:pt>
                <c:pt idx="9">
                  <c:v>2122</c:v>
                </c:pt>
                <c:pt idx="10">
                  <c:v>2077</c:v>
                </c:pt>
                <c:pt idx="11">
                  <c:v>2077</c:v>
                </c:pt>
                <c:pt idx="12">
                  <c:v>2077</c:v>
                </c:pt>
                <c:pt idx="13">
                  <c:v>2077</c:v>
                </c:pt>
                <c:pt idx="14">
                  <c:v>2074</c:v>
                </c:pt>
                <c:pt idx="15">
                  <c:v>2074</c:v>
                </c:pt>
                <c:pt idx="16">
                  <c:v>2074</c:v>
                </c:pt>
                <c:pt idx="17">
                  <c:v>2074</c:v>
                </c:pt>
                <c:pt idx="18">
                  <c:v>1434</c:v>
                </c:pt>
                <c:pt idx="19">
                  <c:v>1434</c:v>
                </c:pt>
                <c:pt idx="20">
                  <c:v>2176</c:v>
                </c:pt>
                <c:pt idx="21">
                  <c:v>2176</c:v>
                </c:pt>
                <c:pt idx="22">
                  <c:v>2193</c:v>
                </c:pt>
                <c:pt idx="23">
                  <c:v>2193</c:v>
                </c:pt>
                <c:pt idx="24">
                  <c:v>2088</c:v>
                </c:pt>
                <c:pt idx="25">
                  <c:v>2088</c:v>
                </c:pt>
                <c:pt idx="26">
                  <c:v>1894</c:v>
                </c:pt>
                <c:pt idx="27">
                  <c:v>1894</c:v>
                </c:pt>
                <c:pt idx="28">
                  <c:v>1709</c:v>
                </c:pt>
                <c:pt idx="29">
                  <c:v>1709</c:v>
                </c:pt>
                <c:pt idx="30">
                  <c:v>1597</c:v>
                </c:pt>
                <c:pt idx="31">
                  <c:v>1597</c:v>
                </c:pt>
                <c:pt idx="32">
                  <c:v>1866</c:v>
                </c:pt>
                <c:pt idx="33">
                  <c:v>1866</c:v>
                </c:pt>
                <c:pt idx="34">
                  <c:v>1870</c:v>
                </c:pt>
                <c:pt idx="35">
                  <c:v>1870</c:v>
                </c:pt>
                <c:pt idx="36">
                  <c:v>1763</c:v>
                </c:pt>
                <c:pt idx="37">
                  <c:v>1763</c:v>
                </c:pt>
                <c:pt idx="38">
                  <c:v>1816</c:v>
                </c:pt>
                <c:pt idx="39">
                  <c:v>1816</c:v>
                </c:pt>
                <c:pt idx="40">
                  <c:v>2257</c:v>
                </c:pt>
                <c:pt idx="41">
                  <c:v>2257</c:v>
                </c:pt>
                <c:pt idx="42">
                  <c:v>2239</c:v>
                </c:pt>
                <c:pt idx="43">
                  <c:v>2239</c:v>
                </c:pt>
                <c:pt idx="44">
                  <c:v>1751</c:v>
                </c:pt>
                <c:pt idx="45">
                  <c:v>1751</c:v>
                </c:pt>
                <c:pt idx="46">
                  <c:v>1751</c:v>
                </c:pt>
                <c:pt idx="47">
                  <c:v>1751</c:v>
                </c:pt>
                <c:pt idx="48">
                  <c:v>1320</c:v>
                </c:pt>
                <c:pt idx="49">
                  <c:v>1320</c:v>
                </c:pt>
                <c:pt idx="50">
                  <c:v>1320</c:v>
                </c:pt>
                <c:pt idx="51">
                  <c:v>1320</c:v>
                </c:pt>
                <c:pt idx="52">
                  <c:v>1485</c:v>
                </c:pt>
                <c:pt idx="53">
                  <c:v>1485</c:v>
                </c:pt>
                <c:pt idx="54">
                  <c:v>1406</c:v>
                </c:pt>
                <c:pt idx="55">
                  <c:v>1406</c:v>
                </c:pt>
                <c:pt idx="56">
                  <c:v>1382</c:v>
                </c:pt>
                <c:pt idx="57">
                  <c:v>1382</c:v>
                </c:pt>
                <c:pt idx="58">
                  <c:v>1170</c:v>
                </c:pt>
                <c:pt idx="59">
                  <c:v>1170</c:v>
                </c:pt>
                <c:pt idx="60">
                  <c:v>1170</c:v>
                </c:pt>
                <c:pt idx="61">
                  <c:v>1170</c:v>
                </c:pt>
                <c:pt idx="62">
                  <c:v>1156</c:v>
                </c:pt>
                <c:pt idx="63">
                  <c:v>1156</c:v>
                </c:pt>
                <c:pt idx="64">
                  <c:v>1156</c:v>
                </c:pt>
                <c:pt idx="65">
                  <c:v>1156</c:v>
                </c:pt>
                <c:pt idx="66">
                  <c:v>1519</c:v>
                </c:pt>
                <c:pt idx="67">
                  <c:v>1518</c:v>
                </c:pt>
                <c:pt idx="68">
                  <c:v>1551</c:v>
                </c:pt>
                <c:pt idx="69">
                  <c:v>1551</c:v>
                </c:pt>
                <c:pt idx="70">
                  <c:v>1618</c:v>
                </c:pt>
                <c:pt idx="71">
                  <c:v>1618</c:v>
                </c:pt>
                <c:pt idx="72">
                  <c:v>1466</c:v>
                </c:pt>
                <c:pt idx="73">
                  <c:v>1466</c:v>
                </c:pt>
                <c:pt idx="74">
                  <c:v>1349</c:v>
                </c:pt>
                <c:pt idx="75">
                  <c:v>1349</c:v>
                </c:pt>
                <c:pt idx="76">
                  <c:v>1567.28</c:v>
                </c:pt>
                <c:pt idx="77">
                  <c:v>1567.28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48</c:v>
                </c:pt>
                <c:pt idx="87">
                  <c:v>48</c:v>
                </c:pt>
                <c:pt idx="88">
                  <c:v>48</c:v>
                </c:pt>
                <c:pt idx="89">
                  <c:v>48</c:v>
                </c:pt>
              </c:numCache>
            </c:numRef>
          </c:xVal>
          <c:yVal>
            <c:numRef>
              <c:f>Data_All_TempTime!$AW$71:$AW$160</c:f>
              <c:numCache>
                <c:formatCode>General</c:formatCode>
                <c:ptCount val="90"/>
                <c:pt idx="0">
                  <c:v>28.1</c:v>
                </c:pt>
                <c:pt idx="1">
                  <c:v>28.1</c:v>
                </c:pt>
                <c:pt idx="2">
                  <c:v>27</c:v>
                </c:pt>
                <c:pt idx="3">
                  <c:v>27</c:v>
                </c:pt>
                <c:pt idx="4">
                  <c:v>20</c:v>
                </c:pt>
                <c:pt idx="5">
                  <c:v>20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28.7</c:v>
                </c:pt>
                <c:pt idx="15">
                  <c:v>28.7</c:v>
                </c:pt>
                <c:pt idx="16">
                  <c:v>28.7</c:v>
                </c:pt>
                <c:pt idx="17">
                  <c:v>28.7</c:v>
                </c:pt>
                <c:pt idx="18">
                  <c:v>24.1</c:v>
                </c:pt>
                <c:pt idx="19">
                  <c:v>24.1</c:v>
                </c:pt>
                <c:pt idx="20">
                  <c:v>27.1</c:v>
                </c:pt>
                <c:pt idx="21">
                  <c:v>27.1</c:v>
                </c:pt>
                <c:pt idx="22">
                  <c:v>25.9</c:v>
                </c:pt>
                <c:pt idx="23">
                  <c:v>25.9</c:v>
                </c:pt>
                <c:pt idx="24">
                  <c:v>22.1</c:v>
                </c:pt>
                <c:pt idx="25">
                  <c:v>22.1</c:v>
                </c:pt>
                <c:pt idx="26">
                  <c:v>20.3</c:v>
                </c:pt>
                <c:pt idx="27">
                  <c:v>20.3</c:v>
                </c:pt>
                <c:pt idx="28">
                  <c:v>29.7</c:v>
                </c:pt>
                <c:pt idx="29">
                  <c:v>29.7</c:v>
                </c:pt>
                <c:pt idx="30">
                  <c:v>27</c:v>
                </c:pt>
                <c:pt idx="31">
                  <c:v>27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32.6</c:v>
                </c:pt>
                <c:pt idx="37">
                  <c:v>32.6</c:v>
                </c:pt>
                <c:pt idx="38">
                  <c:v>34.5</c:v>
                </c:pt>
                <c:pt idx="39">
                  <c:v>34.5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27.1</c:v>
                </c:pt>
                <c:pt idx="53">
                  <c:v>27.1</c:v>
                </c:pt>
                <c:pt idx="54">
                  <c:v>26.8</c:v>
                </c:pt>
                <c:pt idx="55">
                  <c:v>26.8</c:v>
                </c:pt>
                <c:pt idx="56">
                  <c:v>26.2</c:v>
                </c:pt>
                <c:pt idx="57">
                  <c:v>26.2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20.9</c:v>
                </c:pt>
                <c:pt idx="67">
                  <c:v>20.9</c:v>
                </c:pt>
                <c:pt idx="68">
                  <c:v>18.5</c:v>
                </c:pt>
                <c:pt idx="69">
                  <c:v>18.5</c:v>
                </c:pt>
                <c:pt idx="70">
                  <c:v>20.6</c:v>
                </c:pt>
                <c:pt idx="71">
                  <c:v>20.6</c:v>
                </c:pt>
                <c:pt idx="72">
                  <c:v>23</c:v>
                </c:pt>
                <c:pt idx="73">
                  <c:v>23</c:v>
                </c:pt>
                <c:pt idx="74">
                  <c:v>22</c:v>
                </c:pt>
                <c:pt idx="75">
                  <c:v>22</c:v>
                </c:pt>
                <c:pt idx="76">
                  <c:v>21</c:v>
                </c:pt>
                <c:pt idx="77">
                  <c:v>21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D0-4F21-847C-C61C8097E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952111"/>
        <c:axId val="1727948271"/>
      </c:scatterChart>
      <c:valAx>
        <c:axId val="172795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48271"/>
        <c:crosses val="autoZero"/>
        <c:crossBetween val="midCat"/>
      </c:valAx>
      <c:valAx>
        <c:axId val="172794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5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Data_All_TempTime!$AW$162</c:f>
              <c:strCache>
                <c:ptCount val="1"/>
                <c:pt idx="0">
                  <c:v>Temp_L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Data_All_TempTime!$AU$163:$AU$185</c:f>
              <c:numCache>
                <c:formatCode>General</c:formatCode>
                <c:ptCount val="23"/>
                <c:pt idx="0">
                  <c:v>1987</c:v>
                </c:pt>
                <c:pt idx="1">
                  <c:v>1987</c:v>
                </c:pt>
                <c:pt idx="2">
                  <c:v>1720</c:v>
                </c:pt>
                <c:pt idx="3">
                  <c:v>1720</c:v>
                </c:pt>
                <c:pt idx="4">
                  <c:v>1681</c:v>
                </c:pt>
                <c:pt idx="5">
                  <c:v>1681</c:v>
                </c:pt>
                <c:pt idx="6">
                  <c:v>1675</c:v>
                </c:pt>
                <c:pt idx="7">
                  <c:v>1675</c:v>
                </c:pt>
                <c:pt idx="8">
                  <c:v>1779</c:v>
                </c:pt>
                <c:pt idx="9">
                  <c:v>1779</c:v>
                </c:pt>
                <c:pt idx="10">
                  <c:v>727</c:v>
                </c:pt>
                <c:pt idx="11">
                  <c:v>727</c:v>
                </c:pt>
                <c:pt idx="12">
                  <c:v>727</c:v>
                </c:pt>
                <c:pt idx="13">
                  <c:v>727</c:v>
                </c:pt>
                <c:pt idx="14">
                  <c:v>1558</c:v>
                </c:pt>
                <c:pt idx="15">
                  <c:v>1558</c:v>
                </c:pt>
                <c:pt idx="16">
                  <c:v>1535</c:v>
                </c:pt>
                <c:pt idx="17">
                  <c:v>1535</c:v>
                </c:pt>
                <c:pt idx="18">
                  <c:v>749</c:v>
                </c:pt>
                <c:pt idx="19">
                  <c:v>1213</c:v>
                </c:pt>
                <c:pt idx="20">
                  <c:v>1203</c:v>
                </c:pt>
                <c:pt idx="21">
                  <c:v>1265</c:v>
                </c:pt>
                <c:pt idx="22">
                  <c:v>1265</c:v>
                </c:pt>
              </c:numCache>
            </c:numRef>
          </c:xVal>
          <c:yVal>
            <c:numRef>
              <c:f>Data_All_TempTime!$AW$163:$AW$185</c:f>
              <c:numCache>
                <c:formatCode>General</c:formatCode>
                <c:ptCount val="23"/>
                <c:pt idx="0">
                  <c:v>26.8</c:v>
                </c:pt>
                <c:pt idx="1">
                  <c:v>26.8</c:v>
                </c:pt>
                <c:pt idx="2">
                  <c:v>22.4</c:v>
                </c:pt>
                <c:pt idx="3">
                  <c:v>22.4</c:v>
                </c:pt>
                <c:pt idx="4">
                  <c:v>20.9</c:v>
                </c:pt>
                <c:pt idx="5">
                  <c:v>20.9</c:v>
                </c:pt>
                <c:pt idx="6">
                  <c:v>20.9</c:v>
                </c:pt>
                <c:pt idx="7">
                  <c:v>20.9</c:v>
                </c:pt>
                <c:pt idx="8">
                  <c:v>20.5</c:v>
                </c:pt>
                <c:pt idx="9">
                  <c:v>20.5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25</c:v>
                </c:pt>
                <c:pt idx="19">
                  <c:v>22</c:v>
                </c:pt>
                <c:pt idx="20">
                  <c:v>22</c:v>
                </c:pt>
                <c:pt idx="21">
                  <c:v>20</c:v>
                </c:pt>
                <c:pt idx="2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A4-4BD7-84DA-B0CE23DEA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060447"/>
        <c:axId val="1580062847"/>
      </c:scatterChart>
      <c:valAx>
        <c:axId val="158006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62847"/>
        <c:crosses val="autoZero"/>
        <c:crossBetween val="midCat"/>
      </c:valAx>
      <c:valAx>
        <c:axId val="158006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6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72838</xdr:colOff>
      <xdr:row>7</xdr:row>
      <xdr:rowOff>113179</xdr:rowOff>
    </xdr:from>
    <xdr:to>
      <xdr:col>22</xdr:col>
      <xdr:colOff>151279</xdr:colOff>
      <xdr:row>21</xdr:row>
      <xdr:rowOff>189379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DC4947-D3E5-3AC5-CABA-D81A9B226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72837</xdr:colOff>
      <xdr:row>23</xdr:row>
      <xdr:rowOff>23533</xdr:rowOff>
    </xdr:from>
    <xdr:to>
      <xdr:col>22</xdr:col>
      <xdr:colOff>151278</xdr:colOff>
      <xdr:row>37</xdr:row>
      <xdr:rowOff>99733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3A2046-E261-D791-8ACF-A49EC73A3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100988</xdr:colOff>
      <xdr:row>37</xdr:row>
      <xdr:rowOff>194860</xdr:rowOff>
    </xdr:from>
    <xdr:to>
      <xdr:col>22</xdr:col>
      <xdr:colOff>162958</xdr:colOff>
      <xdr:row>52</xdr:row>
      <xdr:rowOff>11704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DB9FBE-A8D7-9EE1-D5B8-D1722D878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61040</xdr:colOff>
      <xdr:row>27</xdr:row>
      <xdr:rowOff>64057</xdr:rowOff>
    </xdr:from>
    <xdr:to>
      <xdr:col>23</xdr:col>
      <xdr:colOff>546815</xdr:colOff>
      <xdr:row>41</xdr:row>
      <xdr:rowOff>140257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B4B134-DBBF-E0E5-0728-AAA10868E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70565</xdr:colOff>
      <xdr:row>41</xdr:row>
      <xdr:rowOff>138112</xdr:rowOff>
    </xdr:from>
    <xdr:to>
      <xdr:col>23</xdr:col>
      <xdr:colOff>556340</xdr:colOff>
      <xdr:row>56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0D674B-322A-CB40-249C-A96FFBA37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14757</xdr:colOff>
      <xdr:row>41</xdr:row>
      <xdr:rowOff>144351</xdr:rowOff>
    </xdr:from>
    <xdr:to>
      <xdr:col>30</xdr:col>
      <xdr:colOff>159644</xdr:colOff>
      <xdr:row>56</xdr:row>
      <xdr:rowOff>70298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E4D5F26-8AFD-5D87-F7A7-510E5D318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14758</xdr:colOff>
      <xdr:row>27</xdr:row>
      <xdr:rowOff>37024</xdr:rowOff>
    </xdr:from>
    <xdr:to>
      <xdr:col>30</xdr:col>
      <xdr:colOff>159645</xdr:colOff>
      <xdr:row>41</xdr:row>
      <xdr:rowOff>150787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38CF625-04E6-3990-9BC8-22FE78C99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242818</xdr:colOff>
      <xdr:row>41</xdr:row>
      <xdr:rowOff>130937</xdr:rowOff>
    </xdr:from>
    <xdr:to>
      <xdr:col>37</xdr:col>
      <xdr:colOff>588938</xdr:colOff>
      <xdr:row>56</xdr:row>
      <xdr:rowOff>56884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2961818-80DA-65DF-4F1F-0D5B593A2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242819</xdr:colOff>
      <xdr:row>27</xdr:row>
      <xdr:rowOff>37026</xdr:rowOff>
    </xdr:from>
    <xdr:to>
      <xdr:col>37</xdr:col>
      <xdr:colOff>588939</xdr:colOff>
      <xdr:row>41</xdr:row>
      <xdr:rowOff>150789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E9B21A6-AFEE-91D2-24EC-A3676282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66674</xdr:colOff>
      <xdr:row>56</xdr:row>
      <xdr:rowOff>33338</xdr:rowOff>
    </xdr:from>
    <xdr:to>
      <xdr:col>23</xdr:col>
      <xdr:colOff>533399</xdr:colOff>
      <xdr:row>71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45DFC-D35F-1322-66C0-6AF677817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28574</xdr:colOff>
      <xdr:row>56</xdr:row>
      <xdr:rowOff>90488</xdr:rowOff>
    </xdr:from>
    <xdr:to>
      <xdr:col>30</xdr:col>
      <xdr:colOff>161924</xdr:colOff>
      <xdr:row>71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C4986F-B97C-9208-A3DD-D2BC05F57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257175</xdr:colOff>
      <xdr:row>56</xdr:row>
      <xdr:rowOff>90488</xdr:rowOff>
    </xdr:from>
    <xdr:to>
      <xdr:col>37</xdr:col>
      <xdr:colOff>561975</xdr:colOff>
      <xdr:row>71</xdr:row>
      <xdr:rowOff>119063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5708B6-1697-117B-D2E9-079AD4B5B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</xdr:col>
      <xdr:colOff>409221</xdr:colOff>
      <xdr:row>28</xdr:row>
      <xdr:rowOff>88605</xdr:rowOff>
    </xdr:from>
    <xdr:to>
      <xdr:col>59</xdr:col>
      <xdr:colOff>301256</xdr:colOff>
      <xdr:row>49</xdr:row>
      <xdr:rowOff>14111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94D4B0-1F1B-C678-D7DA-9B0809792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59</xdr:col>
      <xdr:colOff>367823</xdr:colOff>
      <xdr:row>28</xdr:row>
      <xdr:rowOff>85702</xdr:rowOff>
    </xdr:from>
    <xdr:to>
      <xdr:col>69</xdr:col>
      <xdr:colOff>177209</xdr:colOff>
      <xdr:row>49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E9AF3D-061C-C2F7-49C1-38CA373FC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69</xdr:col>
      <xdr:colOff>284203</xdr:colOff>
      <xdr:row>28</xdr:row>
      <xdr:rowOff>92947</xdr:rowOff>
    </xdr:from>
    <xdr:to>
      <xdr:col>79</xdr:col>
      <xdr:colOff>502920</xdr:colOff>
      <xdr:row>48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38CAA5-3727-C120-6054-9A9C38F2B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49</xdr:col>
      <xdr:colOff>388620</xdr:colOff>
      <xdr:row>50</xdr:row>
      <xdr:rowOff>175260</xdr:rowOff>
    </xdr:from>
    <xdr:to>
      <xdr:col>59</xdr:col>
      <xdr:colOff>243840</xdr:colOff>
      <xdr:row>66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37B0329-EF2F-A1CD-161D-D4F78F193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59</xdr:col>
      <xdr:colOff>388620</xdr:colOff>
      <xdr:row>50</xdr:row>
      <xdr:rowOff>160020</xdr:rowOff>
    </xdr:from>
    <xdr:to>
      <xdr:col>69</xdr:col>
      <xdr:colOff>121920</xdr:colOff>
      <xdr:row>66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04E5ACB-E0DF-6A25-1179-BD9A0F560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69</xdr:col>
      <xdr:colOff>312420</xdr:colOff>
      <xdr:row>50</xdr:row>
      <xdr:rowOff>144780</xdr:rowOff>
    </xdr:from>
    <xdr:to>
      <xdr:col>79</xdr:col>
      <xdr:colOff>502920</xdr:colOff>
      <xdr:row>66</xdr:row>
      <xdr:rowOff>121920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E781D9F-9098-D949-EC0F-4EEA63DCF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511A-4C48-481A-8E68-4C680A04F53B}">
  <dimension ref="A1:Z294"/>
  <sheetViews>
    <sheetView tabSelected="1" topLeftCell="A166" zoomScale="83" zoomScaleNormal="85" workbookViewId="0">
      <selection activeCell="M135" sqref="M135"/>
    </sheetView>
  </sheetViews>
  <sheetFormatPr defaultRowHeight="14.4" x14ac:dyDescent="0.3"/>
  <cols>
    <col min="1" max="1" width="14.6640625" style="7" customWidth="1"/>
    <col min="2" max="2" width="13.33203125" style="7" customWidth="1"/>
    <col min="3" max="8" width="8.88671875" style="7"/>
    <col min="9" max="9" width="11.6640625" style="7" customWidth="1"/>
    <col min="10" max="11" width="8.88671875" style="7"/>
    <col min="12" max="12" width="10.33203125" style="8" customWidth="1"/>
    <col min="13" max="13" width="11.33203125" style="8" customWidth="1"/>
    <col min="14" max="14" width="55.6640625" customWidth="1"/>
    <col min="16" max="16" width="12.88671875" customWidth="1"/>
    <col min="24" max="24" width="11.88671875" customWidth="1"/>
  </cols>
  <sheetData>
    <row r="1" spans="1:26" x14ac:dyDescent="0.3">
      <c r="A1" s="1" t="s">
        <v>14</v>
      </c>
      <c r="B1" s="1" t="s">
        <v>29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6" t="s">
        <v>87</v>
      </c>
    </row>
    <row r="2" spans="1:26" x14ac:dyDescent="0.3">
      <c r="A2" s="3" t="s">
        <v>15</v>
      </c>
      <c r="B2" s="4" t="s">
        <v>30</v>
      </c>
      <c r="C2" s="2">
        <v>101</v>
      </c>
      <c r="D2" s="2">
        <v>5</v>
      </c>
      <c r="E2" s="2">
        <v>7</v>
      </c>
      <c r="F2" s="2">
        <v>16</v>
      </c>
      <c r="G2" s="2">
        <v>6.2</v>
      </c>
      <c r="H2" s="2">
        <v>26.9</v>
      </c>
      <c r="I2" s="2">
        <v>20.8</v>
      </c>
      <c r="J2" s="2">
        <v>28.1</v>
      </c>
      <c r="K2" s="2">
        <v>2002</v>
      </c>
      <c r="L2" s="5" t="s">
        <v>11</v>
      </c>
      <c r="M2" s="5">
        <v>30</v>
      </c>
      <c r="N2" s="17" t="s">
        <v>88</v>
      </c>
    </row>
    <row r="3" spans="1:26" x14ac:dyDescent="0.3">
      <c r="A3" s="3" t="s">
        <v>15</v>
      </c>
      <c r="B3" s="4" t="s">
        <v>30</v>
      </c>
      <c r="C3" s="2">
        <v>41</v>
      </c>
      <c r="D3" s="2">
        <v>2</v>
      </c>
      <c r="E3" s="2">
        <v>2</v>
      </c>
      <c r="F3" s="2">
        <v>6</v>
      </c>
      <c r="G3" s="2">
        <v>6.3</v>
      </c>
      <c r="H3" s="2">
        <v>26.4</v>
      </c>
      <c r="I3" s="2">
        <v>19.899999999999999</v>
      </c>
      <c r="J3" s="2">
        <v>28.1</v>
      </c>
      <c r="K3" s="2">
        <v>2002</v>
      </c>
      <c r="L3" s="5" t="s">
        <v>11</v>
      </c>
      <c r="M3" s="5">
        <v>30</v>
      </c>
      <c r="N3" s="18" t="s">
        <v>89</v>
      </c>
      <c r="P3" t="s">
        <v>105</v>
      </c>
      <c r="Q3">
        <f>COUNTIF(L2:L180,"Cocok")</f>
        <v>136</v>
      </c>
      <c r="S3">
        <v>1339</v>
      </c>
      <c r="U3">
        <v>1346</v>
      </c>
      <c r="X3" t="s">
        <v>105</v>
      </c>
      <c r="Y3">
        <v>136</v>
      </c>
      <c r="Z3">
        <v>1346</v>
      </c>
    </row>
    <row r="4" spans="1:26" x14ac:dyDescent="0.3">
      <c r="A4" s="3" t="s">
        <v>15</v>
      </c>
      <c r="B4" s="4" t="s">
        <v>31</v>
      </c>
      <c r="C4" s="2">
        <v>101</v>
      </c>
      <c r="D4" s="2">
        <v>5</v>
      </c>
      <c r="E4" s="2">
        <v>7</v>
      </c>
      <c r="F4" s="2">
        <v>16</v>
      </c>
      <c r="G4" s="2">
        <v>5.9</v>
      </c>
      <c r="H4" s="2">
        <v>53.7</v>
      </c>
      <c r="I4" s="2">
        <v>23.1</v>
      </c>
      <c r="J4" s="2">
        <v>27</v>
      </c>
      <c r="K4" s="2">
        <v>1823</v>
      </c>
      <c r="L4" s="5" t="s">
        <v>11</v>
      </c>
      <c r="M4" s="5">
        <v>25</v>
      </c>
      <c r="N4" s="17" t="s">
        <v>89</v>
      </c>
      <c r="P4" t="s">
        <v>12</v>
      </c>
      <c r="Q4">
        <f>COUNTIF(L2:L180,"Netral")</f>
        <v>27</v>
      </c>
      <c r="S4">
        <v>1339</v>
      </c>
      <c r="X4" t="s">
        <v>107</v>
      </c>
      <c r="Y4">
        <v>16</v>
      </c>
      <c r="Z4">
        <v>150</v>
      </c>
    </row>
    <row r="5" spans="1:26" x14ac:dyDescent="0.3">
      <c r="A5" s="3" t="s">
        <v>15</v>
      </c>
      <c r="B5" s="4" t="s">
        <v>31</v>
      </c>
      <c r="C5" s="2">
        <v>118</v>
      </c>
      <c r="D5" s="2">
        <v>5</v>
      </c>
      <c r="E5" s="2">
        <v>8</v>
      </c>
      <c r="F5" s="2">
        <v>18</v>
      </c>
      <c r="G5" s="2">
        <v>5.5</v>
      </c>
      <c r="H5" s="2">
        <v>44.9</v>
      </c>
      <c r="I5" s="2">
        <v>21.8</v>
      </c>
      <c r="J5" s="2">
        <v>27</v>
      </c>
      <c r="K5" s="2">
        <v>1823</v>
      </c>
      <c r="L5" s="5" t="s">
        <v>11</v>
      </c>
      <c r="M5" s="5">
        <v>25</v>
      </c>
      <c r="N5" s="17" t="s">
        <v>89</v>
      </c>
      <c r="P5" t="s">
        <v>106</v>
      </c>
      <c r="Q5">
        <f>COUNTIF(L2:L180,"Tidak Cocok")</f>
        <v>16</v>
      </c>
      <c r="S5">
        <v>1339</v>
      </c>
      <c r="U5">
        <v>150</v>
      </c>
    </row>
    <row r="6" spans="1:26" x14ac:dyDescent="0.3">
      <c r="A6" s="3" t="s">
        <v>15</v>
      </c>
      <c r="B6" s="4" t="s">
        <v>32</v>
      </c>
      <c r="C6" s="2">
        <v>22</v>
      </c>
      <c r="D6" s="2">
        <v>1</v>
      </c>
      <c r="E6" s="2">
        <v>1</v>
      </c>
      <c r="F6" s="2">
        <v>3</v>
      </c>
      <c r="G6" s="2">
        <v>6.5</v>
      </c>
      <c r="H6" s="2">
        <v>37.799999999999997</v>
      </c>
      <c r="I6" s="2">
        <v>25.2</v>
      </c>
      <c r="J6" s="2">
        <v>20</v>
      </c>
      <c r="K6" s="2">
        <v>1612</v>
      </c>
      <c r="L6" s="5" t="s">
        <v>11</v>
      </c>
      <c r="M6" s="5">
        <v>25</v>
      </c>
      <c r="N6" s="17" t="s">
        <v>89</v>
      </c>
    </row>
    <row r="7" spans="1:26" x14ac:dyDescent="0.3">
      <c r="A7" s="3" t="s">
        <v>15</v>
      </c>
      <c r="B7" s="4" t="s">
        <v>32</v>
      </c>
      <c r="C7" s="2">
        <v>7</v>
      </c>
      <c r="D7" s="2">
        <v>0</v>
      </c>
      <c r="E7" s="2">
        <v>0</v>
      </c>
      <c r="F7" s="2">
        <v>1</v>
      </c>
      <c r="G7" s="2">
        <v>6.6</v>
      </c>
      <c r="H7" s="2">
        <v>27.2</v>
      </c>
      <c r="I7" s="2">
        <v>22.6</v>
      </c>
      <c r="J7" s="2">
        <v>20</v>
      </c>
      <c r="K7" s="2">
        <v>1612</v>
      </c>
      <c r="L7" s="5" t="s">
        <v>11</v>
      </c>
      <c r="M7" s="5">
        <v>25</v>
      </c>
      <c r="N7" s="19" t="s">
        <v>90</v>
      </c>
    </row>
    <row r="8" spans="1:26" x14ac:dyDescent="0.3">
      <c r="A8" s="4" t="s">
        <v>15</v>
      </c>
      <c r="B8" s="4" t="s">
        <v>33</v>
      </c>
      <c r="C8" s="2">
        <v>45</v>
      </c>
      <c r="D8" s="2">
        <v>2</v>
      </c>
      <c r="E8" s="2">
        <v>3</v>
      </c>
      <c r="F8" s="2">
        <v>7</v>
      </c>
      <c r="G8" s="2">
        <v>6.2</v>
      </c>
      <c r="H8" s="2">
        <v>32.6</v>
      </c>
      <c r="I8" s="2">
        <v>19.5</v>
      </c>
      <c r="J8" s="2">
        <v>18</v>
      </c>
      <c r="K8" s="2">
        <v>1900</v>
      </c>
      <c r="L8" s="5" t="s">
        <v>11</v>
      </c>
      <c r="M8" s="5">
        <v>20</v>
      </c>
      <c r="N8" s="21"/>
    </row>
    <row r="9" spans="1:26" x14ac:dyDescent="0.3">
      <c r="A9" s="4" t="s">
        <v>15</v>
      </c>
      <c r="B9" s="4" t="s">
        <v>33</v>
      </c>
      <c r="C9" s="2">
        <v>69</v>
      </c>
      <c r="D9" s="2">
        <v>3</v>
      </c>
      <c r="E9" s="2">
        <v>4</v>
      </c>
      <c r="F9" s="2">
        <v>11</v>
      </c>
      <c r="G9" s="2">
        <v>5.5</v>
      </c>
      <c r="H9" s="2">
        <v>34.5</v>
      </c>
      <c r="I9" s="2">
        <v>21.6</v>
      </c>
      <c r="J9" s="2">
        <v>18</v>
      </c>
      <c r="K9" s="2">
        <v>1900</v>
      </c>
      <c r="L9" s="5" t="s">
        <v>11</v>
      </c>
      <c r="M9" s="5">
        <v>20</v>
      </c>
      <c r="N9" s="21"/>
    </row>
    <row r="10" spans="1:26" x14ac:dyDescent="0.3">
      <c r="A10" s="4" t="s">
        <v>15</v>
      </c>
      <c r="B10" s="4" t="s">
        <v>33</v>
      </c>
      <c r="C10" s="2">
        <v>41</v>
      </c>
      <c r="D10" s="2">
        <v>2</v>
      </c>
      <c r="E10" s="2">
        <v>2</v>
      </c>
      <c r="F10" s="2">
        <v>6</v>
      </c>
      <c r="G10" s="2">
        <v>6</v>
      </c>
      <c r="H10" s="2">
        <v>37</v>
      </c>
      <c r="I10" s="2">
        <v>20.3</v>
      </c>
      <c r="J10" s="2">
        <v>18</v>
      </c>
      <c r="K10" s="2">
        <v>1900</v>
      </c>
      <c r="L10" s="5" t="s">
        <v>11</v>
      </c>
      <c r="M10" s="5">
        <v>20</v>
      </c>
      <c r="N10" s="21"/>
    </row>
    <row r="11" spans="1:26" x14ac:dyDescent="0.3">
      <c r="A11" s="4" t="s">
        <v>15</v>
      </c>
      <c r="B11" s="4" t="s">
        <v>33</v>
      </c>
      <c r="C11" s="2">
        <v>66</v>
      </c>
      <c r="D11" s="2">
        <v>3</v>
      </c>
      <c r="E11" s="2">
        <v>4</v>
      </c>
      <c r="F11" s="2">
        <v>10</v>
      </c>
      <c r="G11" s="2">
        <v>5.8</v>
      </c>
      <c r="H11" s="2">
        <v>35.1</v>
      </c>
      <c r="I11" s="2">
        <v>20.5</v>
      </c>
      <c r="J11" s="2">
        <v>18</v>
      </c>
      <c r="K11" s="2">
        <v>1900</v>
      </c>
      <c r="L11" s="5" t="s">
        <v>11</v>
      </c>
      <c r="M11" s="5">
        <v>20</v>
      </c>
      <c r="N11" s="21"/>
    </row>
    <row r="12" spans="1:26" x14ac:dyDescent="0.3">
      <c r="A12" s="4" t="s">
        <v>15</v>
      </c>
      <c r="B12" s="4" t="s">
        <v>33</v>
      </c>
      <c r="C12" s="2">
        <v>34</v>
      </c>
      <c r="D12" s="2">
        <v>1</v>
      </c>
      <c r="E12" s="2">
        <v>2</v>
      </c>
      <c r="F12" s="2">
        <v>5</v>
      </c>
      <c r="G12" s="2">
        <v>6.3</v>
      </c>
      <c r="H12" s="2">
        <v>27.1</v>
      </c>
      <c r="I12" s="2">
        <v>19.7</v>
      </c>
      <c r="J12" s="2">
        <v>18</v>
      </c>
      <c r="K12" s="2">
        <v>1895</v>
      </c>
      <c r="L12" s="5" t="s">
        <v>11</v>
      </c>
      <c r="M12" s="5">
        <v>20</v>
      </c>
      <c r="N12" s="21"/>
    </row>
    <row r="13" spans="1:26" x14ac:dyDescent="0.3">
      <c r="A13" s="4" t="s">
        <v>15</v>
      </c>
      <c r="B13" s="4" t="s">
        <v>33</v>
      </c>
      <c r="C13" s="2">
        <v>92</v>
      </c>
      <c r="D13" s="2">
        <v>4</v>
      </c>
      <c r="E13" s="2">
        <v>6</v>
      </c>
      <c r="F13" s="2">
        <v>14</v>
      </c>
      <c r="G13" s="2">
        <v>6.8</v>
      </c>
      <c r="H13" s="2">
        <v>33.799999999999997</v>
      </c>
      <c r="I13" s="2">
        <v>18.2</v>
      </c>
      <c r="J13" s="2">
        <v>18</v>
      </c>
      <c r="K13" s="2">
        <v>1895</v>
      </c>
      <c r="L13" s="5" t="s">
        <v>11</v>
      </c>
      <c r="M13" s="5">
        <v>20</v>
      </c>
      <c r="N13" s="21"/>
    </row>
    <row r="14" spans="1:26" x14ac:dyDescent="0.3">
      <c r="A14" s="4" t="s">
        <v>15</v>
      </c>
      <c r="B14" s="4" t="s">
        <v>33</v>
      </c>
      <c r="C14" s="2">
        <v>76</v>
      </c>
      <c r="D14" s="2">
        <v>3</v>
      </c>
      <c r="E14" s="2">
        <v>5</v>
      </c>
      <c r="F14" s="2">
        <v>12</v>
      </c>
      <c r="G14" s="2">
        <v>5.5</v>
      </c>
      <c r="H14" s="2">
        <v>32.6</v>
      </c>
      <c r="I14" s="2">
        <v>17.3</v>
      </c>
      <c r="J14" s="2">
        <v>18</v>
      </c>
      <c r="K14" s="2">
        <v>1895</v>
      </c>
      <c r="L14" s="5" t="s">
        <v>11</v>
      </c>
      <c r="M14" s="5">
        <v>20</v>
      </c>
      <c r="N14" s="21"/>
    </row>
    <row r="15" spans="1:26" x14ac:dyDescent="0.3">
      <c r="A15" s="4" t="s">
        <v>15</v>
      </c>
      <c r="B15" s="4" t="s">
        <v>33</v>
      </c>
      <c r="C15" s="2">
        <v>78</v>
      </c>
      <c r="D15" s="2">
        <v>3</v>
      </c>
      <c r="E15" s="2">
        <v>5</v>
      </c>
      <c r="F15" s="2">
        <v>12</v>
      </c>
      <c r="G15" s="2">
        <v>5.5</v>
      </c>
      <c r="H15" s="2">
        <v>26.7</v>
      </c>
      <c r="I15" s="2">
        <v>18.7</v>
      </c>
      <c r="J15" s="2">
        <v>18</v>
      </c>
      <c r="K15" s="2">
        <v>1895</v>
      </c>
      <c r="L15" s="5" t="s">
        <v>11</v>
      </c>
      <c r="M15" s="5">
        <v>20</v>
      </c>
      <c r="N15" s="21"/>
    </row>
    <row r="16" spans="1:26" x14ac:dyDescent="0.3">
      <c r="A16" s="4" t="s">
        <v>15</v>
      </c>
      <c r="B16" s="4" t="s">
        <v>34</v>
      </c>
      <c r="C16" s="2">
        <v>93</v>
      </c>
      <c r="D16" s="2">
        <v>4</v>
      </c>
      <c r="E16" s="2">
        <v>6</v>
      </c>
      <c r="F16" s="2">
        <v>14</v>
      </c>
      <c r="G16" s="2">
        <v>6.1</v>
      </c>
      <c r="H16" s="2">
        <v>32.1</v>
      </c>
      <c r="I16" s="2">
        <v>19.8</v>
      </c>
      <c r="J16" s="2">
        <v>19</v>
      </c>
      <c r="K16" s="2">
        <v>2122</v>
      </c>
      <c r="L16" s="5" t="s">
        <v>11</v>
      </c>
      <c r="M16" s="5">
        <v>20</v>
      </c>
      <c r="N16" s="21"/>
    </row>
    <row r="17" spans="1:14" x14ac:dyDescent="0.3">
      <c r="A17" s="4" t="s">
        <v>15</v>
      </c>
      <c r="B17" s="4" t="s">
        <v>34</v>
      </c>
      <c r="C17" s="2">
        <v>97</v>
      </c>
      <c r="D17" s="2">
        <v>3</v>
      </c>
      <c r="E17" s="2">
        <v>4</v>
      </c>
      <c r="F17" s="2">
        <v>10</v>
      </c>
      <c r="G17" s="2">
        <v>6</v>
      </c>
      <c r="H17" s="2">
        <v>32</v>
      </c>
      <c r="I17" s="2">
        <v>16.899999999999999</v>
      </c>
      <c r="J17" s="2">
        <v>19</v>
      </c>
      <c r="K17" s="2">
        <v>2122</v>
      </c>
      <c r="L17" s="5" t="s">
        <v>11</v>
      </c>
      <c r="M17" s="5">
        <v>20</v>
      </c>
      <c r="N17" s="21"/>
    </row>
    <row r="18" spans="1:14" x14ac:dyDescent="0.3">
      <c r="A18" s="4" t="s">
        <v>15</v>
      </c>
      <c r="B18" s="4" t="s">
        <v>34</v>
      </c>
      <c r="C18" s="2">
        <v>61</v>
      </c>
      <c r="D18" s="2">
        <v>3</v>
      </c>
      <c r="E18" s="2">
        <v>4</v>
      </c>
      <c r="F18" s="2">
        <v>9</v>
      </c>
      <c r="G18" s="2">
        <v>6.1</v>
      </c>
      <c r="H18" s="2">
        <v>34</v>
      </c>
      <c r="I18" s="2">
        <v>18</v>
      </c>
      <c r="J18" s="2">
        <v>19</v>
      </c>
      <c r="K18" s="2">
        <v>2122</v>
      </c>
      <c r="L18" s="5" t="s">
        <v>11</v>
      </c>
      <c r="M18" s="5">
        <v>20</v>
      </c>
      <c r="N18" s="21"/>
    </row>
    <row r="19" spans="1:14" x14ac:dyDescent="0.3">
      <c r="A19" s="4" t="s">
        <v>15</v>
      </c>
      <c r="B19" s="4" t="s">
        <v>34</v>
      </c>
      <c r="C19" s="2">
        <v>62</v>
      </c>
      <c r="D19" s="2">
        <v>3</v>
      </c>
      <c r="E19" s="2">
        <v>4</v>
      </c>
      <c r="F19" s="2">
        <v>10</v>
      </c>
      <c r="G19" s="2">
        <v>6</v>
      </c>
      <c r="H19" s="2">
        <v>33.9</v>
      </c>
      <c r="I19" s="2">
        <v>19.2</v>
      </c>
      <c r="J19" s="2">
        <v>19</v>
      </c>
      <c r="K19" s="2">
        <v>2122</v>
      </c>
      <c r="L19" s="5" t="s">
        <v>11</v>
      </c>
      <c r="M19" s="5">
        <v>20</v>
      </c>
      <c r="N19" s="21"/>
    </row>
    <row r="20" spans="1:14" x14ac:dyDescent="0.3">
      <c r="A20" s="4" t="s">
        <v>15</v>
      </c>
      <c r="B20" s="4" t="s">
        <v>34</v>
      </c>
      <c r="C20" s="2">
        <v>108</v>
      </c>
      <c r="D20" s="2">
        <v>5</v>
      </c>
      <c r="E20" s="2">
        <v>7</v>
      </c>
      <c r="F20" s="2">
        <v>17</v>
      </c>
      <c r="G20" s="2">
        <v>5.8</v>
      </c>
      <c r="H20" s="2">
        <v>41.8</v>
      </c>
      <c r="I20" s="2">
        <v>24.2</v>
      </c>
      <c r="J20" s="2">
        <v>19</v>
      </c>
      <c r="K20" s="2">
        <v>2077</v>
      </c>
      <c r="L20" s="5" t="s">
        <v>11</v>
      </c>
      <c r="M20" s="5">
        <v>20</v>
      </c>
      <c r="N20" s="21"/>
    </row>
    <row r="21" spans="1:14" x14ac:dyDescent="0.3">
      <c r="A21" s="4" t="s">
        <v>15</v>
      </c>
      <c r="B21" s="4" t="s">
        <v>34</v>
      </c>
      <c r="C21" s="2">
        <v>153</v>
      </c>
      <c r="D21" s="2">
        <v>7</v>
      </c>
      <c r="E21" s="2">
        <v>10</v>
      </c>
      <c r="F21" s="2">
        <v>24</v>
      </c>
      <c r="G21" s="2">
        <v>5.7</v>
      </c>
      <c r="H21" s="2">
        <v>25.8</v>
      </c>
      <c r="I21" s="2">
        <v>24</v>
      </c>
      <c r="J21" s="2">
        <v>19</v>
      </c>
      <c r="K21" s="2">
        <v>2077</v>
      </c>
      <c r="L21" s="5" t="s">
        <v>11</v>
      </c>
      <c r="M21" s="5">
        <v>20</v>
      </c>
      <c r="N21" s="21"/>
    </row>
    <row r="22" spans="1:14" x14ac:dyDescent="0.3">
      <c r="A22" s="4" t="s">
        <v>15</v>
      </c>
      <c r="B22" s="4" t="s">
        <v>34</v>
      </c>
      <c r="C22" s="2">
        <v>188</v>
      </c>
      <c r="D22" s="2">
        <v>9</v>
      </c>
      <c r="E22" s="2">
        <v>13</v>
      </c>
      <c r="F22" s="2">
        <v>30</v>
      </c>
      <c r="G22" s="2">
        <v>5.8</v>
      </c>
      <c r="H22" s="2">
        <v>41.5</v>
      </c>
      <c r="I22" s="2">
        <v>25.2</v>
      </c>
      <c r="J22" s="2">
        <v>19</v>
      </c>
      <c r="K22" s="2">
        <v>2077</v>
      </c>
      <c r="L22" s="5" t="s">
        <v>11</v>
      </c>
      <c r="M22" s="5">
        <v>20</v>
      </c>
      <c r="N22" s="21"/>
    </row>
    <row r="23" spans="1:14" x14ac:dyDescent="0.3">
      <c r="A23" s="4" t="s">
        <v>15</v>
      </c>
      <c r="B23" s="4" t="s">
        <v>34</v>
      </c>
      <c r="C23" s="2">
        <v>123</v>
      </c>
      <c r="D23" s="2">
        <v>6</v>
      </c>
      <c r="E23" s="2">
        <v>8</v>
      </c>
      <c r="F23" s="2">
        <v>20</v>
      </c>
      <c r="G23" s="2">
        <v>6.1</v>
      </c>
      <c r="H23" s="2">
        <v>29</v>
      </c>
      <c r="I23" s="2">
        <v>24</v>
      </c>
      <c r="J23" s="2">
        <v>19</v>
      </c>
      <c r="K23" s="2">
        <v>2077</v>
      </c>
      <c r="L23" s="5" t="s">
        <v>11</v>
      </c>
      <c r="M23" s="5">
        <v>20</v>
      </c>
      <c r="N23" s="21"/>
    </row>
    <row r="24" spans="1:14" x14ac:dyDescent="0.3">
      <c r="A24" s="3" t="s">
        <v>16</v>
      </c>
      <c r="B24" s="4" t="s">
        <v>35</v>
      </c>
      <c r="C24" s="2">
        <v>29</v>
      </c>
      <c r="D24" s="2">
        <v>1</v>
      </c>
      <c r="E24" s="2">
        <v>2</v>
      </c>
      <c r="F24" s="2">
        <v>4</v>
      </c>
      <c r="G24" s="2">
        <v>6.3</v>
      </c>
      <c r="H24" s="2">
        <v>22.9</v>
      </c>
      <c r="I24" s="2">
        <v>17.399999999999999</v>
      </c>
      <c r="J24" s="2">
        <v>26.7</v>
      </c>
      <c r="K24" s="2">
        <v>1635</v>
      </c>
      <c r="L24" s="5" t="s">
        <v>11</v>
      </c>
      <c r="M24" s="5">
        <v>20</v>
      </c>
      <c r="N24" s="22" t="s">
        <v>91</v>
      </c>
    </row>
    <row r="25" spans="1:14" x14ac:dyDescent="0.3">
      <c r="A25" s="3" t="s">
        <v>16</v>
      </c>
      <c r="B25" s="4" t="s">
        <v>35</v>
      </c>
      <c r="C25" s="2">
        <v>47</v>
      </c>
      <c r="D25" s="2">
        <v>2</v>
      </c>
      <c r="E25" s="2">
        <v>3</v>
      </c>
      <c r="F25" s="2">
        <v>7</v>
      </c>
      <c r="G25" s="2">
        <v>6.3</v>
      </c>
      <c r="H25" s="2">
        <v>30.4</v>
      </c>
      <c r="I25" s="2">
        <v>17.600000000000001</v>
      </c>
      <c r="J25" s="2">
        <v>26.7</v>
      </c>
      <c r="K25" s="2">
        <v>1635</v>
      </c>
      <c r="L25" s="5" t="s">
        <v>11</v>
      </c>
      <c r="M25" s="5">
        <v>20</v>
      </c>
      <c r="N25" s="22" t="s">
        <v>92</v>
      </c>
    </row>
    <row r="26" spans="1:14" x14ac:dyDescent="0.3">
      <c r="A26" s="3" t="s">
        <v>16</v>
      </c>
      <c r="B26" s="4" t="s">
        <v>35</v>
      </c>
      <c r="C26" s="2">
        <v>110</v>
      </c>
      <c r="D26" s="2">
        <v>5</v>
      </c>
      <c r="E26" s="2">
        <v>7</v>
      </c>
      <c r="F26" s="2">
        <v>17</v>
      </c>
      <c r="G26" s="2">
        <v>5.9</v>
      </c>
      <c r="H26" s="2">
        <v>43.3</v>
      </c>
      <c r="I26" s="2">
        <v>16.7</v>
      </c>
      <c r="J26" s="2">
        <v>28.5</v>
      </c>
      <c r="K26" s="2">
        <v>1647</v>
      </c>
      <c r="L26" s="5" t="s">
        <v>11</v>
      </c>
      <c r="M26" s="5">
        <v>20</v>
      </c>
      <c r="N26" s="22" t="s">
        <v>93</v>
      </c>
    </row>
    <row r="27" spans="1:14" x14ac:dyDescent="0.3">
      <c r="A27" s="3" t="s">
        <v>16</v>
      </c>
      <c r="B27" s="4" t="s">
        <v>35</v>
      </c>
      <c r="C27" s="2">
        <v>73</v>
      </c>
      <c r="D27" s="2">
        <v>3</v>
      </c>
      <c r="E27" s="2">
        <v>5</v>
      </c>
      <c r="F27" s="2">
        <v>11</v>
      </c>
      <c r="G27" s="2">
        <v>5.9</v>
      </c>
      <c r="H27" s="2">
        <v>31.2</v>
      </c>
      <c r="I27" s="2">
        <v>18.3</v>
      </c>
      <c r="J27" s="2">
        <v>28.5</v>
      </c>
      <c r="K27" s="2">
        <v>1647</v>
      </c>
      <c r="L27" s="5" t="s">
        <v>11</v>
      </c>
      <c r="M27" s="5">
        <v>20</v>
      </c>
      <c r="N27" s="22" t="s">
        <v>93</v>
      </c>
    </row>
    <row r="28" spans="1:14" x14ac:dyDescent="0.3">
      <c r="A28" s="3" t="s">
        <v>16</v>
      </c>
      <c r="B28" s="4" t="s">
        <v>36</v>
      </c>
      <c r="C28" s="2">
        <v>18</v>
      </c>
      <c r="D28" s="2">
        <v>0</v>
      </c>
      <c r="E28" s="2">
        <v>1</v>
      </c>
      <c r="F28" s="2">
        <v>2</v>
      </c>
      <c r="G28" s="2">
        <v>6.2</v>
      </c>
      <c r="H28" s="2">
        <v>22.2</v>
      </c>
      <c r="I28" s="2">
        <v>22.8</v>
      </c>
      <c r="J28" s="2">
        <v>28.7</v>
      </c>
      <c r="K28" s="2">
        <v>2074</v>
      </c>
      <c r="L28" s="5" t="s">
        <v>11</v>
      </c>
      <c r="M28" s="5">
        <v>25</v>
      </c>
      <c r="N28" s="22" t="s">
        <v>94</v>
      </c>
    </row>
    <row r="29" spans="1:14" x14ac:dyDescent="0.3">
      <c r="A29" s="3" t="s">
        <v>16</v>
      </c>
      <c r="B29" s="4" t="s">
        <v>36</v>
      </c>
      <c r="C29" s="2">
        <v>71</v>
      </c>
      <c r="D29" s="2">
        <v>3</v>
      </c>
      <c r="E29" s="2">
        <v>4</v>
      </c>
      <c r="F29" s="2">
        <v>11</v>
      </c>
      <c r="G29" s="2">
        <v>6.2</v>
      </c>
      <c r="H29" s="2">
        <v>34.299999999999997</v>
      </c>
      <c r="I29" s="2">
        <v>23.6</v>
      </c>
      <c r="J29" s="2">
        <v>28.7</v>
      </c>
      <c r="K29" s="2">
        <v>2074</v>
      </c>
      <c r="L29" s="5" t="s">
        <v>11</v>
      </c>
      <c r="M29" s="5">
        <v>25</v>
      </c>
      <c r="N29" s="17" t="s">
        <v>92</v>
      </c>
    </row>
    <row r="30" spans="1:14" x14ac:dyDescent="0.3">
      <c r="A30" s="3" t="s">
        <v>16</v>
      </c>
      <c r="B30" s="4" t="s">
        <v>36</v>
      </c>
      <c r="C30" s="2">
        <v>87</v>
      </c>
      <c r="D30" s="2">
        <v>4</v>
      </c>
      <c r="E30" s="2">
        <v>6</v>
      </c>
      <c r="F30" s="2">
        <v>13</v>
      </c>
      <c r="G30" s="2">
        <v>6.3</v>
      </c>
      <c r="H30" s="2">
        <v>37.4</v>
      </c>
      <c r="I30" s="2">
        <v>20.7</v>
      </c>
      <c r="J30" s="2">
        <v>28.7</v>
      </c>
      <c r="K30" s="2">
        <v>2074</v>
      </c>
      <c r="L30" s="5" t="s">
        <v>11</v>
      </c>
      <c r="M30" s="5">
        <v>25</v>
      </c>
      <c r="N30" s="17" t="s">
        <v>92</v>
      </c>
    </row>
    <row r="31" spans="1:14" x14ac:dyDescent="0.3">
      <c r="A31" s="3" t="s">
        <v>16</v>
      </c>
      <c r="B31" s="4" t="s">
        <v>36</v>
      </c>
      <c r="C31" s="2">
        <v>66</v>
      </c>
      <c r="D31" s="2">
        <v>3</v>
      </c>
      <c r="E31" s="2">
        <v>4</v>
      </c>
      <c r="F31" s="2">
        <v>10</v>
      </c>
      <c r="G31" s="2">
        <v>6.1</v>
      </c>
      <c r="H31" s="2">
        <v>36.700000000000003</v>
      </c>
      <c r="I31" s="2">
        <v>20.5</v>
      </c>
      <c r="J31" s="2">
        <v>28.7</v>
      </c>
      <c r="K31" s="2">
        <v>2074</v>
      </c>
      <c r="L31" s="5" t="s">
        <v>11</v>
      </c>
      <c r="M31" s="5">
        <v>25</v>
      </c>
      <c r="N31" s="17" t="s">
        <v>88</v>
      </c>
    </row>
    <row r="32" spans="1:14" x14ac:dyDescent="0.3">
      <c r="A32" s="3" t="s">
        <v>16</v>
      </c>
      <c r="B32" s="4" t="s">
        <v>37</v>
      </c>
      <c r="C32" s="2">
        <v>16</v>
      </c>
      <c r="D32" s="2">
        <v>0</v>
      </c>
      <c r="E32" s="2">
        <v>1</v>
      </c>
      <c r="F32" s="2">
        <v>2</v>
      </c>
      <c r="G32" s="2">
        <v>5.5</v>
      </c>
      <c r="H32" s="2">
        <v>27.1</v>
      </c>
      <c r="I32" s="2">
        <v>23.2</v>
      </c>
      <c r="J32" s="2">
        <v>26.8</v>
      </c>
      <c r="K32" s="2">
        <v>1987</v>
      </c>
      <c r="L32" s="5" t="s">
        <v>11</v>
      </c>
      <c r="M32" s="5">
        <v>20</v>
      </c>
      <c r="N32" s="22" t="s">
        <v>92</v>
      </c>
    </row>
    <row r="33" spans="1:14" x14ac:dyDescent="0.3">
      <c r="A33" s="3" t="s">
        <v>16</v>
      </c>
      <c r="B33" s="4" t="s">
        <v>37</v>
      </c>
      <c r="C33" s="2">
        <v>54</v>
      </c>
      <c r="D33" s="2">
        <v>2</v>
      </c>
      <c r="E33" s="2">
        <v>3</v>
      </c>
      <c r="F33" s="2">
        <v>8</v>
      </c>
      <c r="G33" s="2">
        <v>5</v>
      </c>
      <c r="H33" s="2">
        <v>33.5</v>
      </c>
      <c r="I33" s="2">
        <v>24.1</v>
      </c>
      <c r="J33" s="2">
        <v>26.8</v>
      </c>
      <c r="K33" s="2">
        <v>1987</v>
      </c>
      <c r="L33" s="5" t="s">
        <v>11</v>
      </c>
      <c r="M33" s="5">
        <v>20</v>
      </c>
      <c r="N33" s="22" t="s">
        <v>92</v>
      </c>
    </row>
    <row r="34" spans="1:14" x14ac:dyDescent="0.3">
      <c r="A34" s="3" t="s">
        <v>16</v>
      </c>
      <c r="B34" s="4" t="s">
        <v>38</v>
      </c>
      <c r="C34" s="2">
        <v>26</v>
      </c>
      <c r="D34" s="2">
        <v>1</v>
      </c>
      <c r="E34" s="2">
        <v>1</v>
      </c>
      <c r="F34" s="2">
        <v>4</v>
      </c>
      <c r="G34" s="2">
        <v>6.2</v>
      </c>
      <c r="H34" s="2">
        <v>18.399999999999999</v>
      </c>
      <c r="I34" s="2">
        <v>22.3</v>
      </c>
      <c r="J34" s="2">
        <v>22.4</v>
      </c>
      <c r="K34" s="2">
        <v>1720</v>
      </c>
      <c r="L34" s="5" t="s">
        <v>11</v>
      </c>
      <c r="M34" s="5">
        <v>17</v>
      </c>
      <c r="N34" s="22" t="s">
        <v>89</v>
      </c>
    </row>
    <row r="35" spans="1:14" x14ac:dyDescent="0.3">
      <c r="A35" s="3" t="s">
        <v>16</v>
      </c>
      <c r="B35" s="4" t="s">
        <v>38</v>
      </c>
      <c r="C35" s="2">
        <v>22</v>
      </c>
      <c r="D35" s="2">
        <v>1</v>
      </c>
      <c r="E35" s="2">
        <v>1</v>
      </c>
      <c r="F35" s="2">
        <v>3</v>
      </c>
      <c r="G35" s="2">
        <v>6.2</v>
      </c>
      <c r="H35" s="2">
        <v>27.7</v>
      </c>
      <c r="I35" s="2">
        <v>23.3</v>
      </c>
      <c r="J35" s="2">
        <v>22.4</v>
      </c>
      <c r="K35" s="2">
        <v>1720</v>
      </c>
      <c r="L35" s="5" t="s">
        <v>11</v>
      </c>
      <c r="M35" s="5">
        <v>17</v>
      </c>
      <c r="N35" s="22" t="s">
        <v>95</v>
      </c>
    </row>
    <row r="36" spans="1:14" x14ac:dyDescent="0.3">
      <c r="A36" s="3" t="s">
        <v>17</v>
      </c>
      <c r="B36" s="4" t="s">
        <v>39</v>
      </c>
      <c r="C36" s="2">
        <v>10</v>
      </c>
      <c r="D36" s="2">
        <v>0</v>
      </c>
      <c r="E36" s="2">
        <v>0</v>
      </c>
      <c r="F36" s="2">
        <v>1</v>
      </c>
      <c r="G36" s="2">
        <v>6.2</v>
      </c>
      <c r="H36" s="2">
        <v>29.5</v>
      </c>
      <c r="I36" s="2">
        <v>15.9</v>
      </c>
      <c r="J36" s="2">
        <v>23.3</v>
      </c>
      <c r="K36" s="2">
        <v>1467</v>
      </c>
      <c r="L36" s="5" t="s">
        <v>11</v>
      </c>
      <c r="M36" s="5">
        <v>30</v>
      </c>
      <c r="N36" s="22" t="s">
        <v>92</v>
      </c>
    </row>
    <row r="37" spans="1:14" x14ac:dyDescent="0.3">
      <c r="A37" s="3" t="s">
        <v>17</v>
      </c>
      <c r="B37" s="4" t="s">
        <v>39</v>
      </c>
      <c r="C37" s="2">
        <v>70</v>
      </c>
      <c r="D37" s="2">
        <v>3</v>
      </c>
      <c r="E37" s="2">
        <v>4</v>
      </c>
      <c r="F37" s="2">
        <v>11</v>
      </c>
      <c r="G37" s="2">
        <v>6.2</v>
      </c>
      <c r="H37" s="2">
        <v>43.5</v>
      </c>
      <c r="I37" s="2">
        <v>15</v>
      </c>
      <c r="J37" s="2">
        <v>23.3</v>
      </c>
      <c r="K37" s="2">
        <v>1467</v>
      </c>
      <c r="L37" s="5" t="s">
        <v>11</v>
      </c>
      <c r="M37" s="5">
        <v>30</v>
      </c>
      <c r="N37" s="22" t="s">
        <v>88</v>
      </c>
    </row>
    <row r="38" spans="1:14" x14ac:dyDescent="0.3">
      <c r="A38" s="3" t="s">
        <v>17</v>
      </c>
      <c r="B38" s="4" t="s">
        <v>39</v>
      </c>
      <c r="C38" s="2">
        <v>5</v>
      </c>
      <c r="D38" s="2">
        <v>0</v>
      </c>
      <c r="E38" s="2">
        <v>0</v>
      </c>
      <c r="F38" s="2">
        <v>0</v>
      </c>
      <c r="G38" s="2">
        <v>6.3</v>
      </c>
      <c r="H38" s="2">
        <v>20</v>
      </c>
      <c r="I38" s="2">
        <v>17.7</v>
      </c>
      <c r="J38" s="2">
        <v>22.2</v>
      </c>
      <c r="K38" s="2">
        <v>1471</v>
      </c>
      <c r="L38" s="5" t="s">
        <v>11</v>
      </c>
      <c r="M38" s="5">
        <v>30</v>
      </c>
      <c r="N38" s="22" t="s">
        <v>89</v>
      </c>
    </row>
    <row r="39" spans="1:14" x14ac:dyDescent="0.3">
      <c r="A39" s="3" t="s">
        <v>17</v>
      </c>
      <c r="B39" s="4" t="s">
        <v>39</v>
      </c>
      <c r="C39" s="2">
        <v>12</v>
      </c>
      <c r="D39" s="2">
        <v>0</v>
      </c>
      <c r="E39" s="2">
        <v>0</v>
      </c>
      <c r="F39" s="2">
        <v>1</v>
      </c>
      <c r="G39" s="2">
        <v>6.6</v>
      </c>
      <c r="H39" s="2">
        <v>35.9</v>
      </c>
      <c r="I39" s="2">
        <v>17.399999999999999</v>
      </c>
      <c r="J39" s="2">
        <v>22.2</v>
      </c>
      <c r="K39" s="2">
        <v>1471</v>
      </c>
      <c r="L39" s="5" t="s">
        <v>11</v>
      </c>
      <c r="M39" s="5">
        <v>30</v>
      </c>
      <c r="N39" s="22" t="s">
        <v>89</v>
      </c>
    </row>
    <row r="40" spans="1:14" x14ac:dyDescent="0.3">
      <c r="A40" s="3" t="s">
        <v>17</v>
      </c>
      <c r="B40" s="4" t="s">
        <v>39</v>
      </c>
      <c r="C40" s="2">
        <v>960</v>
      </c>
      <c r="D40" s="2">
        <v>47</v>
      </c>
      <c r="E40" s="2">
        <v>67</v>
      </c>
      <c r="F40" s="2">
        <v>153</v>
      </c>
      <c r="G40" s="2">
        <v>5.3</v>
      </c>
      <c r="H40" s="2">
        <v>25.6</v>
      </c>
      <c r="I40" s="2">
        <v>19.399999999999999</v>
      </c>
      <c r="J40" s="2">
        <v>22.2</v>
      </c>
      <c r="K40" s="2">
        <v>1471</v>
      </c>
      <c r="L40" s="5" t="s">
        <v>11</v>
      </c>
      <c r="M40" s="5">
        <v>30</v>
      </c>
      <c r="N40" s="22" t="s">
        <v>92</v>
      </c>
    </row>
    <row r="41" spans="1:14" x14ac:dyDescent="0.3">
      <c r="A41" s="3" t="s">
        <v>17</v>
      </c>
      <c r="B41" s="4" t="s">
        <v>39</v>
      </c>
      <c r="C41" s="2">
        <v>768</v>
      </c>
      <c r="D41" s="2">
        <v>44</v>
      </c>
      <c r="E41" s="2">
        <v>62</v>
      </c>
      <c r="F41" s="2">
        <v>143</v>
      </c>
      <c r="G41" s="2">
        <v>5.5</v>
      </c>
      <c r="H41" s="2">
        <v>47.6</v>
      </c>
      <c r="I41" s="2">
        <v>19.2</v>
      </c>
      <c r="J41" s="2">
        <v>22.2</v>
      </c>
      <c r="K41" s="2">
        <v>1471</v>
      </c>
      <c r="L41" s="5" t="s">
        <v>11</v>
      </c>
      <c r="M41" s="5">
        <v>30</v>
      </c>
      <c r="N41" s="22" t="s">
        <v>92</v>
      </c>
    </row>
    <row r="42" spans="1:14" x14ac:dyDescent="0.3">
      <c r="A42" s="3" t="s">
        <v>17</v>
      </c>
      <c r="B42" s="4" t="s">
        <v>39</v>
      </c>
      <c r="C42" s="2">
        <v>39</v>
      </c>
      <c r="D42" s="2">
        <v>1</v>
      </c>
      <c r="E42" s="2">
        <v>2</v>
      </c>
      <c r="F42" s="2">
        <v>6</v>
      </c>
      <c r="G42" s="2">
        <v>6.3</v>
      </c>
      <c r="H42" s="2">
        <v>27.1</v>
      </c>
      <c r="I42" s="2">
        <v>17.399999999999999</v>
      </c>
      <c r="J42" s="2">
        <v>24.1</v>
      </c>
      <c r="K42" s="2">
        <v>1434</v>
      </c>
      <c r="L42" s="5" t="s">
        <v>11</v>
      </c>
      <c r="M42" s="5">
        <v>30</v>
      </c>
      <c r="N42" s="22" t="s">
        <v>92</v>
      </c>
    </row>
    <row r="43" spans="1:14" x14ac:dyDescent="0.3">
      <c r="A43" s="3" t="s">
        <v>17</v>
      </c>
      <c r="B43" s="4" t="s">
        <v>39</v>
      </c>
      <c r="C43" s="2">
        <v>4</v>
      </c>
      <c r="D43" s="2">
        <v>0</v>
      </c>
      <c r="E43" s="2">
        <v>0</v>
      </c>
      <c r="F43" s="2">
        <v>0</v>
      </c>
      <c r="G43" s="2">
        <v>6.3</v>
      </c>
      <c r="H43" s="2">
        <v>22.8</v>
      </c>
      <c r="I43" s="2">
        <v>17.899999999999999</v>
      </c>
      <c r="J43" s="2">
        <v>24.1</v>
      </c>
      <c r="K43" s="2">
        <v>1434</v>
      </c>
      <c r="L43" s="5" t="s">
        <v>11</v>
      </c>
      <c r="M43" s="5">
        <v>30</v>
      </c>
      <c r="N43" s="22" t="s">
        <v>92</v>
      </c>
    </row>
    <row r="44" spans="1:14" x14ac:dyDescent="0.3">
      <c r="A44" s="4" t="s">
        <v>18</v>
      </c>
      <c r="B44" s="4" t="s">
        <v>40</v>
      </c>
      <c r="C44" s="2">
        <v>18</v>
      </c>
      <c r="D44" s="2">
        <v>0</v>
      </c>
      <c r="E44" s="2">
        <v>1</v>
      </c>
      <c r="F44" s="2">
        <v>2</v>
      </c>
      <c r="G44" s="2">
        <v>5.5</v>
      </c>
      <c r="H44" s="2">
        <v>22.7</v>
      </c>
      <c r="I44" s="2">
        <v>20.8</v>
      </c>
      <c r="J44" s="2">
        <v>27.1</v>
      </c>
      <c r="K44" s="2">
        <v>2176</v>
      </c>
      <c r="L44" s="5" t="s">
        <v>11</v>
      </c>
      <c r="M44" s="5">
        <v>10</v>
      </c>
      <c r="N44" s="21" t="s">
        <v>88</v>
      </c>
    </row>
    <row r="45" spans="1:14" x14ac:dyDescent="0.3">
      <c r="A45" s="4" t="s">
        <v>18</v>
      </c>
      <c r="B45" s="4" t="s">
        <v>40</v>
      </c>
      <c r="C45" s="2">
        <v>27</v>
      </c>
      <c r="D45" s="2">
        <v>1</v>
      </c>
      <c r="E45" s="2">
        <v>1</v>
      </c>
      <c r="F45" s="2">
        <v>5</v>
      </c>
      <c r="G45" s="2">
        <v>5.9</v>
      </c>
      <c r="H45" s="2">
        <v>20.399999999999999</v>
      </c>
      <c r="I45" s="2">
        <v>20.8</v>
      </c>
      <c r="J45" s="2">
        <v>27.1</v>
      </c>
      <c r="K45" s="2">
        <v>2176</v>
      </c>
      <c r="L45" s="5" t="s">
        <v>11</v>
      </c>
      <c r="M45" s="5">
        <v>10</v>
      </c>
      <c r="N45" s="21" t="s">
        <v>96</v>
      </c>
    </row>
    <row r="46" spans="1:14" x14ac:dyDescent="0.3">
      <c r="A46" s="4" t="s">
        <v>18</v>
      </c>
      <c r="B46" s="4" t="s">
        <v>40</v>
      </c>
      <c r="C46" s="2">
        <v>13</v>
      </c>
      <c r="D46" s="2">
        <v>0</v>
      </c>
      <c r="E46" s="2">
        <v>0</v>
      </c>
      <c r="F46" s="2">
        <v>2</v>
      </c>
      <c r="G46" s="2">
        <v>5.4</v>
      </c>
      <c r="H46" s="2">
        <v>28</v>
      </c>
      <c r="I46" s="2">
        <v>19.899999999999999</v>
      </c>
      <c r="J46" s="2">
        <v>25.9</v>
      </c>
      <c r="K46" s="2">
        <v>2193</v>
      </c>
      <c r="L46" s="5" t="s">
        <v>11</v>
      </c>
      <c r="M46" s="5">
        <v>10</v>
      </c>
      <c r="N46" s="21" t="s">
        <v>94</v>
      </c>
    </row>
    <row r="47" spans="1:14" x14ac:dyDescent="0.3">
      <c r="A47" s="4" t="s">
        <v>18</v>
      </c>
      <c r="B47" s="4" t="s">
        <v>40</v>
      </c>
      <c r="C47" s="2">
        <v>44</v>
      </c>
      <c r="D47" s="2">
        <v>2</v>
      </c>
      <c r="E47" s="2">
        <v>3</v>
      </c>
      <c r="F47" s="2">
        <v>7</v>
      </c>
      <c r="G47" s="2">
        <v>5.0999999999999996</v>
      </c>
      <c r="H47" s="2">
        <v>24.6</v>
      </c>
      <c r="I47" s="2">
        <v>19.600000000000001</v>
      </c>
      <c r="J47" s="2">
        <v>25.9</v>
      </c>
      <c r="K47" s="2">
        <v>2193</v>
      </c>
      <c r="L47" s="5" t="s">
        <v>11</v>
      </c>
      <c r="M47" s="5">
        <v>10</v>
      </c>
      <c r="N47" s="21" t="s">
        <v>94</v>
      </c>
    </row>
    <row r="48" spans="1:14" x14ac:dyDescent="0.3">
      <c r="A48" s="4" t="s">
        <v>18</v>
      </c>
      <c r="B48" s="4" t="s">
        <v>41</v>
      </c>
      <c r="C48" s="2">
        <v>19</v>
      </c>
      <c r="D48" s="2">
        <v>0</v>
      </c>
      <c r="E48" s="2">
        <v>1</v>
      </c>
      <c r="F48" s="2">
        <v>3</v>
      </c>
      <c r="G48" s="2">
        <v>5.4</v>
      </c>
      <c r="H48" s="2">
        <v>25.8</v>
      </c>
      <c r="I48" s="2">
        <v>20.2</v>
      </c>
      <c r="J48" s="2">
        <v>22.1</v>
      </c>
      <c r="K48" s="2">
        <v>2088</v>
      </c>
      <c r="L48" s="5" t="s">
        <v>11</v>
      </c>
      <c r="M48" s="5">
        <v>13</v>
      </c>
      <c r="N48" s="21" t="s">
        <v>88</v>
      </c>
    </row>
    <row r="49" spans="1:14" x14ac:dyDescent="0.3">
      <c r="A49" s="4" t="s">
        <v>18</v>
      </c>
      <c r="B49" s="4" t="s">
        <v>41</v>
      </c>
      <c r="C49" s="2">
        <v>13</v>
      </c>
      <c r="D49" s="2">
        <v>0</v>
      </c>
      <c r="E49" s="2">
        <v>0</v>
      </c>
      <c r="F49" s="2">
        <v>2</v>
      </c>
      <c r="G49" s="2">
        <v>5.0999999999999996</v>
      </c>
      <c r="H49" s="2">
        <v>26.9</v>
      </c>
      <c r="I49" s="2">
        <v>20.7</v>
      </c>
      <c r="J49" s="2">
        <v>22.1</v>
      </c>
      <c r="K49" s="2">
        <v>2088</v>
      </c>
      <c r="L49" s="5" t="s">
        <v>11</v>
      </c>
      <c r="M49" s="5">
        <v>13</v>
      </c>
      <c r="N49" s="21" t="s">
        <v>92</v>
      </c>
    </row>
    <row r="50" spans="1:14" x14ac:dyDescent="0.3">
      <c r="A50" s="4" t="s">
        <v>18</v>
      </c>
      <c r="B50" s="4" t="s">
        <v>42</v>
      </c>
      <c r="C50" s="2">
        <v>130</v>
      </c>
      <c r="D50" s="2">
        <v>6</v>
      </c>
      <c r="E50" s="2">
        <v>9</v>
      </c>
      <c r="F50" s="2">
        <v>20</v>
      </c>
      <c r="G50" s="2">
        <v>5.2</v>
      </c>
      <c r="H50" s="2">
        <v>19.7</v>
      </c>
      <c r="I50" s="2">
        <v>19.3</v>
      </c>
      <c r="J50" s="2">
        <v>20.3</v>
      </c>
      <c r="K50" s="2">
        <v>1894</v>
      </c>
      <c r="L50" s="5" t="s">
        <v>11</v>
      </c>
      <c r="M50" s="5">
        <v>12</v>
      </c>
      <c r="N50" s="21" t="s">
        <v>92</v>
      </c>
    </row>
    <row r="51" spans="1:14" x14ac:dyDescent="0.3">
      <c r="A51" s="4" t="s">
        <v>18</v>
      </c>
      <c r="B51" s="4" t="s">
        <v>42</v>
      </c>
      <c r="C51" s="2">
        <v>24</v>
      </c>
      <c r="D51" s="2">
        <v>1</v>
      </c>
      <c r="E51" s="2">
        <v>1</v>
      </c>
      <c r="F51" s="2">
        <v>3</v>
      </c>
      <c r="G51" s="2">
        <v>5.7</v>
      </c>
      <c r="H51" s="2">
        <v>23.2</v>
      </c>
      <c r="I51" s="2">
        <v>20.100000000000001</v>
      </c>
      <c r="J51" s="2">
        <v>20.3</v>
      </c>
      <c r="K51" s="2">
        <v>1894</v>
      </c>
      <c r="L51" s="5" t="s">
        <v>11</v>
      </c>
      <c r="M51" s="5">
        <v>12</v>
      </c>
      <c r="N51" s="21" t="s">
        <v>92</v>
      </c>
    </row>
    <row r="52" spans="1:14" x14ac:dyDescent="0.3">
      <c r="A52" s="4" t="s">
        <v>18</v>
      </c>
      <c r="B52" s="4" t="s">
        <v>42</v>
      </c>
      <c r="C52" s="2">
        <v>125</v>
      </c>
      <c r="D52" s="2">
        <v>6</v>
      </c>
      <c r="E52" s="2">
        <v>8</v>
      </c>
      <c r="F52" s="2">
        <v>20</v>
      </c>
      <c r="G52" s="2">
        <v>6.2</v>
      </c>
      <c r="H52" s="2">
        <v>30.9</v>
      </c>
      <c r="I52" s="2">
        <v>20.9</v>
      </c>
      <c r="J52" s="2">
        <v>20.9</v>
      </c>
      <c r="K52" s="2">
        <v>1681</v>
      </c>
      <c r="L52" s="5" t="s">
        <v>11</v>
      </c>
      <c r="M52" s="5">
        <v>12</v>
      </c>
      <c r="N52" s="21" t="s">
        <v>98</v>
      </c>
    </row>
    <row r="53" spans="1:14" x14ac:dyDescent="0.3">
      <c r="A53" s="4" t="s">
        <v>18</v>
      </c>
      <c r="B53" s="4" t="s">
        <v>42</v>
      </c>
      <c r="C53" s="2">
        <v>135</v>
      </c>
      <c r="D53" s="2">
        <v>6</v>
      </c>
      <c r="E53" s="2">
        <v>9</v>
      </c>
      <c r="F53" s="2">
        <v>21</v>
      </c>
      <c r="G53" s="2">
        <v>6.1</v>
      </c>
      <c r="H53" s="2">
        <v>27.6</v>
      </c>
      <c r="I53" s="2">
        <v>21.5</v>
      </c>
      <c r="J53" s="2">
        <v>20.9</v>
      </c>
      <c r="K53" s="2">
        <v>1681</v>
      </c>
      <c r="L53" s="5" t="s">
        <v>11</v>
      </c>
      <c r="M53" s="5">
        <v>12</v>
      </c>
      <c r="N53" s="21" t="s">
        <v>89</v>
      </c>
    </row>
    <row r="54" spans="1:14" x14ac:dyDescent="0.3">
      <c r="A54" s="4" t="s">
        <v>18</v>
      </c>
      <c r="B54" s="4" t="s">
        <v>42</v>
      </c>
      <c r="C54" s="2">
        <v>126</v>
      </c>
      <c r="D54" s="2">
        <v>6</v>
      </c>
      <c r="E54" s="2">
        <v>8</v>
      </c>
      <c r="F54" s="2">
        <v>20</v>
      </c>
      <c r="G54" s="2">
        <v>4.9000000000000004</v>
      </c>
      <c r="H54" s="2">
        <v>54.4</v>
      </c>
      <c r="I54" s="2">
        <v>20</v>
      </c>
      <c r="J54" s="2">
        <v>20.9</v>
      </c>
      <c r="K54" s="2">
        <v>1675</v>
      </c>
      <c r="L54" s="5" t="s">
        <v>11</v>
      </c>
      <c r="M54" s="5">
        <v>12</v>
      </c>
      <c r="N54" s="21" t="s">
        <v>88</v>
      </c>
    </row>
    <row r="55" spans="1:14" x14ac:dyDescent="0.3">
      <c r="A55" s="4" t="s">
        <v>18</v>
      </c>
      <c r="B55" s="4" t="s">
        <v>42</v>
      </c>
      <c r="C55" s="2">
        <v>120</v>
      </c>
      <c r="D55" s="2">
        <v>6</v>
      </c>
      <c r="E55" s="2">
        <v>8</v>
      </c>
      <c r="F55" s="2">
        <v>19</v>
      </c>
      <c r="G55" s="2">
        <v>4.3</v>
      </c>
      <c r="H55" s="2">
        <v>56.7</v>
      </c>
      <c r="I55" s="2">
        <v>19.899999999999999</v>
      </c>
      <c r="J55" s="2">
        <v>20.9</v>
      </c>
      <c r="K55" s="2">
        <v>1675</v>
      </c>
      <c r="L55" s="5" t="s">
        <v>11</v>
      </c>
      <c r="M55" s="5">
        <v>12</v>
      </c>
      <c r="N55" s="21" t="s">
        <v>99</v>
      </c>
    </row>
    <row r="56" spans="1:14" x14ac:dyDescent="0.3">
      <c r="A56" s="4" t="s">
        <v>18</v>
      </c>
      <c r="B56" s="4" t="s">
        <v>42</v>
      </c>
      <c r="C56" s="2">
        <v>50</v>
      </c>
      <c r="D56" s="2">
        <v>2</v>
      </c>
      <c r="E56" s="2">
        <v>3</v>
      </c>
      <c r="F56" s="2">
        <v>8</v>
      </c>
      <c r="G56" s="2">
        <v>5.8</v>
      </c>
      <c r="H56" s="2">
        <v>31</v>
      </c>
      <c r="I56" s="2">
        <v>19.7</v>
      </c>
      <c r="J56" s="2">
        <v>20.5</v>
      </c>
      <c r="K56" s="2">
        <v>1779</v>
      </c>
      <c r="L56" s="5" t="s">
        <v>11</v>
      </c>
      <c r="M56" s="5">
        <v>10</v>
      </c>
      <c r="N56" s="21" t="s">
        <v>89</v>
      </c>
    </row>
    <row r="57" spans="1:14" x14ac:dyDescent="0.3">
      <c r="A57" s="4" t="s">
        <v>18</v>
      </c>
      <c r="B57" s="4" t="s">
        <v>42</v>
      </c>
      <c r="C57" s="2">
        <v>64</v>
      </c>
      <c r="D57" s="2">
        <v>3</v>
      </c>
      <c r="E57" s="2">
        <v>4</v>
      </c>
      <c r="F57" s="2">
        <v>10</v>
      </c>
      <c r="G57" s="2">
        <v>5.8</v>
      </c>
      <c r="H57" s="2">
        <v>43</v>
      </c>
      <c r="I57" s="2">
        <v>20</v>
      </c>
      <c r="J57" s="2">
        <v>20.5</v>
      </c>
      <c r="K57" s="2">
        <v>1779</v>
      </c>
      <c r="L57" s="5" t="s">
        <v>11</v>
      </c>
      <c r="M57" s="5">
        <v>10</v>
      </c>
      <c r="N57" s="21" t="s">
        <v>100</v>
      </c>
    </row>
    <row r="58" spans="1:14" x14ac:dyDescent="0.3">
      <c r="A58" s="3" t="s">
        <v>18</v>
      </c>
      <c r="B58" s="4" t="s">
        <v>41</v>
      </c>
      <c r="C58" s="2">
        <v>43</v>
      </c>
      <c r="D58" s="2">
        <v>2</v>
      </c>
      <c r="E58" s="2">
        <v>3</v>
      </c>
      <c r="F58" s="2">
        <v>6</v>
      </c>
      <c r="G58" s="2">
        <v>6.3</v>
      </c>
      <c r="H58" s="2">
        <v>27.4</v>
      </c>
      <c r="I58" s="2">
        <v>20.100000000000001</v>
      </c>
      <c r="J58" s="2">
        <v>29.7</v>
      </c>
      <c r="K58" s="2">
        <v>1709</v>
      </c>
      <c r="L58" s="5" t="s">
        <v>11</v>
      </c>
      <c r="M58" s="5">
        <v>15</v>
      </c>
      <c r="N58" s="17" t="s">
        <v>93</v>
      </c>
    </row>
    <row r="59" spans="1:14" x14ac:dyDescent="0.3">
      <c r="A59" s="3" t="s">
        <v>18</v>
      </c>
      <c r="B59" s="4" t="s">
        <v>41</v>
      </c>
      <c r="C59" s="2">
        <v>54</v>
      </c>
      <c r="D59" s="2">
        <v>2</v>
      </c>
      <c r="E59" s="2">
        <v>3</v>
      </c>
      <c r="F59" s="2">
        <v>8</v>
      </c>
      <c r="G59" s="2">
        <v>5.5</v>
      </c>
      <c r="H59" s="2">
        <v>22.2</v>
      </c>
      <c r="I59" s="2">
        <v>21.4</v>
      </c>
      <c r="J59" s="2">
        <v>29.7</v>
      </c>
      <c r="K59" s="2">
        <v>1709</v>
      </c>
      <c r="L59" s="5" t="s">
        <v>11</v>
      </c>
      <c r="M59" s="5">
        <v>15</v>
      </c>
      <c r="N59" s="17" t="s">
        <v>96</v>
      </c>
    </row>
    <row r="60" spans="1:14" x14ac:dyDescent="0.3">
      <c r="A60" s="3" t="s">
        <v>18</v>
      </c>
      <c r="B60" s="4" t="s">
        <v>41</v>
      </c>
      <c r="C60" s="2">
        <v>49</v>
      </c>
      <c r="D60" s="2">
        <v>2</v>
      </c>
      <c r="E60" s="2">
        <v>3</v>
      </c>
      <c r="F60" s="2">
        <v>7</v>
      </c>
      <c r="G60" s="2">
        <v>5.5</v>
      </c>
      <c r="H60" s="2">
        <v>19.3</v>
      </c>
      <c r="I60" s="2">
        <v>23.5</v>
      </c>
      <c r="J60" s="2">
        <v>27</v>
      </c>
      <c r="K60" s="2">
        <v>1597</v>
      </c>
      <c r="L60" s="5" t="s">
        <v>11</v>
      </c>
      <c r="M60" s="5">
        <v>18</v>
      </c>
      <c r="N60" s="17" t="s">
        <v>96</v>
      </c>
    </row>
    <row r="61" spans="1:14" x14ac:dyDescent="0.3">
      <c r="A61" s="3" t="s">
        <v>18</v>
      </c>
      <c r="B61" s="4" t="s">
        <v>41</v>
      </c>
      <c r="C61" s="2">
        <v>32</v>
      </c>
      <c r="D61" s="2">
        <v>1</v>
      </c>
      <c r="E61" s="2">
        <v>2</v>
      </c>
      <c r="F61" s="2">
        <v>5</v>
      </c>
      <c r="G61" s="2">
        <v>5.8</v>
      </c>
      <c r="H61" s="2">
        <v>29.3</v>
      </c>
      <c r="I61" s="2">
        <v>22.7</v>
      </c>
      <c r="J61" s="2">
        <v>27</v>
      </c>
      <c r="K61" s="2">
        <v>1597</v>
      </c>
      <c r="L61" s="5" t="s">
        <v>11</v>
      </c>
      <c r="M61" s="5">
        <v>18</v>
      </c>
      <c r="N61" s="17" t="s">
        <v>96</v>
      </c>
    </row>
    <row r="62" spans="1:14" x14ac:dyDescent="0.3">
      <c r="A62" s="3" t="s">
        <v>18</v>
      </c>
      <c r="B62" s="4" t="s">
        <v>43</v>
      </c>
      <c r="C62" s="2">
        <v>34</v>
      </c>
      <c r="D62" s="2">
        <v>1</v>
      </c>
      <c r="E62" s="2">
        <v>2</v>
      </c>
      <c r="F62" s="2">
        <v>5</v>
      </c>
      <c r="G62" s="2">
        <v>5.5</v>
      </c>
      <c r="H62" s="2">
        <v>25.7</v>
      </c>
      <c r="I62" s="2">
        <v>20.6</v>
      </c>
      <c r="J62" s="2">
        <v>26</v>
      </c>
      <c r="K62" s="2">
        <v>1866</v>
      </c>
      <c r="L62" s="5" t="s">
        <v>11</v>
      </c>
      <c r="M62" s="5">
        <v>20</v>
      </c>
      <c r="N62" s="17" t="s">
        <v>92</v>
      </c>
    </row>
    <row r="63" spans="1:14" x14ac:dyDescent="0.3">
      <c r="A63" s="3" t="s">
        <v>18</v>
      </c>
      <c r="B63" s="4" t="s">
        <v>43</v>
      </c>
      <c r="C63" s="2">
        <v>6</v>
      </c>
      <c r="D63" s="2">
        <v>0</v>
      </c>
      <c r="E63" s="2">
        <v>0</v>
      </c>
      <c r="F63" s="2">
        <v>0</v>
      </c>
      <c r="G63" s="2">
        <v>5.9</v>
      </c>
      <c r="H63" s="2">
        <v>22.1</v>
      </c>
      <c r="I63" s="2">
        <v>21</v>
      </c>
      <c r="J63" s="2">
        <v>26</v>
      </c>
      <c r="K63" s="2">
        <v>1866</v>
      </c>
      <c r="L63" s="5" t="s">
        <v>11</v>
      </c>
      <c r="M63" s="5">
        <v>20</v>
      </c>
      <c r="N63" s="17" t="s">
        <v>92</v>
      </c>
    </row>
    <row r="64" spans="1:14" x14ac:dyDescent="0.3">
      <c r="A64" s="3" t="s">
        <v>18</v>
      </c>
      <c r="B64" s="4" t="s">
        <v>43</v>
      </c>
      <c r="C64" s="2">
        <v>27</v>
      </c>
      <c r="D64" s="2">
        <v>1</v>
      </c>
      <c r="E64" s="2">
        <v>1</v>
      </c>
      <c r="F64" s="2">
        <v>4</v>
      </c>
      <c r="G64" s="2">
        <v>5.4</v>
      </c>
      <c r="H64" s="2">
        <v>30</v>
      </c>
      <c r="I64" s="2">
        <v>18.899999999999999</v>
      </c>
      <c r="J64" s="2">
        <v>26</v>
      </c>
      <c r="K64" s="2">
        <v>1870</v>
      </c>
      <c r="L64" s="5" t="s">
        <v>11</v>
      </c>
      <c r="M64" s="5">
        <v>20</v>
      </c>
      <c r="N64" s="17" t="s">
        <v>92</v>
      </c>
    </row>
    <row r="65" spans="1:14" x14ac:dyDescent="0.3">
      <c r="A65" s="3" t="s">
        <v>18</v>
      </c>
      <c r="B65" s="4" t="s">
        <v>43</v>
      </c>
      <c r="C65" s="2">
        <v>32</v>
      </c>
      <c r="D65" s="2">
        <v>1</v>
      </c>
      <c r="E65" s="2">
        <v>2</v>
      </c>
      <c r="F65" s="2">
        <v>5</v>
      </c>
      <c r="G65" s="2">
        <v>5.4</v>
      </c>
      <c r="H65" s="2">
        <v>25.8</v>
      </c>
      <c r="I65" s="2">
        <v>19.100000000000001</v>
      </c>
      <c r="J65" s="2">
        <v>26</v>
      </c>
      <c r="K65" s="2">
        <v>1870</v>
      </c>
      <c r="L65" s="5" t="s">
        <v>11</v>
      </c>
      <c r="M65" s="5">
        <v>20</v>
      </c>
      <c r="N65" s="17" t="s">
        <v>92</v>
      </c>
    </row>
    <row r="66" spans="1:14" x14ac:dyDescent="0.3">
      <c r="A66" s="4" t="s">
        <v>19</v>
      </c>
      <c r="B66" s="4" t="s">
        <v>44</v>
      </c>
      <c r="C66" s="2">
        <v>19</v>
      </c>
      <c r="D66" s="2">
        <v>1</v>
      </c>
      <c r="E66" s="2">
        <v>30</v>
      </c>
      <c r="F66" s="2">
        <v>2</v>
      </c>
      <c r="G66" s="2">
        <v>6.3</v>
      </c>
      <c r="H66" s="2">
        <v>15.2</v>
      </c>
      <c r="I66" s="2">
        <v>34.1</v>
      </c>
      <c r="J66" s="2">
        <v>32.6</v>
      </c>
      <c r="K66" s="2">
        <v>1763</v>
      </c>
      <c r="L66" s="5" t="s">
        <v>11</v>
      </c>
      <c r="M66" s="5">
        <v>7</v>
      </c>
      <c r="N66" s="21" t="s">
        <v>94</v>
      </c>
    </row>
    <row r="67" spans="1:14" x14ac:dyDescent="0.3">
      <c r="A67" s="4" t="s">
        <v>19</v>
      </c>
      <c r="B67" s="4" t="s">
        <v>44</v>
      </c>
      <c r="C67" s="2">
        <v>0</v>
      </c>
      <c r="D67" s="2">
        <v>0</v>
      </c>
      <c r="E67" s="2">
        <v>0</v>
      </c>
      <c r="F67" s="2">
        <v>0</v>
      </c>
      <c r="G67" s="2">
        <v>7</v>
      </c>
      <c r="H67" s="2">
        <v>13.9</v>
      </c>
      <c r="I67" s="2">
        <v>37.799999999999997</v>
      </c>
      <c r="J67" s="2">
        <v>32.6</v>
      </c>
      <c r="K67" s="2">
        <v>1763</v>
      </c>
      <c r="L67" s="5" t="s">
        <v>11</v>
      </c>
      <c r="M67" s="5">
        <v>7</v>
      </c>
      <c r="N67" s="21" t="s">
        <v>94</v>
      </c>
    </row>
    <row r="68" spans="1:14" x14ac:dyDescent="0.3">
      <c r="A68" s="4" t="s">
        <v>19</v>
      </c>
      <c r="B68" s="4" t="s">
        <v>44</v>
      </c>
      <c r="C68" s="2">
        <v>0</v>
      </c>
      <c r="D68" s="2">
        <v>0</v>
      </c>
      <c r="E68" s="2">
        <v>0</v>
      </c>
      <c r="F68" s="2">
        <v>0</v>
      </c>
      <c r="G68" s="2">
        <v>6.2</v>
      </c>
      <c r="H68" s="2">
        <v>22.3</v>
      </c>
      <c r="I68" s="2">
        <v>30.3</v>
      </c>
      <c r="J68" s="2">
        <v>34.5</v>
      </c>
      <c r="K68" s="2">
        <v>1816</v>
      </c>
      <c r="L68" s="5" t="s">
        <v>11</v>
      </c>
      <c r="M68" s="5">
        <v>26</v>
      </c>
      <c r="N68" s="21" t="s">
        <v>94</v>
      </c>
    </row>
    <row r="69" spans="1:14" x14ac:dyDescent="0.3">
      <c r="A69" s="4" t="s">
        <v>19</v>
      </c>
      <c r="B69" s="4" t="s">
        <v>44</v>
      </c>
      <c r="C69" s="2">
        <v>6</v>
      </c>
      <c r="D69" s="2">
        <v>0</v>
      </c>
      <c r="E69" s="2">
        <v>0</v>
      </c>
      <c r="F69" s="2">
        <v>0</v>
      </c>
      <c r="G69" s="2">
        <v>6.3</v>
      </c>
      <c r="H69" s="2">
        <v>23.4</v>
      </c>
      <c r="I69" s="2">
        <v>28.4</v>
      </c>
      <c r="J69" s="2">
        <v>34.5</v>
      </c>
      <c r="K69" s="2">
        <v>1816</v>
      </c>
      <c r="L69" s="5" t="s">
        <v>11</v>
      </c>
      <c r="M69" s="5">
        <v>26</v>
      </c>
      <c r="N69" s="21" t="s">
        <v>94</v>
      </c>
    </row>
    <row r="70" spans="1:14" x14ac:dyDescent="0.3">
      <c r="A70" s="4" t="s">
        <v>19</v>
      </c>
      <c r="B70" s="4" t="s">
        <v>44</v>
      </c>
      <c r="C70" s="2">
        <v>12</v>
      </c>
      <c r="D70" s="2">
        <v>0</v>
      </c>
      <c r="E70" s="2">
        <v>0</v>
      </c>
      <c r="F70" s="2">
        <v>1</v>
      </c>
      <c r="G70" s="2">
        <v>6</v>
      </c>
      <c r="H70" s="2">
        <v>18.8</v>
      </c>
      <c r="I70" s="2">
        <v>18.7</v>
      </c>
      <c r="J70" s="2">
        <v>19.2</v>
      </c>
      <c r="K70" s="2">
        <v>1839</v>
      </c>
      <c r="L70" s="5" t="s">
        <v>11</v>
      </c>
      <c r="M70" s="5">
        <v>40</v>
      </c>
      <c r="N70" s="21"/>
    </row>
    <row r="71" spans="1:14" x14ac:dyDescent="0.3">
      <c r="A71" s="4" t="s">
        <v>19</v>
      </c>
      <c r="B71" s="4" t="s">
        <v>44</v>
      </c>
      <c r="C71" s="2">
        <v>30</v>
      </c>
      <c r="D71" s="2">
        <v>1</v>
      </c>
      <c r="E71" s="2">
        <v>2</v>
      </c>
      <c r="F71" s="2">
        <v>4</v>
      </c>
      <c r="G71" s="2">
        <v>5.8</v>
      </c>
      <c r="H71" s="2">
        <v>31.6</v>
      </c>
      <c r="I71" s="2">
        <v>27.7</v>
      </c>
      <c r="J71" s="2">
        <v>19.2</v>
      </c>
      <c r="K71" s="2">
        <v>1839</v>
      </c>
      <c r="L71" s="5" t="s">
        <v>11</v>
      </c>
      <c r="M71" s="5">
        <v>40</v>
      </c>
      <c r="N71" s="21"/>
    </row>
    <row r="72" spans="1:14" x14ac:dyDescent="0.3">
      <c r="A72" s="4" t="s">
        <v>19</v>
      </c>
      <c r="B72" s="4" t="s">
        <v>44</v>
      </c>
      <c r="C72" s="2">
        <v>32</v>
      </c>
      <c r="D72" s="2">
        <v>1</v>
      </c>
      <c r="E72" s="2">
        <v>2</v>
      </c>
      <c r="F72" s="2">
        <v>4</v>
      </c>
      <c r="G72" s="2">
        <v>6.2</v>
      </c>
      <c r="H72" s="2">
        <v>23.5</v>
      </c>
      <c r="I72" s="2">
        <v>23.1</v>
      </c>
      <c r="J72" s="2">
        <v>19.2</v>
      </c>
      <c r="K72" s="2">
        <v>1839</v>
      </c>
      <c r="L72" s="5" t="s">
        <v>11</v>
      </c>
      <c r="M72" s="5">
        <v>40</v>
      </c>
      <c r="N72" s="21"/>
    </row>
    <row r="73" spans="1:14" x14ac:dyDescent="0.3">
      <c r="A73" s="4" t="s">
        <v>19</v>
      </c>
      <c r="B73" s="4" t="s">
        <v>44</v>
      </c>
      <c r="C73" s="2">
        <v>25</v>
      </c>
      <c r="D73" s="2">
        <v>1</v>
      </c>
      <c r="E73" s="2">
        <v>1</v>
      </c>
      <c r="F73" s="2">
        <v>4</v>
      </c>
      <c r="G73" s="2">
        <v>6.3</v>
      </c>
      <c r="H73" s="2">
        <v>25.9</v>
      </c>
      <c r="I73" s="2">
        <v>25.1</v>
      </c>
      <c r="J73" s="2">
        <v>19.2</v>
      </c>
      <c r="K73" s="2">
        <v>1839</v>
      </c>
      <c r="L73" s="5" t="s">
        <v>11</v>
      </c>
      <c r="M73" s="5">
        <v>40</v>
      </c>
      <c r="N73" s="21"/>
    </row>
    <row r="74" spans="1:14" x14ac:dyDescent="0.3">
      <c r="A74" s="4" t="s">
        <v>19</v>
      </c>
      <c r="B74" s="4" t="s">
        <v>44</v>
      </c>
      <c r="C74" s="2">
        <v>58</v>
      </c>
      <c r="D74" s="2">
        <v>2</v>
      </c>
      <c r="E74" s="2">
        <v>3</v>
      </c>
      <c r="F74" s="2">
        <v>8</v>
      </c>
      <c r="G74" s="2">
        <v>5.8</v>
      </c>
      <c r="H74" s="2">
        <v>57</v>
      </c>
      <c r="I74" s="2">
        <v>22.1</v>
      </c>
      <c r="J74" s="2">
        <v>19.2</v>
      </c>
      <c r="K74" s="2">
        <v>1941</v>
      </c>
      <c r="L74" s="5" t="s">
        <v>11</v>
      </c>
      <c r="M74" s="5">
        <v>40</v>
      </c>
      <c r="N74" s="21"/>
    </row>
    <row r="75" spans="1:14" x14ac:dyDescent="0.3">
      <c r="A75" s="4" t="s">
        <v>19</v>
      </c>
      <c r="B75" s="4" t="s">
        <v>44</v>
      </c>
      <c r="C75" s="2">
        <v>30</v>
      </c>
      <c r="D75" s="2">
        <v>1</v>
      </c>
      <c r="E75" s="2">
        <v>1</v>
      </c>
      <c r="F75" s="2">
        <v>4</v>
      </c>
      <c r="G75" s="2">
        <v>5.9</v>
      </c>
      <c r="H75" s="2">
        <v>34.1</v>
      </c>
      <c r="I75" s="2">
        <v>20.3</v>
      </c>
      <c r="J75" s="2">
        <v>19.2</v>
      </c>
      <c r="K75" s="2">
        <v>1941</v>
      </c>
      <c r="L75" s="5" t="s">
        <v>11</v>
      </c>
      <c r="M75" s="5">
        <v>40</v>
      </c>
      <c r="N75" s="21"/>
    </row>
    <row r="76" spans="1:14" x14ac:dyDescent="0.3">
      <c r="A76" s="4" t="s">
        <v>19</v>
      </c>
      <c r="B76" s="4" t="s">
        <v>44</v>
      </c>
      <c r="C76" s="2">
        <v>41</v>
      </c>
      <c r="D76" s="2">
        <v>1</v>
      </c>
      <c r="E76" s="2">
        <v>2</v>
      </c>
      <c r="F76" s="2">
        <v>5</v>
      </c>
      <c r="G76" s="2">
        <v>5.5</v>
      </c>
      <c r="H76" s="2">
        <v>37</v>
      </c>
      <c r="I76" s="2">
        <v>26.1</v>
      </c>
      <c r="J76" s="2">
        <v>19.2</v>
      </c>
      <c r="K76" s="2">
        <v>1941</v>
      </c>
      <c r="L76" s="5" t="s">
        <v>11</v>
      </c>
      <c r="M76" s="5">
        <v>40</v>
      </c>
      <c r="N76" s="21"/>
    </row>
    <row r="77" spans="1:14" x14ac:dyDescent="0.3">
      <c r="A77" s="4" t="s">
        <v>19</v>
      </c>
      <c r="B77" s="4" t="s">
        <v>44</v>
      </c>
      <c r="C77" s="2">
        <v>15</v>
      </c>
      <c r="D77" s="2">
        <v>0</v>
      </c>
      <c r="E77" s="2">
        <v>1</v>
      </c>
      <c r="F77" s="2">
        <v>2</v>
      </c>
      <c r="G77" s="2">
        <v>6.1</v>
      </c>
      <c r="H77" s="2">
        <v>43</v>
      </c>
      <c r="I77" s="2">
        <v>20.3</v>
      </c>
      <c r="J77" s="2">
        <v>19.2</v>
      </c>
      <c r="K77" s="2">
        <v>1941</v>
      </c>
      <c r="L77" s="5" t="s">
        <v>11</v>
      </c>
      <c r="M77" s="5">
        <v>40</v>
      </c>
      <c r="N77" s="21"/>
    </row>
    <row r="78" spans="1:14" x14ac:dyDescent="0.3">
      <c r="A78" s="4" t="s">
        <v>19</v>
      </c>
      <c r="B78" s="4" t="s">
        <v>44</v>
      </c>
      <c r="C78" s="2">
        <v>43</v>
      </c>
      <c r="D78" s="2">
        <v>2</v>
      </c>
      <c r="E78" s="2">
        <v>2</v>
      </c>
      <c r="F78" s="2">
        <v>6</v>
      </c>
      <c r="G78" s="2">
        <v>4.8</v>
      </c>
      <c r="H78" s="2">
        <v>34.5</v>
      </c>
      <c r="I78" s="2">
        <v>18.399999999999999</v>
      </c>
      <c r="J78" s="2">
        <v>19.2</v>
      </c>
      <c r="K78" s="2">
        <v>1960</v>
      </c>
      <c r="L78" s="5" t="s">
        <v>11</v>
      </c>
      <c r="M78" s="5">
        <v>40</v>
      </c>
      <c r="N78" s="21"/>
    </row>
    <row r="79" spans="1:14" x14ac:dyDescent="0.3">
      <c r="A79" s="4" t="s">
        <v>19</v>
      </c>
      <c r="B79" s="4" t="s">
        <v>44</v>
      </c>
      <c r="C79" s="2">
        <v>40</v>
      </c>
      <c r="D79" s="2">
        <v>1</v>
      </c>
      <c r="E79" s="2">
        <v>2</v>
      </c>
      <c r="F79" s="2">
        <v>6</v>
      </c>
      <c r="G79" s="2">
        <v>6</v>
      </c>
      <c r="H79" s="2">
        <v>25.6</v>
      </c>
      <c r="I79" s="2">
        <v>20.3</v>
      </c>
      <c r="J79" s="2">
        <v>19.2</v>
      </c>
      <c r="K79" s="2">
        <v>1960</v>
      </c>
      <c r="L79" s="5" t="s">
        <v>11</v>
      </c>
      <c r="M79" s="5">
        <v>40</v>
      </c>
      <c r="N79" s="21"/>
    </row>
    <row r="80" spans="1:14" x14ac:dyDescent="0.3">
      <c r="A80" s="4" t="s">
        <v>19</v>
      </c>
      <c r="B80" s="4" t="s">
        <v>44</v>
      </c>
      <c r="C80" s="2">
        <v>21</v>
      </c>
      <c r="D80" s="2">
        <v>1</v>
      </c>
      <c r="E80" s="2">
        <v>1</v>
      </c>
      <c r="F80" s="2">
        <v>3</v>
      </c>
      <c r="G80" s="2">
        <v>6</v>
      </c>
      <c r="H80" s="2">
        <v>20.100000000000001</v>
      </c>
      <c r="I80" s="2">
        <v>20.3</v>
      </c>
      <c r="J80" s="2">
        <v>19.2</v>
      </c>
      <c r="K80" s="2">
        <v>1960</v>
      </c>
      <c r="L80" s="5" t="s">
        <v>11</v>
      </c>
      <c r="M80" s="5">
        <v>40</v>
      </c>
      <c r="N80" s="21"/>
    </row>
    <row r="81" spans="1:14" x14ac:dyDescent="0.3">
      <c r="A81" s="4" t="s">
        <v>19</v>
      </c>
      <c r="B81" s="4" t="s">
        <v>44</v>
      </c>
      <c r="C81" s="2">
        <v>30</v>
      </c>
      <c r="D81" s="2">
        <v>1</v>
      </c>
      <c r="E81" s="2">
        <v>2</v>
      </c>
      <c r="F81" s="2">
        <v>4</v>
      </c>
      <c r="G81" s="2">
        <v>6</v>
      </c>
      <c r="H81" s="2">
        <v>20.9</v>
      </c>
      <c r="I81" s="2">
        <v>20</v>
      </c>
      <c r="J81" s="2">
        <v>19.2</v>
      </c>
      <c r="K81" s="2">
        <v>1960</v>
      </c>
      <c r="L81" s="5" t="s">
        <v>11</v>
      </c>
      <c r="M81" s="5">
        <v>40</v>
      </c>
      <c r="N81" s="21"/>
    </row>
    <row r="82" spans="1:14" x14ac:dyDescent="0.3">
      <c r="A82" s="4" t="s">
        <v>19</v>
      </c>
      <c r="B82" s="4" t="s">
        <v>45</v>
      </c>
      <c r="C82" s="2">
        <v>38</v>
      </c>
      <c r="D82" s="2">
        <v>1</v>
      </c>
      <c r="E82" s="2">
        <v>2</v>
      </c>
      <c r="F82" s="2">
        <v>6</v>
      </c>
      <c r="G82" s="2">
        <v>6.2</v>
      </c>
      <c r="H82" s="2">
        <v>18.7</v>
      </c>
      <c r="I82" s="2">
        <v>18.2</v>
      </c>
      <c r="J82" s="2">
        <v>30</v>
      </c>
      <c r="K82" s="2">
        <v>2257</v>
      </c>
      <c r="L82" s="5" t="s">
        <v>11</v>
      </c>
      <c r="M82" s="5">
        <v>15</v>
      </c>
      <c r="N82" s="21" t="s">
        <v>101</v>
      </c>
    </row>
    <row r="83" spans="1:14" x14ac:dyDescent="0.3">
      <c r="A83" s="4" t="s">
        <v>19</v>
      </c>
      <c r="B83" s="4" t="s">
        <v>45</v>
      </c>
      <c r="C83" s="2">
        <v>12</v>
      </c>
      <c r="D83" s="2">
        <v>0</v>
      </c>
      <c r="E83" s="2">
        <v>0</v>
      </c>
      <c r="F83" s="2">
        <v>1</v>
      </c>
      <c r="G83" s="2">
        <v>6.4</v>
      </c>
      <c r="H83" s="2">
        <v>25.9</v>
      </c>
      <c r="I83" s="2">
        <v>18.8</v>
      </c>
      <c r="J83" s="2">
        <v>30</v>
      </c>
      <c r="K83" s="2">
        <v>2257</v>
      </c>
      <c r="L83" s="5" t="s">
        <v>11</v>
      </c>
      <c r="M83" s="5">
        <v>15</v>
      </c>
      <c r="N83" s="21" t="s">
        <v>94</v>
      </c>
    </row>
    <row r="84" spans="1:14" x14ac:dyDescent="0.3">
      <c r="A84" s="4" t="s">
        <v>19</v>
      </c>
      <c r="B84" s="4" t="s">
        <v>45</v>
      </c>
      <c r="C84" s="2">
        <v>54</v>
      </c>
      <c r="D84" s="2">
        <v>2</v>
      </c>
      <c r="E84" s="2">
        <v>3</v>
      </c>
      <c r="F84" s="2">
        <v>8</v>
      </c>
      <c r="G84" s="2">
        <v>6.2</v>
      </c>
      <c r="H84" s="2">
        <v>24.4</v>
      </c>
      <c r="I84" s="2">
        <v>19</v>
      </c>
      <c r="J84" s="2">
        <v>30</v>
      </c>
      <c r="K84" s="2">
        <v>2239</v>
      </c>
      <c r="L84" s="5" t="s">
        <v>11</v>
      </c>
      <c r="M84" s="5">
        <v>15</v>
      </c>
      <c r="N84" s="21" t="s">
        <v>101</v>
      </c>
    </row>
    <row r="85" spans="1:14" x14ac:dyDescent="0.3">
      <c r="A85" s="4" t="s">
        <v>19</v>
      </c>
      <c r="B85" s="4" t="s">
        <v>45</v>
      </c>
      <c r="C85" s="2">
        <v>46</v>
      </c>
      <c r="D85" s="2">
        <v>2</v>
      </c>
      <c r="E85" s="2">
        <v>3</v>
      </c>
      <c r="F85" s="2">
        <v>7</v>
      </c>
      <c r="G85" s="2">
        <v>6.1</v>
      </c>
      <c r="H85" s="2">
        <v>23.5</v>
      </c>
      <c r="I85" s="2">
        <v>19.5</v>
      </c>
      <c r="J85" s="2">
        <v>30</v>
      </c>
      <c r="K85" s="2">
        <v>2239</v>
      </c>
      <c r="L85" s="5" t="s">
        <v>11</v>
      </c>
      <c r="M85" s="5">
        <v>15</v>
      </c>
      <c r="N85" s="21" t="s">
        <v>101</v>
      </c>
    </row>
    <row r="86" spans="1:14" x14ac:dyDescent="0.3">
      <c r="A86" s="4" t="s">
        <v>19</v>
      </c>
      <c r="B86" s="4" t="s">
        <v>46</v>
      </c>
      <c r="C86" s="2">
        <v>29</v>
      </c>
      <c r="D86" s="2">
        <v>1</v>
      </c>
      <c r="E86" s="2">
        <v>2</v>
      </c>
      <c r="F86" s="2">
        <v>4</v>
      </c>
      <c r="G86" s="2">
        <v>5.9</v>
      </c>
      <c r="H86" s="2">
        <v>22.1</v>
      </c>
      <c r="I86" s="2">
        <v>16.899999999999999</v>
      </c>
      <c r="J86" s="2">
        <v>21</v>
      </c>
      <c r="K86" s="2">
        <v>1751</v>
      </c>
      <c r="L86" s="5" t="s">
        <v>11</v>
      </c>
      <c r="M86" s="5">
        <v>35</v>
      </c>
      <c r="N86" s="21"/>
    </row>
    <row r="87" spans="1:14" x14ac:dyDescent="0.3">
      <c r="A87" s="4" t="s">
        <v>19</v>
      </c>
      <c r="B87" s="4" t="s">
        <v>46</v>
      </c>
      <c r="C87" s="2">
        <v>36</v>
      </c>
      <c r="D87" s="2">
        <v>1</v>
      </c>
      <c r="E87" s="2">
        <v>2</v>
      </c>
      <c r="F87" s="2">
        <v>5</v>
      </c>
      <c r="G87" s="2">
        <v>5.9</v>
      </c>
      <c r="H87" s="2">
        <v>26.9</v>
      </c>
      <c r="I87" s="2">
        <v>17</v>
      </c>
      <c r="J87" s="2">
        <v>21</v>
      </c>
      <c r="K87" s="2">
        <v>1751</v>
      </c>
      <c r="L87" s="5" t="s">
        <v>11</v>
      </c>
      <c r="M87" s="5">
        <v>35</v>
      </c>
      <c r="N87" s="21"/>
    </row>
    <row r="88" spans="1:14" x14ac:dyDescent="0.3">
      <c r="A88" s="4" t="s">
        <v>19</v>
      </c>
      <c r="B88" s="4" t="s">
        <v>46</v>
      </c>
      <c r="C88" s="2">
        <v>40</v>
      </c>
      <c r="D88" s="2">
        <v>1</v>
      </c>
      <c r="E88" s="2">
        <v>2</v>
      </c>
      <c r="F88" s="2">
        <v>6</v>
      </c>
      <c r="G88" s="2">
        <v>5.5</v>
      </c>
      <c r="H88" s="2">
        <v>29.3</v>
      </c>
      <c r="I88" s="2">
        <v>17</v>
      </c>
      <c r="J88" s="2">
        <v>21</v>
      </c>
      <c r="K88" s="2">
        <v>1751</v>
      </c>
      <c r="L88" s="5" t="s">
        <v>11</v>
      </c>
      <c r="M88" s="5">
        <v>35</v>
      </c>
      <c r="N88" s="21"/>
    </row>
    <row r="89" spans="1:14" x14ac:dyDescent="0.3">
      <c r="A89" s="4" t="s">
        <v>19</v>
      </c>
      <c r="B89" s="4" t="s">
        <v>46</v>
      </c>
      <c r="C89" s="2">
        <v>30</v>
      </c>
      <c r="D89" s="2">
        <v>1</v>
      </c>
      <c r="E89" s="2">
        <v>2</v>
      </c>
      <c r="F89" s="2">
        <v>4</v>
      </c>
      <c r="G89" s="2">
        <v>5.4</v>
      </c>
      <c r="H89" s="2">
        <v>33.4</v>
      </c>
      <c r="I89" s="2">
        <v>17.399999999999999</v>
      </c>
      <c r="J89" s="2">
        <v>21</v>
      </c>
      <c r="K89" s="2">
        <v>1751</v>
      </c>
      <c r="L89" s="5" t="s">
        <v>11</v>
      </c>
      <c r="M89" s="5">
        <v>35</v>
      </c>
      <c r="N89" s="21"/>
    </row>
    <row r="90" spans="1:14" x14ac:dyDescent="0.3">
      <c r="A90" s="4" t="s">
        <v>19</v>
      </c>
      <c r="B90" s="4" t="s">
        <v>47</v>
      </c>
      <c r="C90" s="2">
        <v>20</v>
      </c>
      <c r="D90" s="2">
        <v>1</v>
      </c>
      <c r="E90" s="2">
        <v>1</v>
      </c>
      <c r="F90" s="2">
        <v>3</v>
      </c>
      <c r="G90" s="2">
        <v>6.2</v>
      </c>
      <c r="H90" s="2">
        <v>15.4</v>
      </c>
      <c r="I90" s="2">
        <v>26.1</v>
      </c>
      <c r="J90" s="2">
        <v>24</v>
      </c>
      <c r="K90" s="2">
        <v>1320</v>
      </c>
      <c r="L90" s="5" t="s">
        <v>12</v>
      </c>
      <c r="M90" s="5"/>
      <c r="N90" s="21"/>
    </row>
    <row r="91" spans="1:14" x14ac:dyDescent="0.3">
      <c r="A91" s="4" t="s">
        <v>19</v>
      </c>
      <c r="B91" s="4" t="s">
        <v>47</v>
      </c>
      <c r="C91" s="2">
        <v>23</v>
      </c>
      <c r="D91" s="2">
        <v>1</v>
      </c>
      <c r="E91" s="2">
        <v>1</v>
      </c>
      <c r="F91" s="2">
        <v>3</v>
      </c>
      <c r="G91" s="2">
        <v>6.5</v>
      </c>
      <c r="H91" s="2">
        <v>19.2</v>
      </c>
      <c r="I91" s="2">
        <v>27</v>
      </c>
      <c r="J91" s="2">
        <v>24</v>
      </c>
      <c r="K91" s="2">
        <v>1320</v>
      </c>
      <c r="L91" s="5" t="s">
        <v>12</v>
      </c>
      <c r="M91" s="5"/>
      <c r="N91" s="21"/>
    </row>
    <row r="92" spans="1:14" x14ac:dyDescent="0.3">
      <c r="A92" s="4" t="s">
        <v>19</v>
      </c>
      <c r="B92" s="4" t="s">
        <v>47</v>
      </c>
      <c r="C92" s="2">
        <v>19</v>
      </c>
      <c r="D92" s="2">
        <v>0</v>
      </c>
      <c r="E92" s="2">
        <v>1</v>
      </c>
      <c r="F92" s="2">
        <v>3</v>
      </c>
      <c r="G92" s="2">
        <v>5.2</v>
      </c>
      <c r="H92" s="2">
        <v>14.5</v>
      </c>
      <c r="I92" s="2">
        <v>31.4</v>
      </c>
      <c r="J92" s="2">
        <v>24</v>
      </c>
      <c r="K92" s="2">
        <v>1320</v>
      </c>
      <c r="L92" s="5" t="s">
        <v>12</v>
      </c>
      <c r="M92" s="5"/>
      <c r="N92" s="21"/>
    </row>
    <row r="93" spans="1:14" x14ac:dyDescent="0.3">
      <c r="A93" s="4" t="s">
        <v>19</v>
      </c>
      <c r="B93" s="4" t="s">
        <v>47</v>
      </c>
      <c r="C93" s="2">
        <v>20</v>
      </c>
      <c r="D93" s="2">
        <v>1</v>
      </c>
      <c r="E93" s="2">
        <v>1</v>
      </c>
      <c r="F93" s="2">
        <v>3</v>
      </c>
      <c r="G93" s="2">
        <v>6.2</v>
      </c>
      <c r="H93" s="2">
        <v>19</v>
      </c>
      <c r="I93" s="2">
        <v>31.4</v>
      </c>
      <c r="J93" s="2">
        <v>24</v>
      </c>
      <c r="K93" s="2">
        <v>1320</v>
      </c>
      <c r="L93" s="5" t="s">
        <v>12</v>
      </c>
      <c r="M93" s="5"/>
      <c r="N93" s="21"/>
    </row>
    <row r="94" spans="1:14" x14ac:dyDescent="0.3">
      <c r="A94" s="4" t="s">
        <v>19</v>
      </c>
      <c r="B94" s="4" t="s">
        <v>48</v>
      </c>
      <c r="C94" s="2">
        <v>55</v>
      </c>
      <c r="D94" s="2">
        <v>2</v>
      </c>
      <c r="E94" s="2">
        <v>3</v>
      </c>
      <c r="F94" s="2">
        <v>8</v>
      </c>
      <c r="G94" s="2">
        <v>6.1</v>
      </c>
      <c r="H94" s="2">
        <v>38.4</v>
      </c>
      <c r="I94" s="2">
        <v>26.3</v>
      </c>
      <c r="J94" s="2">
        <v>27.1</v>
      </c>
      <c r="K94" s="2">
        <v>1485</v>
      </c>
      <c r="L94" s="5" t="s">
        <v>11</v>
      </c>
      <c r="M94" s="5">
        <v>18</v>
      </c>
      <c r="N94" s="21" t="s">
        <v>89</v>
      </c>
    </row>
    <row r="95" spans="1:14" x14ac:dyDescent="0.3">
      <c r="A95" s="4" t="s">
        <v>19</v>
      </c>
      <c r="B95" s="4" t="s">
        <v>48</v>
      </c>
      <c r="C95" s="2">
        <v>15</v>
      </c>
      <c r="D95" s="2">
        <v>0</v>
      </c>
      <c r="E95" s="2">
        <v>1</v>
      </c>
      <c r="F95" s="2">
        <v>2</v>
      </c>
      <c r="G95" s="2">
        <v>6.1</v>
      </c>
      <c r="H95" s="2">
        <v>36.6</v>
      </c>
      <c r="I95" s="2">
        <v>23.6</v>
      </c>
      <c r="J95" s="2">
        <v>27.1</v>
      </c>
      <c r="K95" s="2">
        <v>1485</v>
      </c>
      <c r="L95" s="5" t="s">
        <v>11</v>
      </c>
      <c r="M95" s="5">
        <v>18</v>
      </c>
      <c r="N95" s="21" t="s">
        <v>98</v>
      </c>
    </row>
    <row r="96" spans="1:14" x14ac:dyDescent="0.3">
      <c r="A96" s="4" t="s">
        <v>19</v>
      </c>
      <c r="B96" s="4" t="s">
        <v>48</v>
      </c>
      <c r="C96" s="2">
        <v>45</v>
      </c>
      <c r="D96" s="2">
        <v>2</v>
      </c>
      <c r="E96" s="2">
        <v>3</v>
      </c>
      <c r="F96" s="2">
        <v>7</v>
      </c>
      <c r="G96" s="2">
        <v>6.2</v>
      </c>
      <c r="H96" s="2">
        <v>31.3</v>
      </c>
      <c r="I96" s="2">
        <v>22.3</v>
      </c>
      <c r="J96" s="2">
        <v>26.8</v>
      </c>
      <c r="K96" s="2">
        <v>1406</v>
      </c>
      <c r="L96" s="5" t="s">
        <v>11</v>
      </c>
      <c r="M96" s="5">
        <v>18</v>
      </c>
      <c r="N96" s="21" t="s">
        <v>88</v>
      </c>
    </row>
    <row r="97" spans="1:14" x14ac:dyDescent="0.3">
      <c r="A97" s="4" t="s">
        <v>19</v>
      </c>
      <c r="B97" s="4" t="s">
        <v>48</v>
      </c>
      <c r="C97" s="2">
        <v>81</v>
      </c>
      <c r="D97" s="2">
        <v>4</v>
      </c>
      <c r="E97" s="2">
        <v>5</v>
      </c>
      <c r="F97" s="2">
        <v>12</v>
      </c>
      <c r="G97" s="2">
        <v>5.8</v>
      </c>
      <c r="H97" s="2">
        <v>30</v>
      </c>
      <c r="I97" s="2">
        <v>25.2</v>
      </c>
      <c r="J97" s="2">
        <v>26.8</v>
      </c>
      <c r="K97" s="2">
        <v>1406</v>
      </c>
      <c r="L97" s="5" t="s">
        <v>11</v>
      </c>
      <c r="M97" s="5">
        <v>18</v>
      </c>
      <c r="N97" s="21" t="s">
        <v>89</v>
      </c>
    </row>
    <row r="98" spans="1:14" x14ac:dyDescent="0.3">
      <c r="A98" s="4" t="s">
        <v>19</v>
      </c>
      <c r="B98" s="4" t="s">
        <v>48</v>
      </c>
      <c r="C98" s="2">
        <v>18</v>
      </c>
      <c r="D98" s="2">
        <v>0</v>
      </c>
      <c r="E98" s="2">
        <v>1</v>
      </c>
      <c r="F98" s="2">
        <v>2</v>
      </c>
      <c r="G98" s="2">
        <v>6.2</v>
      </c>
      <c r="H98" s="2">
        <v>32.5</v>
      </c>
      <c r="I98" s="2">
        <v>24.1</v>
      </c>
      <c r="J98" s="2">
        <v>26.2</v>
      </c>
      <c r="K98" s="2">
        <v>1382</v>
      </c>
      <c r="L98" s="5" t="s">
        <v>11</v>
      </c>
      <c r="M98" s="5">
        <v>7</v>
      </c>
      <c r="N98" s="21" t="s">
        <v>89</v>
      </c>
    </row>
    <row r="99" spans="1:14" x14ac:dyDescent="0.3">
      <c r="A99" s="4" t="s">
        <v>19</v>
      </c>
      <c r="B99" s="4" t="s">
        <v>48</v>
      </c>
      <c r="C99" s="2">
        <v>24</v>
      </c>
      <c r="D99" s="2">
        <v>1</v>
      </c>
      <c r="E99" s="2">
        <v>1</v>
      </c>
      <c r="F99" s="2">
        <v>3</v>
      </c>
      <c r="G99" s="2">
        <v>6.1</v>
      </c>
      <c r="H99" s="2">
        <v>30.3</v>
      </c>
      <c r="I99" s="2">
        <v>24.8</v>
      </c>
      <c r="J99" s="2">
        <v>26.2</v>
      </c>
      <c r="K99" s="2">
        <v>1382</v>
      </c>
      <c r="L99" s="5" t="s">
        <v>11</v>
      </c>
      <c r="M99" s="5">
        <v>7</v>
      </c>
      <c r="N99" s="21" t="s">
        <v>96</v>
      </c>
    </row>
    <row r="100" spans="1:14" x14ac:dyDescent="0.3">
      <c r="A100" s="4" t="s">
        <v>20</v>
      </c>
      <c r="B100" s="4" t="s">
        <v>49</v>
      </c>
      <c r="C100" s="2">
        <v>46</v>
      </c>
      <c r="D100" s="2">
        <v>2</v>
      </c>
      <c r="E100" s="2">
        <v>3</v>
      </c>
      <c r="F100" s="2">
        <v>2</v>
      </c>
      <c r="G100" s="2">
        <v>6.3</v>
      </c>
      <c r="H100" s="2">
        <v>21.3</v>
      </c>
      <c r="I100" s="2">
        <v>29.4</v>
      </c>
      <c r="J100" s="2">
        <v>26</v>
      </c>
      <c r="K100" s="2">
        <v>727</v>
      </c>
      <c r="L100" s="5" t="s">
        <v>13</v>
      </c>
      <c r="M100" s="5">
        <v>0</v>
      </c>
      <c r="N100" s="21"/>
    </row>
    <row r="101" spans="1:14" x14ac:dyDescent="0.3">
      <c r="A101" s="4" t="s">
        <v>20</v>
      </c>
      <c r="B101" s="4" t="s">
        <v>49</v>
      </c>
      <c r="C101" s="2">
        <v>21</v>
      </c>
      <c r="D101" s="2">
        <v>1</v>
      </c>
      <c r="E101" s="2">
        <v>1</v>
      </c>
      <c r="F101" s="2">
        <v>3</v>
      </c>
      <c r="G101" s="2">
        <v>6</v>
      </c>
      <c r="H101" s="2">
        <v>22</v>
      </c>
      <c r="I101" s="2">
        <v>30.5</v>
      </c>
      <c r="J101" s="2">
        <v>26</v>
      </c>
      <c r="K101" s="2">
        <v>727</v>
      </c>
      <c r="L101" s="5" t="s">
        <v>13</v>
      </c>
      <c r="M101" s="5">
        <v>0</v>
      </c>
      <c r="N101" s="21"/>
    </row>
    <row r="102" spans="1:14" x14ac:dyDescent="0.3">
      <c r="A102" s="4" t="s">
        <v>20</v>
      </c>
      <c r="B102" s="4" t="s">
        <v>49</v>
      </c>
      <c r="C102" s="2">
        <v>27</v>
      </c>
      <c r="D102" s="2">
        <v>1</v>
      </c>
      <c r="E102" s="2">
        <v>1</v>
      </c>
      <c r="F102" s="2">
        <v>4</v>
      </c>
      <c r="G102" s="2">
        <v>6</v>
      </c>
      <c r="H102" s="2">
        <v>19.600000000000001</v>
      </c>
      <c r="I102" s="2">
        <v>30.7</v>
      </c>
      <c r="J102" s="2">
        <v>26</v>
      </c>
      <c r="K102" s="2">
        <v>727</v>
      </c>
      <c r="L102" s="5" t="s">
        <v>13</v>
      </c>
      <c r="M102" s="5">
        <v>0</v>
      </c>
      <c r="N102" s="21"/>
    </row>
    <row r="103" spans="1:14" x14ac:dyDescent="0.3">
      <c r="A103" s="4" t="s">
        <v>20</v>
      </c>
      <c r="B103" s="4" t="s">
        <v>49</v>
      </c>
      <c r="C103" s="2">
        <v>31</v>
      </c>
      <c r="D103" s="2">
        <v>1</v>
      </c>
      <c r="E103" s="2">
        <v>2</v>
      </c>
      <c r="F103" s="2">
        <v>4</v>
      </c>
      <c r="G103" s="2">
        <v>5.9</v>
      </c>
      <c r="H103" s="2">
        <v>21.3</v>
      </c>
      <c r="I103" s="2">
        <v>30</v>
      </c>
      <c r="J103" s="2">
        <v>26</v>
      </c>
      <c r="K103" s="2">
        <v>727</v>
      </c>
      <c r="L103" s="5" t="s">
        <v>13</v>
      </c>
      <c r="M103" s="5">
        <v>0</v>
      </c>
      <c r="N103" s="21"/>
    </row>
    <row r="104" spans="1:14" x14ac:dyDescent="0.3">
      <c r="A104" s="3" t="s">
        <v>20</v>
      </c>
      <c r="B104" s="4" t="s">
        <v>50</v>
      </c>
      <c r="C104" s="2">
        <v>75</v>
      </c>
      <c r="D104" s="2">
        <v>3</v>
      </c>
      <c r="E104" s="2">
        <v>5</v>
      </c>
      <c r="F104" s="2">
        <v>12</v>
      </c>
      <c r="G104" s="2">
        <v>6.6</v>
      </c>
      <c r="H104" s="2">
        <v>15.7</v>
      </c>
      <c r="I104" s="2">
        <v>26.3</v>
      </c>
      <c r="J104" s="2">
        <v>25.1</v>
      </c>
      <c r="K104" s="2">
        <v>682</v>
      </c>
      <c r="L104" s="5" t="s">
        <v>11</v>
      </c>
      <c r="M104" s="5">
        <v>25</v>
      </c>
      <c r="N104" s="17" t="s">
        <v>88</v>
      </c>
    </row>
    <row r="105" spans="1:14" x14ac:dyDescent="0.3">
      <c r="A105" s="3" t="s">
        <v>20</v>
      </c>
      <c r="B105" s="4" t="s">
        <v>50</v>
      </c>
      <c r="C105" s="2">
        <v>128</v>
      </c>
      <c r="D105" s="2">
        <v>6</v>
      </c>
      <c r="E105" s="2">
        <v>8</v>
      </c>
      <c r="F105" s="2">
        <v>20</v>
      </c>
      <c r="G105" s="2">
        <v>6.1</v>
      </c>
      <c r="H105" s="2">
        <v>18.3</v>
      </c>
      <c r="I105" s="2">
        <v>24.7</v>
      </c>
      <c r="J105" s="2">
        <v>25.1</v>
      </c>
      <c r="K105" s="2">
        <v>682</v>
      </c>
      <c r="L105" s="5" t="s">
        <v>11</v>
      </c>
      <c r="M105" s="5">
        <v>25</v>
      </c>
      <c r="N105" s="17" t="s">
        <v>97</v>
      </c>
    </row>
    <row r="106" spans="1:14" x14ac:dyDescent="0.3">
      <c r="A106" s="3" t="s">
        <v>20</v>
      </c>
      <c r="B106" s="4" t="s">
        <v>50</v>
      </c>
      <c r="C106" s="2">
        <v>10.199999999999999</v>
      </c>
      <c r="D106" s="2">
        <v>5</v>
      </c>
      <c r="E106" s="2">
        <v>7</v>
      </c>
      <c r="F106" s="2">
        <v>16</v>
      </c>
      <c r="G106" s="2">
        <v>6.3</v>
      </c>
      <c r="H106" s="2">
        <v>29.6</v>
      </c>
      <c r="I106" s="2">
        <v>24.5</v>
      </c>
      <c r="J106" s="2">
        <v>25.1</v>
      </c>
      <c r="K106" s="2">
        <v>682</v>
      </c>
      <c r="L106" s="5" t="s">
        <v>11</v>
      </c>
      <c r="M106" s="5">
        <v>25</v>
      </c>
      <c r="N106" s="17" t="s">
        <v>89</v>
      </c>
    </row>
    <row r="107" spans="1:14" x14ac:dyDescent="0.3">
      <c r="A107" s="3" t="s">
        <v>20</v>
      </c>
      <c r="B107" s="4" t="s">
        <v>50</v>
      </c>
      <c r="C107" s="2">
        <v>97</v>
      </c>
      <c r="D107" s="2">
        <v>4</v>
      </c>
      <c r="E107" s="2">
        <v>6</v>
      </c>
      <c r="F107" s="2">
        <v>15</v>
      </c>
      <c r="G107" s="2">
        <v>5.8</v>
      </c>
      <c r="H107" s="2">
        <v>35.1</v>
      </c>
      <c r="I107" s="2">
        <v>24.5</v>
      </c>
      <c r="J107" s="2">
        <v>25.1</v>
      </c>
      <c r="K107" s="2">
        <v>682</v>
      </c>
      <c r="L107" s="5" t="s">
        <v>11</v>
      </c>
      <c r="M107" s="5">
        <v>25</v>
      </c>
      <c r="N107" s="17" t="s">
        <v>97</v>
      </c>
    </row>
    <row r="108" spans="1:14" x14ac:dyDescent="0.3">
      <c r="A108" s="4" t="s">
        <v>20</v>
      </c>
      <c r="B108" s="4" t="s">
        <v>51</v>
      </c>
      <c r="C108" s="6">
        <v>44</v>
      </c>
      <c r="D108" s="6">
        <v>2</v>
      </c>
      <c r="E108" s="6">
        <v>3</v>
      </c>
      <c r="F108" s="6">
        <v>7</v>
      </c>
      <c r="G108" s="6">
        <v>6.1</v>
      </c>
      <c r="H108" s="6">
        <v>20</v>
      </c>
      <c r="I108" s="6">
        <v>32</v>
      </c>
      <c r="J108" s="2">
        <v>26</v>
      </c>
      <c r="K108" s="2">
        <v>1170</v>
      </c>
      <c r="L108" s="5" t="s">
        <v>12</v>
      </c>
      <c r="M108" s="5"/>
      <c r="N108" s="21"/>
    </row>
    <row r="109" spans="1:14" x14ac:dyDescent="0.3">
      <c r="A109" s="4" t="s">
        <v>20</v>
      </c>
      <c r="B109" s="4" t="s">
        <v>51</v>
      </c>
      <c r="C109" s="6">
        <v>29</v>
      </c>
      <c r="D109" s="6">
        <v>1</v>
      </c>
      <c r="E109" s="6">
        <v>2</v>
      </c>
      <c r="F109" s="6">
        <v>6</v>
      </c>
      <c r="G109" s="6">
        <v>6</v>
      </c>
      <c r="H109" s="6">
        <v>22.8</v>
      </c>
      <c r="I109" s="6">
        <v>32.799999999999997</v>
      </c>
      <c r="J109" s="2">
        <v>26</v>
      </c>
      <c r="K109" s="2">
        <v>1170</v>
      </c>
      <c r="L109" s="5" t="s">
        <v>12</v>
      </c>
      <c r="M109" s="5"/>
      <c r="N109" s="21"/>
    </row>
    <row r="110" spans="1:14" x14ac:dyDescent="0.3">
      <c r="A110" s="4" t="s">
        <v>20</v>
      </c>
      <c r="B110" s="4" t="s">
        <v>51</v>
      </c>
      <c r="C110" s="6">
        <v>27</v>
      </c>
      <c r="D110" s="6">
        <v>1</v>
      </c>
      <c r="E110" s="6">
        <v>1</v>
      </c>
      <c r="F110" s="6">
        <v>4</v>
      </c>
      <c r="G110" s="6">
        <v>6</v>
      </c>
      <c r="H110" s="6">
        <v>16.2</v>
      </c>
      <c r="I110" s="6">
        <v>30.7</v>
      </c>
      <c r="J110" s="2">
        <v>26</v>
      </c>
      <c r="K110" s="2">
        <v>1170</v>
      </c>
      <c r="L110" s="5" t="s">
        <v>12</v>
      </c>
      <c r="M110" s="5"/>
      <c r="N110" s="21"/>
    </row>
    <row r="111" spans="1:14" x14ac:dyDescent="0.3">
      <c r="A111" s="4" t="s">
        <v>20</v>
      </c>
      <c r="B111" s="4" t="s">
        <v>51</v>
      </c>
      <c r="C111" s="6">
        <v>70</v>
      </c>
      <c r="D111" s="6">
        <v>3</v>
      </c>
      <c r="E111" s="6">
        <v>4</v>
      </c>
      <c r="F111" s="6">
        <v>11</v>
      </c>
      <c r="G111" s="6">
        <v>5.5</v>
      </c>
      <c r="H111" s="6">
        <v>13.3</v>
      </c>
      <c r="I111" s="6">
        <v>31.8</v>
      </c>
      <c r="J111" s="2">
        <v>26</v>
      </c>
      <c r="K111" s="2">
        <v>1170</v>
      </c>
      <c r="L111" s="5" t="s">
        <v>12</v>
      </c>
      <c r="M111" s="5"/>
      <c r="N111" s="21"/>
    </row>
    <row r="112" spans="1:14" x14ac:dyDescent="0.3">
      <c r="A112" s="4" t="s">
        <v>20</v>
      </c>
      <c r="B112" s="4" t="s">
        <v>51</v>
      </c>
      <c r="C112" s="6">
        <v>40</v>
      </c>
      <c r="D112" s="6">
        <v>2</v>
      </c>
      <c r="E112" s="6">
        <v>2</v>
      </c>
      <c r="F112" s="6">
        <v>6</v>
      </c>
      <c r="G112" s="6">
        <v>6.2</v>
      </c>
      <c r="H112" s="6">
        <v>17.399999999999999</v>
      </c>
      <c r="I112" s="6">
        <v>32.700000000000003</v>
      </c>
      <c r="J112" s="2">
        <v>26</v>
      </c>
      <c r="K112" s="2">
        <v>1156</v>
      </c>
      <c r="L112" s="5" t="s">
        <v>12</v>
      </c>
      <c r="M112" s="5"/>
      <c r="N112" s="21"/>
    </row>
    <row r="113" spans="1:14" x14ac:dyDescent="0.3">
      <c r="A113" s="4" t="s">
        <v>20</v>
      </c>
      <c r="B113" s="4" t="s">
        <v>51</v>
      </c>
      <c r="C113" s="6">
        <v>62</v>
      </c>
      <c r="D113" s="6">
        <v>3</v>
      </c>
      <c r="E113" s="6">
        <v>4</v>
      </c>
      <c r="F113" s="6">
        <v>9</v>
      </c>
      <c r="G113" s="6">
        <v>6.2</v>
      </c>
      <c r="H113" s="6">
        <v>18.600000000000001</v>
      </c>
      <c r="I113" s="6">
        <v>33.299999999999997</v>
      </c>
      <c r="J113" s="2">
        <v>26</v>
      </c>
      <c r="K113" s="2">
        <v>1156</v>
      </c>
      <c r="L113" s="5" t="s">
        <v>12</v>
      </c>
      <c r="M113" s="5"/>
      <c r="N113" s="21"/>
    </row>
    <row r="114" spans="1:14" x14ac:dyDescent="0.3">
      <c r="A114" s="4" t="s">
        <v>20</v>
      </c>
      <c r="B114" s="4" t="s">
        <v>51</v>
      </c>
      <c r="C114" s="6">
        <v>38</v>
      </c>
      <c r="D114" s="6">
        <v>1</v>
      </c>
      <c r="E114" s="6">
        <v>2</v>
      </c>
      <c r="F114" s="6">
        <v>6</v>
      </c>
      <c r="G114" s="6">
        <v>6.2</v>
      </c>
      <c r="H114" s="6">
        <v>16.5</v>
      </c>
      <c r="I114" s="6">
        <v>31.3</v>
      </c>
      <c r="J114" s="2">
        <v>26</v>
      </c>
      <c r="K114" s="2">
        <v>1156</v>
      </c>
      <c r="L114" s="5" t="s">
        <v>12</v>
      </c>
      <c r="M114" s="5"/>
      <c r="N114" s="21"/>
    </row>
    <row r="115" spans="1:14" x14ac:dyDescent="0.3">
      <c r="A115" s="4" t="s">
        <v>20</v>
      </c>
      <c r="B115" s="4" t="s">
        <v>51</v>
      </c>
      <c r="C115" s="6">
        <v>44</v>
      </c>
      <c r="D115" s="6">
        <v>2</v>
      </c>
      <c r="E115" s="6">
        <v>3</v>
      </c>
      <c r="F115" s="6">
        <v>6</v>
      </c>
      <c r="G115" s="6">
        <v>5.5</v>
      </c>
      <c r="H115" s="6">
        <v>20</v>
      </c>
      <c r="I115" s="6">
        <v>32.299999999999997</v>
      </c>
      <c r="J115" s="2">
        <v>26</v>
      </c>
      <c r="K115" s="2">
        <v>1156</v>
      </c>
      <c r="L115" s="5" t="s">
        <v>12</v>
      </c>
      <c r="M115" s="5"/>
      <c r="N115" s="21"/>
    </row>
    <row r="116" spans="1:14" x14ac:dyDescent="0.3">
      <c r="A116" s="4" t="s">
        <v>21</v>
      </c>
      <c r="B116" s="4" t="s">
        <v>52</v>
      </c>
      <c r="C116" s="6">
        <v>93</v>
      </c>
      <c r="D116" s="6">
        <v>4</v>
      </c>
      <c r="E116" s="6">
        <v>6</v>
      </c>
      <c r="F116" s="6">
        <v>14</v>
      </c>
      <c r="G116" s="6">
        <v>5.5</v>
      </c>
      <c r="H116" s="6">
        <v>28.5</v>
      </c>
      <c r="I116" s="6">
        <v>21.3</v>
      </c>
      <c r="J116" s="2">
        <v>21</v>
      </c>
      <c r="K116" s="2">
        <v>1731</v>
      </c>
      <c r="L116" s="5" t="s">
        <v>11</v>
      </c>
      <c r="M116" s="5">
        <v>25</v>
      </c>
      <c r="N116" s="21"/>
    </row>
    <row r="117" spans="1:14" x14ac:dyDescent="0.3">
      <c r="A117" s="4" t="s">
        <v>21</v>
      </c>
      <c r="B117" s="4" t="s">
        <v>52</v>
      </c>
      <c r="C117" s="6">
        <v>69</v>
      </c>
      <c r="D117" s="6">
        <v>3</v>
      </c>
      <c r="E117" s="6">
        <v>4</v>
      </c>
      <c r="F117" s="6">
        <v>11</v>
      </c>
      <c r="G117" s="6">
        <v>5.5</v>
      </c>
      <c r="H117" s="6">
        <v>26.9</v>
      </c>
      <c r="I117" s="6">
        <v>18.100000000000001</v>
      </c>
      <c r="J117" s="2">
        <v>21</v>
      </c>
      <c r="K117" s="2">
        <v>1731</v>
      </c>
      <c r="L117" s="5" t="s">
        <v>11</v>
      </c>
      <c r="M117" s="5">
        <v>25</v>
      </c>
      <c r="N117" s="21"/>
    </row>
    <row r="118" spans="1:14" x14ac:dyDescent="0.3">
      <c r="A118" s="4" t="s">
        <v>21</v>
      </c>
      <c r="B118" s="4" t="s">
        <v>52</v>
      </c>
      <c r="C118" s="6">
        <v>54</v>
      </c>
      <c r="D118" s="6">
        <v>2</v>
      </c>
      <c r="E118" s="6">
        <v>3</v>
      </c>
      <c r="F118" s="6">
        <v>7</v>
      </c>
      <c r="G118" s="6">
        <v>6.1</v>
      </c>
      <c r="H118" s="6">
        <v>26</v>
      </c>
      <c r="I118" s="6">
        <v>17.600000000000001</v>
      </c>
      <c r="J118" s="2">
        <v>21</v>
      </c>
      <c r="K118" s="2">
        <v>1731</v>
      </c>
      <c r="L118" s="5" t="s">
        <v>11</v>
      </c>
      <c r="M118" s="5">
        <v>25</v>
      </c>
      <c r="N118" s="21"/>
    </row>
    <row r="119" spans="1:14" x14ac:dyDescent="0.3">
      <c r="A119" s="4" t="s">
        <v>21</v>
      </c>
      <c r="B119" s="4" t="s">
        <v>52</v>
      </c>
      <c r="C119" s="6">
        <v>52</v>
      </c>
      <c r="D119" s="6">
        <v>2</v>
      </c>
      <c r="E119" s="6">
        <v>3</v>
      </c>
      <c r="F119" s="6">
        <v>8</v>
      </c>
      <c r="G119" s="6">
        <v>6.6</v>
      </c>
      <c r="H119" s="6">
        <v>21</v>
      </c>
      <c r="I119" s="6">
        <v>22.9</v>
      </c>
      <c r="J119" s="2">
        <v>21</v>
      </c>
      <c r="K119" s="2">
        <v>1731</v>
      </c>
      <c r="L119" s="5" t="s">
        <v>11</v>
      </c>
      <c r="M119" s="5">
        <v>25</v>
      </c>
      <c r="N119" s="21"/>
    </row>
    <row r="120" spans="1:14" x14ac:dyDescent="0.3">
      <c r="A120" s="4" t="s">
        <v>21</v>
      </c>
      <c r="B120" s="4" t="s">
        <v>52</v>
      </c>
      <c r="C120" s="6">
        <v>46</v>
      </c>
      <c r="D120" s="6">
        <v>2</v>
      </c>
      <c r="E120" s="6">
        <v>3</v>
      </c>
      <c r="F120" s="6">
        <v>7</v>
      </c>
      <c r="G120" s="6">
        <v>6.1</v>
      </c>
      <c r="H120" s="6">
        <v>39</v>
      </c>
      <c r="I120" s="6">
        <v>24</v>
      </c>
      <c r="J120" s="2">
        <v>21</v>
      </c>
      <c r="K120" s="2">
        <v>1628</v>
      </c>
      <c r="L120" s="5" t="s">
        <v>11</v>
      </c>
      <c r="M120" s="5">
        <v>25</v>
      </c>
      <c r="N120" s="21"/>
    </row>
    <row r="121" spans="1:14" x14ac:dyDescent="0.3">
      <c r="A121" s="4" t="s">
        <v>21</v>
      </c>
      <c r="B121" s="4" t="s">
        <v>52</v>
      </c>
      <c r="C121" s="6">
        <v>40</v>
      </c>
      <c r="D121" s="6">
        <v>2</v>
      </c>
      <c r="E121" s="6">
        <v>2</v>
      </c>
      <c r="F121" s="6">
        <v>6</v>
      </c>
      <c r="G121" s="6">
        <v>5.7</v>
      </c>
      <c r="H121" s="6">
        <v>43.5</v>
      </c>
      <c r="I121" s="6">
        <v>24.3</v>
      </c>
      <c r="J121" s="2">
        <v>21</v>
      </c>
      <c r="K121" s="2">
        <v>1628</v>
      </c>
      <c r="L121" s="5" t="s">
        <v>11</v>
      </c>
      <c r="M121" s="5">
        <v>25</v>
      </c>
      <c r="N121" s="21"/>
    </row>
    <row r="122" spans="1:14" x14ac:dyDescent="0.3">
      <c r="A122" s="4" t="s">
        <v>21</v>
      </c>
      <c r="B122" s="4" t="s">
        <v>52</v>
      </c>
      <c r="C122" s="6">
        <v>24</v>
      </c>
      <c r="D122" s="6">
        <v>1</v>
      </c>
      <c r="E122" s="6">
        <v>1</v>
      </c>
      <c r="F122" s="6">
        <v>3</v>
      </c>
      <c r="G122" s="6">
        <v>6</v>
      </c>
      <c r="H122" s="6">
        <v>37.4</v>
      </c>
      <c r="I122" s="6">
        <v>23</v>
      </c>
      <c r="J122" s="2">
        <v>21</v>
      </c>
      <c r="K122" s="2">
        <v>1628</v>
      </c>
      <c r="L122" s="5" t="s">
        <v>11</v>
      </c>
      <c r="M122" s="5">
        <v>25</v>
      </c>
      <c r="N122" s="21"/>
    </row>
    <row r="123" spans="1:14" x14ac:dyDescent="0.3">
      <c r="A123" s="4" t="s">
        <v>21</v>
      </c>
      <c r="B123" s="4" t="s">
        <v>52</v>
      </c>
      <c r="C123" s="6">
        <v>25</v>
      </c>
      <c r="D123" s="6">
        <v>1</v>
      </c>
      <c r="E123" s="6">
        <v>1</v>
      </c>
      <c r="F123" s="6">
        <v>4</v>
      </c>
      <c r="G123" s="6">
        <v>6.1</v>
      </c>
      <c r="H123" s="6">
        <v>42.2</v>
      </c>
      <c r="I123" s="6">
        <v>23.5</v>
      </c>
      <c r="J123" s="2">
        <v>21</v>
      </c>
      <c r="K123" s="2">
        <v>1628</v>
      </c>
      <c r="L123" s="5" t="s">
        <v>11</v>
      </c>
      <c r="M123" s="5">
        <v>25</v>
      </c>
      <c r="N123" s="21"/>
    </row>
    <row r="124" spans="1:14" x14ac:dyDescent="0.3">
      <c r="A124" s="4" t="s">
        <v>22</v>
      </c>
      <c r="B124" s="4" t="s">
        <v>53</v>
      </c>
      <c r="C124" s="2">
        <v>73</v>
      </c>
      <c r="D124" s="2">
        <v>3</v>
      </c>
      <c r="E124" s="2">
        <v>5</v>
      </c>
      <c r="F124" s="2">
        <v>11</v>
      </c>
      <c r="G124" s="2">
        <v>6.3</v>
      </c>
      <c r="H124" s="2">
        <v>65.099999999999994</v>
      </c>
      <c r="I124" s="2">
        <v>20.399999999999999</v>
      </c>
      <c r="J124" s="2">
        <v>20.9</v>
      </c>
      <c r="K124" s="2">
        <v>1519</v>
      </c>
      <c r="L124" s="5" t="s">
        <v>11</v>
      </c>
      <c r="M124" s="5">
        <v>18</v>
      </c>
      <c r="N124" s="21" t="s">
        <v>88</v>
      </c>
    </row>
    <row r="125" spans="1:14" x14ac:dyDescent="0.3">
      <c r="A125" s="4" t="s">
        <v>22</v>
      </c>
      <c r="B125" s="4" t="s">
        <v>53</v>
      </c>
      <c r="C125" s="2">
        <v>44</v>
      </c>
      <c r="D125" s="2">
        <v>2</v>
      </c>
      <c r="E125" s="2">
        <v>3</v>
      </c>
      <c r="F125" s="2">
        <v>7</v>
      </c>
      <c r="G125" s="2">
        <v>5.9</v>
      </c>
      <c r="H125" s="2">
        <v>22.7</v>
      </c>
      <c r="I125" s="2">
        <v>20.9</v>
      </c>
      <c r="J125" s="2">
        <v>20.9</v>
      </c>
      <c r="K125" s="2">
        <v>1518</v>
      </c>
      <c r="L125" s="5" t="s">
        <v>11</v>
      </c>
      <c r="M125" s="5">
        <v>18</v>
      </c>
      <c r="N125" s="23" t="s">
        <v>88</v>
      </c>
    </row>
    <row r="126" spans="1:14" x14ac:dyDescent="0.3">
      <c r="A126" s="4" t="s">
        <v>22</v>
      </c>
      <c r="B126" s="4" t="s">
        <v>53</v>
      </c>
      <c r="C126" s="2">
        <v>252</v>
      </c>
      <c r="D126" s="2">
        <v>12</v>
      </c>
      <c r="E126" s="2">
        <v>17</v>
      </c>
      <c r="F126" s="2">
        <v>40</v>
      </c>
      <c r="G126" s="2">
        <v>5.4</v>
      </c>
      <c r="H126" s="2">
        <v>29.4</v>
      </c>
      <c r="I126" s="2">
        <v>20.3</v>
      </c>
      <c r="J126" s="2">
        <v>18.5</v>
      </c>
      <c r="K126" s="2">
        <v>1551</v>
      </c>
      <c r="L126" s="5" t="s">
        <v>11</v>
      </c>
      <c r="M126" s="5">
        <v>25</v>
      </c>
      <c r="N126" s="23" t="s">
        <v>89</v>
      </c>
    </row>
    <row r="127" spans="1:14" x14ac:dyDescent="0.3">
      <c r="A127" s="4" t="s">
        <v>22</v>
      </c>
      <c r="B127" s="4" t="s">
        <v>53</v>
      </c>
      <c r="C127" s="2">
        <v>256</v>
      </c>
      <c r="D127" s="2">
        <v>12</v>
      </c>
      <c r="E127" s="2">
        <v>18</v>
      </c>
      <c r="F127" s="2">
        <v>41</v>
      </c>
      <c r="G127" s="2">
        <v>5.2</v>
      </c>
      <c r="H127" s="2">
        <v>28.6</v>
      </c>
      <c r="I127" s="2">
        <v>20.2</v>
      </c>
      <c r="J127" s="2">
        <v>18.5</v>
      </c>
      <c r="K127" s="2">
        <v>1551</v>
      </c>
      <c r="L127" s="5" t="s">
        <v>11</v>
      </c>
      <c r="M127" s="5">
        <v>25</v>
      </c>
      <c r="N127" s="23" t="s">
        <v>89</v>
      </c>
    </row>
    <row r="128" spans="1:14" x14ac:dyDescent="0.3">
      <c r="A128" s="4" t="s">
        <v>22</v>
      </c>
      <c r="B128" s="4" t="s">
        <v>53</v>
      </c>
      <c r="C128" s="2">
        <v>84</v>
      </c>
      <c r="D128" s="2">
        <v>4</v>
      </c>
      <c r="E128" s="2">
        <v>5</v>
      </c>
      <c r="F128" s="2">
        <v>13</v>
      </c>
      <c r="G128" s="2">
        <v>5.4</v>
      </c>
      <c r="H128" s="2">
        <v>57</v>
      </c>
      <c r="I128" s="2">
        <v>19.100000000000001</v>
      </c>
      <c r="J128" s="2">
        <v>20.6</v>
      </c>
      <c r="K128" s="2">
        <v>1618</v>
      </c>
      <c r="L128" s="5" t="s">
        <v>11</v>
      </c>
      <c r="M128" s="5">
        <v>8</v>
      </c>
      <c r="N128" s="23" t="s">
        <v>88</v>
      </c>
    </row>
    <row r="129" spans="1:14" x14ac:dyDescent="0.3">
      <c r="A129" s="4" t="s">
        <v>22</v>
      </c>
      <c r="B129" s="4" t="s">
        <v>53</v>
      </c>
      <c r="C129" s="2">
        <v>371</v>
      </c>
      <c r="D129" s="2">
        <v>18</v>
      </c>
      <c r="E129" s="2">
        <v>26</v>
      </c>
      <c r="F129" s="2">
        <v>60</v>
      </c>
      <c r="G129" s="2">
        <v>4.5999999999999996</v>
      </c>
      <c r="H129" s="2">
        <v>48.6</v>
      </c>
      <c r="I129" s="2">
        <v>19.899999999999999</v>
      </c>
      <c r="J129" s="2">
        <v>20.6</v>
      </c>
      <c r="K129" s="2">
        <v>1618</v>
      </c>
      <c r="L129" s="5" t="s">
        <v>11</v>
      </c>
      <c r="M129" s="5">
        <v>8</v>
      </c>
      <c r="N129" s="23" t="s">
        <v>88</v>
      </c>
    </row>
    <row r="130" spans="1:14" x14ac:dyDescent="0.3">
      <c r="A130" s="4" t="s">
        <v>22</v>
      </c>
      <c r="B130" s="4" t="s">
        <v>53</v>
      </c>
      <c r="C130" s="2">
        <v>91</v>
      </c>
      <c r="D130" s="2">
        <v>4</v>
      </c>
      <c r="E130" s="2">
        <v>6</v>
      </c>
      <c r="F130" s="2">
        <v>14</v>
      </c>
      <c r="G130" s="2">
        <v>6.2</v>
      </c>
      <c r="H130" s="2">
        <v>34.799999999999997</v>
      </c>
      <c r="I130" s="2">
        <v>21.5</v>
      </c>
      <c r="J130" s="2">
        <v>20</v>
      </c>
      <c r="K130" s="2">
        <v>1558</v>
      </c>
      <c r="L130" s="5" t="s">
        <v>11</v>
      </c>
      <c r="M130" s="5">
        <v>40</v>
      </c>
      <c r="N130" s="23" t="s">
        <v>88</v>
      </c>
    </row>
    <row r="131" spans="1:14" x14ac:dyDescent="0.3">
      <c r="A131" s="4" t="s">
        <v>22</v>
      </c>
      <c r="B131" s="4" t="s">
        <v>53</v>
      </c>
      <c r="C131" s="2">
        <v>72</v>
      </c>
      <c r="D131" s="2">
        <v>3</v>
      </c>
      <c r="E131" s="2">
        <v>5</v>
      </c>
      <c r="F131" s="2">
        <v>11</v>
      </c>
      <c r="G131" s="2">
        <v>6.6</v>
      </c>
      <c r="H131" s="2">
        <v>27.4</v>
      </c>
      <c r="I131" s="2">
        <v>21.2</v>
      </c>
      <c r="J131" s="2">
        <v>20</v>
      </c>
      <c r="K131" s="2">
        <v>1558</v>
      </c>
      <c r="L131" s="5" t="s">
        <v>11</v>
      </c>
      <c r="M131" s="5">
        <v>40</v>
      </c>
      <c r="N131" s="23" t="s">
        <v>92</v>
      </c>
    </row>
    <row r="132" spans="1:14" x14ac:dyDescent="0.3">
      <c r="A132" s="4" t="s">
        <v>22</v>
      </c>
      <c r="B132" s="4" t="s">
        <v>54</v>
      </c>
      <c r="C132" s="2">
        <v>67</v>
      </c>
      <c r="D132" s="2">
        <v>3</v>
      </c>
      <c r="E132" s="2">
        <v>4</v>
      </c>
      <c r="F132" s="2">
        <v>10</v>
      </c>
      <c r="G132" s="2">
        <v>5.8</v>
      </c>
      <c r="H132" s="2">
        <v>31.2</v>
      </c>
      <c r="I132" s="2">
        <v>20</v>
      </c>
      <c r="J132" s="2">
        <v>20</v>
      </c>
      <c r="K132" s="2">
        <v>1535</v>
      </c>
      <c r="L132" s="5" t="s">
        <v>11</v>
      </c>
      <c r="M132" s="5">
        <v>25</v>
      </c>
      <c r="N132" s="23" t="s">
        <v>88</v>
      </c>
    </row>
    <row r="133" spans="1:14" x14ac:dyDescent="0.3">
      <c r="A133" s="4" t="s">
        <v>22</v>
      </c>
      <c r="B133" s="4" t="s">
        <v>54</v>
      </c>
      <c r="C133" s="2">
        <v>33</v>
      </c>
      <c r="D133" s="2">
        <v>1</v>
      </c>
      <c r="E133" s="2">
        <v>2</v>
      </c>
      <c r="F133" s="2">
        <v>5</v>
      </c>
      <c r="G133" s="2">
        <v>6.1</v>
      </c>
      <c r="H133" s="2">
        <v>32.4</v>
      </c>
      <c r="I133" s="2">
        <v>20.5</v>
      </c>
      <c r="J133" s="2">
        <v>20</v>
      </c>
      <c r="K133" s="2">
        <v>1535</v>
      </c>
      <c r="L133" s="5" t="s">
        <v>11</v>
      </c>
      <c r="M133" s="5">
        <v>25</v>
      </c>
      <c r="N133" s="23" t="s">
        <v>92</v>
      </c>
    </row>
    <row r="134" spans="1:14" x14ac:dyDescent="0.3">
      <c r="A134" s="3" t="s">
        <v>22</v>
      </c>
      <c r="B134" s="4" t="s">
        <v>55</v>
      </c>
      <c r="C134" s="2">
        <v>134</v>
      </c>
      <c r="D134" s="2">
        <v>6</v>
      </c>
      <c r="E134" s="2">
        <v>9</v>
      </c>
      <c r="F134" s="2">
        <v>21</v>
      </c>
      <c r="G134" s="2">
        <v>5.5</v>
      </c>
      <c r="H134" s="2">
        <v>56</v>
      </c>
      <c r="I134" s="2">
        <v>28</v>
      </c>
      <c r="J134" s="2">
        <v>25</v>
      </c>
      <c r="K134" s="2">
        <v>749</v>
      </c>
      <c r="L134" s="5" t="s">
        <v>12</v>
      </c>
      <c r="M134" s="5"/>
      <c r="N134" s="23" t="s">
        <v>93</v>
      </c>
    </row>
    <row r="135" spans="1:14" x14ac:dyDescent="0.3">
      <c r="A135" s="4" t="s">
        <v>23</v>
      </c>
      <c r="B135" s="4" t="s">
        <v>56</v>
      </c>
      <c r="C135" s="2">
        <v>31</v>
      </c>
      <c r="D135" s="2">
        <v>1</v>
      </c>
      <c r="E135" s="2">
        <v>2</v>
      </c>
      <c r="F135" s="2">
        <v>5</v>
      </c>
      <c r="G135" s="2">
        <v>6.1</v>
      </c>
      <c r="H135" s="2">
        <v>28.1</v>
      </c>
      <c r="I135" s="2">
        <v>26.5</v>
      </c>
      <c r="J135" s="2">
        <v>22</v>
      </c>
      <c r="K135" s="2">
        <v>1213</v>
      </c>
      <c r="L135" s="5" t="s">
        <v>11</v>
      </c>
      <c r="M135" s="5">
        <v>18</v>
      </c>
      <c r="N135" s="21"/>
    </row>
    <row r="136" spans="1:14" x14ac:dyDescent="0.3">
      <c r="A136" s="4" t="s">
        <v>23</v>
      </c>
      <c r="B136" s="4" t="s">
        <v>56</v>
      </c>
      <c r="C136" s="2">
        <v>22</v>
      </c>
      <c r="D136" s="2">
        <v>1</v>
      </c>
      <c r="E136" s="2">
        <v>1</v>
      </c>
      <c r="F136" s="2">
        <v>3</v>
      </c>
      <c r="G136" s="2">
        <v>6.3</v>
      </c>
      <c r="H136" s="2">
        <v>25.5</v>
      </c>
      <c r="I136" s="2">
        <v>26.2</v>
      </c>
      <c r="J136" s="2">
        <v>22</v>
      </c>
      <c r="K136" s="2">
        <v>1203</v>
      </c>
      <c r="L136" s="5" t="s">
        <v>11</v>
      </c>
      <c r="M136" s="5">
        <v>18</v>
      </c>
      <c r="N136" s="21"/>
    </row>
    <row r="137" spans="1:14" x14ac:dyDescent="0.3">
      <c r="A137" s="3" t="s">
        <v>24</v>
      </c>
      <c r="B137" s="4" t="s">
        <v>57</v>
      </c>
      <c r="C137" s="2">
        <v>54</v>
      </c>
      <c r="D137" s="2">
        <v>2</v>
      </c>
      <c r="E137" s="2">
        <v>3</v>
      </c>
      <c r="F137" s="2">
        <v>8</v>
      </c>
      <c r="G137" s="2">
        <v>6.4</v>
      </c>
      <c r="H137" s="2">
        <v>33.5</v>
      </c>
      <c r="I137" s="2">
        <v>21.7</v>
      </c>
      <c r="J137" s="2">
        <v>20</v>
      </c>
      <c r="K137" s="2">
        <v>1251</v>
      </c>
      <c r="L137" s="5" t="s">
        <v>11</v>
      </c>
      <c r="M137" s="5">
        <v>18</v>
      </c>
      <c r="N137" s="21" t="s">
        <v>92</v>
      </c>
    </row>
    <row r="138" spans="1:14" x14ac:dyDescent="0.3">
      <c r="A138" s="3" t="s">
        <v>24</v>
      </c>
      <c r="B138" s="4" t="s">
        <v>57</v>
      </c>
      <c r="C138" s="2">
        <v>21</v>
      </c>
      <c r="D138" s="2">
        <v>1</v>
      </c>
      <c r="E138" s="2">
        <v>1</v>
      </c>
      <c r="F138" s="2">
        <v>3</v>
      </c>
      <c r="G138" s="2">
        <v>6.2</v>
      </c>
      <c r="H138" s="2">
        <v>29.5</v>
      </c>
      <c r="I138" s="2">
        <v>22.5</v>
      </c>
      <c r="J138" s="2">
        <v>20</v>
      </c>
      <c r="K138" s="2">
        <v>1251</v>
      </c>
      <c r="L138" s="5" t="s">
        <v>11</v>
      </c>
      <c r="M138" s="5">
        <v>30</v>
      </c>
      <c r="N138" s="23" t="s">
        <v>89</v>
      </c>
    </row>
    <row r="139" spans="1:14" x14ac:dyDescent="0.3">
      <c r="A139" s="3" t="s">
        <v>24</v>
      </c>
      <c r="B139" s="4" t="s">
        <v>57</v>
      </c>
      <c r="C139" s="2">
        <v>21</v>
      </c>
      <c r="D139" s="2">
        <v>1</v>
      </c>
      <c r="E139" s="2">
        <v>1</v>
      </c>
      <c r="F139" s="2">
        <v>3</v>
      </c>
      <c r="G139" s="2">
        <v>6.3</v>
      </c>
      <c r="H139" s="2">
        <v>49.2</v>
      </c>
      <c r="I139" s="2">
        <v>22.4</v>
      </c>
      <c r="J139" s="2">
        <v>21</v>
      </c>
      <c r="K139" s="2">
        <v>1284</v>
      </c>
      <c r="L139" s="5" t="s">
        <v>11</v>
      </c>
      <c r="M139" s="5">
        <v>30</v>
      </c>
      <c r="N139" s="23" t="s">
        <v>89</v>
      </c>
    </row>
    <row r="140" spans="1:14" x14ac:dyDescent="0.3">
      <c r="A140" s="3" t="s">
        <v>24</v>
      </c>
      <c r="B140" s="4" t="s">
        <v>57</v>
      </c>
      <c r="C140" s="2">
        <v>26</v>
      </c>
      <c r="D140" s="2">
        <v>1</v>
      </c>
      <c r="E140" s="2">
        <v>1</v>
      </c>
      <c r="F140" s="2">
        <v>4</v>
      </c>
      <c r="G140" s="2">
        <v>6.9</v>
      </c>
      <c r="H140" s="2">
        <v>54.2</v>
      </c>
      <c r="I140" s="2">
        <v>21.1</v>
      </c>
      <c r="J140" s="2">
        <v>21</v>
      </c>
      <c r="K140" s="2">
        <v>1284</v>
      </c>
      <c r="L140" s="5" t="s">
        <v>11</v>
      </c>
      <c r="M140" s="5">
        <v>18</v>
      </c>
      <c r="N140" s="21" t="s">
        <v>92</v>
      </c>
    </row>
    <row r="141" spans="1:14" x14ac:dyDescent="0.3">
      <c r="A141" s="3" t="s">
        <v>24</v>
      </c>
      <c r="B141" s="4" t="s">
        <v>58</v>
      </c>
      <c r="C141" s="2">
        <v>346</v>
      </c>
      <c r="D141" s="2">
        <v>17</v>
      </c>
      <c r="E141" s="2">
        <v>24</v>
      </c>
      <c r="F141" s="2">
        <v>55</v>
      </c>
      <c r="G141" s="2">
        <v>6.3</v>
      </c>
      <c r="H141" s="2">
        <v>34</v>
      </c>
      <c r="I141" s="2">
        <v>25.6</v>
      </c>
      <c r="J141" s="2">
        <v>22</v>
      </c>
      <c r="K141" s="2">
        <v>1340</v>
      </c>
      <c r="L141" s="5" t="s">
        <v>11</v>
      </c>
      <c r="M141" s="5">
        <v>20</v>
      </c>
      <c r="N141" s="21" t="s">
        <v>89</v>
      </c>
    </row>
    <row r="142" spans="1:14" x14ac:dyDescent="0.3">
      <c r="A142" s="3" t="s">
        <v>24</v>
      </c>
      <c r="B142" s="4" t="s">
        <v>58</v>
      </c>
      <c r="C142" s="2">
        <v>182</v>
      </c>
      <c r="D142" s="2">
        <v>9</v>
      </c>
      <c r="E142" s="2">
        <v>12</v>
      </c>
      <c r="F142" s="2">
        <v>29</v>
      </c>
      <c r="G142" s="2">
        <v>6.2</v>
      </c>
      <c r="H142" s="2">
        <v>37</v>
      </c>
      <c r="I142" s="2">
        <v>24.4</v>
      </c>
      <c r="J142" s="2">
        <v>22</v>
      </c>
      <c r="K142" s="2">
        <v>1340</v>
      </c>
      <c r="L142" s="5" t="s">
        <v>11</v>
      </c>
      <c r="M142" s="5">
        <v>20</v>
      </c>
      <c r="N142" s="23" t="s">
        <v>89</v>
      </c>
    </row>
    <row r="143" spans="1:14" x14ac:dyDescent="0.3">
      <c r="A143" s="3" t="s">
        <v>24</v>
      </c>
      <c r="B143" s="4" t="s">
        <v>58</v>
      </c>
      <c r="C143" s="2">
        <v>52</v>
      </c>
      <c r="D143" s="2">
        <v>2</v>
      </c>
      <c r="E143" s="2">
        <v>3</v>
      </c>
      <c r="F143" s="2">
        <v>8</v>
      </c>
      <c r="G143" s="2">
        <v>6</v>
      </c>
      <c r="H143" s="2">
        <v>27.1</v>
      </c>
      <c r="I143" s="2">
        <v>24.4</v>
      </c>
      <c r="J143" s="2">
        <v>23</v>
      </c>
      <c r="K143" s="2">
        <v>1466</v>
      </c>
      <c r="L143" s="5" t="s">
        <v>11</v>
      </c>
      <c r="M143" s="5">
        <v>30</v>
      </c>
      <c r="N143" s="23" t="s">
        <v>94</v>
      </c>
    </row>
    <row r="144" spans="1:14" x14ac:dyDescent="0.3">
      <c r="A144" s="3" t="s">
        <v>24</v>
      </c>
      <c r="B144" s="4" t="s">
        <v>58</v>
      </c>
      <c r="C144" s="2">
        <v>75</v>
      </c>
      <c r="D144" s="2">
        <v>3</v>
      </c>
      <c r="E144" s="2">
        <v>5</v>
      </c>
      <c r="F144" s="2">
        <v>12</v>
      </c>
      <c r="G144" s="2">
        <v>6.1</v>
      </c>
      <c r="H144" s="2">
        <v>45.8</v>
      </c>
      <c r="I144" s="2">
        <v>24.9</v>
      </c>
      <c r="J144" s="2">
        <v>23</v>
      </c>
      <c r="K144" s="2">
        <v>1466</v>
      </c>
      <c r="L144" s="5" t="s">
        <v>11</v>
      </c>
      <c r="M144" s="5">
        <v>30</v>
      </c>
      <c r="N144" s="23" t="s">
        <v>94</v>
      </c>
    </row>
    <row r="145" spans="1:14" x14ac:dyDescent="0.3">
      <c r="A145" s="3" t="s">
        <v>24</v>
      </c>
      <c r="B145" s="4" t="s">
        <v>59</v>
      </c>
      <c r="C145" s="2">
        <v>34</v>
      </c>
      <c r="D145" s="2">
        <v>1</v>
      </c>
      <c r="E145" s="2">
        <v>2</v>
      </c>
      <c r="F145" s="2">
        <v>5</v>
      </c>
      <c r="G145" s="2">
        <v>6.3</v>
      </c>
      <c r="H145" s="2">
        <v>21.8</v>
      </c>
      <c r="I145" s="2">
        <v>24.6</v>
      </c>
      <c r="J145" s="2">
        <v>20</v>
      </c>
      <c r="K145" s="2">
        <v>1265</v>
      </c>
      <c r="L145" s="5" t="s">
        <v>11</v>
      </c>
      <c r="M145" s="5">
        <v>45</v>
      </c>
      <c r="N145" s="23" t="s">
        <v>92</v>
      </c>
    </row>
    <row r="146" spans="1:14" x14ac:dyDescent="0.3">
      <c r="A146" s="3" t="s">
        <v>24</v>
      </c>
      <c r="B146" s="4" t="s">
        <v>59</v>
      </c>
      <c r="C146" s="2">
        <v>32</v>
      </c>
      <c r="D146" s="2">
        <v>1</v>
      </c>
      <c r="E146" s="2">
        <v>2</v>
      </c>
      <c r="F146" s="2">
        <v>5</v>
      </c>
      <c r="G146" s="2">
        <v>6.2</v>
      </c>
      <c r="H146" s="2">
        <v>20.3</v>
      </c>
      <c r="I146" s="2">
        <v>24.6</v>
      </c>
      <c r="J146" s="2">
        <v>20</v>
      </c>
      <c r="K146" s="2">
        <v>1265</v>
      </c>
      <c r="L146" s="5" t="s">
        <v>11</v>
      </c>
      <c r="M146" s="5">
        <v>45</v>
      </c>
      <c r="N146" s="23" t="s">
        <v>92</v>
      </c>
    </row>
    <row r="147" spans="1:14" x14ac:dyDescent="0.3">
      <c r="A147" s="3" t="s">
        <v>24</v>
      </c>
      <c r="B147" s="4" t="s">
        <v>60</v>
      </c>
      <c r="C147" s="2">
        <v>74</v>
      </c>
      <c r="D147" s="2">
        <v>3</v>
      </c>
      <c r="E147" s="2">
        <v>5</v>
      </c>
      <c r="F147" s="2">
        <v>12</v>
      </c>
      <c r="G147" s="2">
        <v>6.2</v>
      </c>
      <c r="H147" s="2">
        <v>34.5</v>
      </c>
      <c r="I147" s="2">
        <v>26.2</v>
      </c>
      <c r="J147" s="2">
        <v>22</v>
      </c>
      <c r="K147" s="2">
        <v>1349</v>
      </c>
      <c r="L147" s="5" t="s">
        <v>11</v>
      </c>
      <c r="M147" s="5">
        <v>25</v>
      </c>
      <c r="N147" s="23" t="s">
        <v>94</v>
      </c>
    </row>
    <row r="148" spans="1:14" x14ac:dyDescent="0.3">
      <c r="A148" s="3" t="s">
        <v>24</v>
      </c>
      <c r="B148" s="4" t="s">
        <v>60</v>
      </c>
      <c r="C148" s="2">
        <v>48</v>
      </c>
      <c r="D148" s="2">
        <v>2</v>
      </c>
      <c r="E148" s="2">
        <v>3</v>
      </c>
      <c r="F148" s="2">
        <v>7</v>
      </c>
      <c r="G148" s="2">
        <v>7.5</v>
      </c>
      <c r="H148" s="2">
        <v>44.9</v>
      </c>
      <c r="I148" s="2">
        <v>30.5</v>
      </c>
      <c r="J148" s="2">
        <v>22</v>
      </c>
      <c r="K148" s="2">
        <v>1349</v>
      </c>
      <c r="L148" s="5" t="s">
        <v>11</v>
      </c>
      <c r="M148" s="5">
        <v>25</v>
      </c>
      <c r="N148" s="23" t="s">
        <v>94</v>
      </c>
    </row>
    <row r="149" spans="1:14" x14ac:dyDescent="0.3">
      <c r="A149" s="3" t="s">
        <v>24</v>
      </c>
      <c r="B149" s="4" t="s">
        <v>61</v>
      </c>
      <c r="C149" s="2">
        <v>23</v>
      </c>
      <c r="D149" s="2">
        <v>1</v>
      </c>
      <c r="E149" s="2">
        <v>1</v>
      </c>
      <c r="F149" s="2">
        <v>3</v>
      </c>
      <c r="G149" s="2">
        <v>6.3</v>
      </c>
      <c r="H149" s="2">
        <v>33.700000000000003</v>
      </c>
      <c r="I149" s="2">
        <v>18.3</v>
      </c>
      <c r="J149" s="2">
        <v>16</v>
      </c>
      <c r="K149" s="2">
        <v>1753</v>
      </c>
      <c r="L149" s="5" t="s">
        <v>11</v>
      </c>
      <c r="M149" s="5">
        <v>30</v>
      </c>
      <c r="N149" s="23" t="s">
        <v>94</v>
      </c>
    </row>
    <row r="150" spans="1:14" x14ac:dyDescent="0.3">
      <c r="A150" s="3" t="s">
        <v>24</v>
      </c>
      <c r="B150" s="4" t="s">
        <v>61</v>
      </c>
      <c r="C150" s="2">
        <v>7</v>
      </c>
      <c r="D150" s="2">
        <v>0</v>
      </c>
      <c r="E150" s="2">
        <v>0</v>
      </c>
      <c r="F150" s="2">
        <v>1</v>
      </c>
      <c r="G150" s="2">
        <v>6.2</v>
      </c>
      <c r="H150" s="2">
        <v>22.5</v>
      </c>
      <c r="I150" s="2">
        <v>18.8</v>
      </c>
      <c r="J150" s="2">
        <v>16</v>
      </c>
      <c r="K150" s="2">
        <v>1753</v>
      </c>
      <c r="L150" s="5" t="s">
        <v>11</v>
      </c>
      <c r="M150" s="5">
        <v>30</v>
      </c>
      <c r="N150" s="23" t="s">
        <v>88</v>
      </c>
    </row>
    <row r="151" spans="1:14" x14ac:dyDescent="0.3">
      <c r="A151" s="3" t="s">
        <v>24</v>
      </c>
      <c r="B151" s="4" t="s">
        <v>61</v>
      </c>
      <c r="C151" s="2">
        <v>84</v>
      </c>
      <c r="D151" s="2">
        <v>4</v>
      </c>
      <c r="E151" s="2">
        <v>5</v>
      </c>
      <c r="F151" s="2">
        <v>13</v>
      </c>
      <c r="G151" s="2">
        <v>6.2</v>
      </c>
      <c r="H151" s="2">
        <v>22.2</v>
      </c>
      <c r="I151" s="2">
        <v>20</v>
      </c>
      <c r="J151" s="2">
        <v>19</v>
      </c>
      <c r="K151" s="2">
        <v>1638.91</v>
      </c>
      <c r="L151" s="5" t="s">
        <v>11</v>
      </c>
      <c r="M151" s="5">
        <v>30</v>
      </c>
      <c r="N151" s="23" t="s">
        <v>94</v>
      </c>
    </row>
    <row r="152" spans="1:14" x14ac:dyDescent="0.3">
      <c r="A152" s="3" t="s">
        <v>24</v>
      </c>
      <c r="B152" s="4" t="s">
        <v>61</v>
      </c>
      <c r="C152" s="2">
        <v>72</v>
      </c>
      <c r="D152" s="2">
        <v>3</v>
      </c>
      <c r="E152" s="2">
        <v>5</v>
      </c>
      <c r="F152" s="2">
        <v>11</v>
      </c>
      <c r="G152" s="2">
        <v>6.3</v>
      </c>
      <c r="H152" s="2">
        <v>16.7</v>
      </c>
      <c r="I152" s="2">
        <v>20</v>
      </c>
      <c r="J152" s="2">
        <v>19</v>
      </c>
      <c r="K152" s="2">
        <v>1638.91</v>
      </c>
      <c r="L152" s="5" t="s">
        <v>11</v>
      </c>
      <c r="M152" s="5">
        <v>30</v>
      </c>
      <c r="N152" s="23" t="s">
        <v>92</v>
      </c>
    </row>
    <row r="153" spans="1:14" x14ac:dyDescent="0.3">
      <c r="A153" s="3" t="s">
        <v>24</v>
      </c>
      <c r="B153" s="4" t="s">
        <v>61</v>
      </c>
      <c r="C153" s="2">
        <v>11</v>
      </c>
      <c r="D153" s="2">
        <v>0</v>
      </c>
      <c r="E153" s="2">
        <v>0</v>
      </c>
      <c r="F153" s="2">
        <v>1</v>
      </c>
      <c r="G153" s="2">
        <v>6.4</v>
      </c>
      <c r="H153" s="2">
        <v>16</v>
      </c>
      <c r="I153" s="2">
        <v>22.1</v>
      </c>
      <c r="J153" s="2">
        <v>21</v>
      </c>
      <c r="K153" s="2">
        <v>1567.28</v>
      </c>
      <c r="L153" s="5" t="s">
        <v>11</v>
      </c>
      <c r="M153" s="5">
        <v>30</v>
      </c>
      <c r="N153" s="23" t="s">
        <v>94</v>
      </c>
    </row>
    <row r="154" spans="1:14" x14ac:dyDescent="0.3">
      <c r="A154" s="3" t="s">
        <v>24</v>
      </c>
      <c r="B154" s="4" t="s">
        <v>61</v>
      </c>
      <c r="C154" s="2">
        <v>62</v>
      </c>
      <c r="D154" s="2">
        <v>3</v>
      </c>
      <c r="E154" s="2">
        <v>4</v>
      </c>
      <c r="F154" s="2">
        <v>10</v>
      </c>
      <c r="G154" s="2">
        <v>6.2</v>
      </c>
      <c r="H154" s="2">
        <v>18.899999999999999</v>
      </c>
      <c r="I154" s="2">
        <v>22.9</v>
      </c>
      <c r="J154" s="2">
        <v>21</v>
      </c>
      <c r="K154" s="2">
        <v>1567.28</v>
      </c>
      <c r="L154" s="5" t="s">
        <v>11</v>
      </c>
      <c r="M154" s="5">
        <v>30</v>
      </c>
      <c r="N154" s="23" t="s">
        <v>94</v>
      </c>
    </row>
    <row r="155" spans="1:14" x14ac:dyDescent="0.3">
      <c r="A155" s="4" t="s">
        <v>25</v>
      </c>
      <c r="B155" s="4" t="s">
        <v>62</v>
      </c>
      <c r="C155" s="2">
        <v>8</v>
      </c>
      <c r="D155" s="2">
        <v>0</v>
      </c>
      <c r="E155" s="2">
        <v>0</v>
      </c>
      <c r="F155" s="2">
        <v>1</v>
      </c>
      <c r="G155" s="2">
        <v>6.1</v>
      </c>
      <c r="H155" s="2">
        <v>39</v>
      </c>
      <c r="I155" s="2">
        <v>23.6</v>
      </c>
      <c r="J155" s="2">
        <v>23</v>
      </c>
      <c r="K155" s="2">
        <v>738</v>
      </c>
      <c r="L155" s="5" t="s">
        <v>12</v>
      </c>
      <c r="M155" s="5"/>
      <c r="N155" s="21"/>
    </row>
    <row r="156" spans="1:14" x14ac:dyDescent="0.3">
      <c r="A156" s="4" t="s">
        <v>25</v>
      </c>
      <c r="B156" s="4" t="s">
        <v>62</v>
      </c>
      <c r="C156" s="2">
        <v>54</v>
      </c>
      <c r="D156" s="2">
        <v>2</v>
      </c>
      <c r="E156" s="2">
        <v>3</v>
      </c>
      <c r="F156" s="2">
        <v>8</v>
      </c>
      <c r="G156" s="2">
        <v>5.5</v>
      </c>
      <c r="H156" s="2">
        <v>49.5</v>
      </c>
      <c r="I156" s="2">
        <v>23.4</v>
      </c>
      <c r="J156" s="2">
        <v>23</v>
      </c>
      <c r="K156" s="2">
        <v>738</v>
      </c>
      <c r="L156" s="5" t="s">
        <v>12</v>
      </c>
      <c r="M156" s="5"/>
      <c r="N156" s="21"/>
    </row>
    <row r="157" spans="1:14" x14ac:dyDescent="0.3">
      <c r="A157" s="4" t="s">
        <v>25</v>
      </c>
      <c r="B157" s="4" t="s">
        <v>62</v>
      </c>
      <c r="C157" s="2">
        <v>40</v>
      </c>
      <c r="D157" s="2">
        <v>2</v>
      </c>
      <c r="E157" s="2">
        <v>2</v>
      </c>
      <c r="F157" s="2">
        <v>2</v>
      </c>
      <c r="G157" s="2">
        <v>6.1</v>
      </c>
      <c r="H157" s="2">
        <v>33.799999999999997</v>
      </c>
      <c r="I157" s="2">
        <v>24.4</v>
      </c>
      <c r="J157" s="2">
        <v>23</v>
      </c>
      <c r="K157" s="2">
        <v>738</v>
      </c>
      <c r="L157" s="5" t="s">
        <v>12</v>
      </c>
      <c r="M157" s="5"/>
      <c r="N157" s="21"/>
    </row>
    <row r="158" spans="1:14" x14ac:dyDescent="0.3">
      <c r="A158" s="4" t="s">
        <v>25</v>
      </c>
      <c r="B158" s="4" t="s">
        <v>62</v>
      </c>
      <c r="C158" s="2">
        <v>28</v>
      </c>
      <c r="D158" s="2">
        <v>1</v>
      </c>
      <c r="E158" s="2">
        <v>2</v>
      </c>
      <c r="F158" s="2">
        <v>4</v>
      </c>
      <c r="G158" s="2">
        <v>6.2</v>
      </c>
      <c r="H158" s="2">
        <v>39</v>
      </c>
      <c r="I158" s="2">
        <v>23.6</v>
      </c>
      <c r="J158" s="2">
        <v>23</v>
      </c>
      <c r="K158" s="2">
        <v>738</v>
      </c>
      <c r="L158" s="5" t="s">
        <v>12</v>
      </c>
      <c r="M158" s="5"/>
      <c r="N158" s="21"/>
    </row>
    <row r="159" spans="1:14" x14ac:dyDescent="0.3">
      <c r="A159" s="4" t="s">
        <v>25</v>
      </c>
      <c r="B159" s="4" t="s">
        <v>62</v>
      </c>
      <c r="C159" s="2">
        <v>35</v>
      </c>
      <c r="D159" s="2">
        <v>1</v>
      </c>
      <c r="E159" s="2">
        <v>2</v>
      </c>
      <c r="F159" s="2">
        <v>5</v>
      </c>
      <c r="G159" s="2">
        <v>6.9</v>
      </c>
      <c r="H159" s="2">
        <v>57.2</v>
      </c>
      <c r="I159" s="2">
        <v>24.6</v>
      </c>
      <c r="J159" s="2">
        <v>23</v>
      </c>
      <c r="K159" s="2">
        <v>738</v>
      </c>
      <c r="L159" s="5" t="s">
        <v>12</v>
      </c>
      <c r="M159" s="5"/>
      <c r="N159" s="21"/>
    </row>
    <row r="160" spans="1:14" x14ac:dyDescent="0.3">
      <c r="A160" s="4" t="s">
        <v>25</v>
      </c>
      <c r="B160" s="4" t="s">
        <v>62</v>
      </c>
      <c r="C160" s="2">
        <v>29</v>
      </c>
      <c r="D160" s="2">
        <v>1</v>
      </c>
      <c r="E160" s="2">
        <v>2</v>
      </c>
      <c r="F160" s="2">
        <v>4</v>
      </c>
      <c r="G160" s="2">
        <v>6.9</v>
      </c>
      <c r="H160" s="2">
        <v>33.4</v>
      </c>
      <c r="I160" s="2">
        <v>25.2</v>
      </c>
      <c r="J160" s="2">
        <v>23</v>
      </c>
      <c r="K160" s="2">
        <v>738</v>
      </c>
      <c r="L160" s="5" t="s">
        <v>12</v>
      </c>
      <c r="M160" s="5"/>
      <c r="N160" s="21"/>
    </row>
    <row r="161" spans="1:14" x14ac:dyDescent="0.3">
      <c r="A161" s="4" t="s">
        <v>25</v>
      </c>
      <c r="B161" s="4" t="s">
        <v>62</v>
      </c>
      <c r="C161" s="2">
        <v>13</v>
      </c>
      <c r="D161" s="2">
        <v>0</v>
      </c>
      <c r="E161" s="2">
        <v>0</v>
      </c>
      <c r="F161" s="2">
        <v>2</v>
      </c>
      <c r="G161" s="2">
        <v>6.5</v>
      </c>
      <c r="H161" s="2">
        <v>42.2</v>
      </c>
      <c r="I161" s="2">
        <v>25.1</v>
      </c>
      <c r="J161" s="2">
        <v>23</v>
      </c>
      <c r="K161" s="2">
        <v>738</v>
      </c>
      <c r="L161" s="5" t="s">
        <v>12</v>
      </c>
      <c r="M161" s="5"/>
      <c r="N161" s="21"/>
    </row>
    <row r="162" spans="1:14" x14ac:dyDescent="0.3">
      <c r="A162" s="4" t="s">
        <v>25</v>
      </c>
      <c r="B162" s="4" t="s">
        <v>62</v>
      </c>
      <c r="C162" s="2">
        <v>58</v>
      </c>
      <c r="D162" s="2">
        <v>2</v>
      </c>
      <c r="E162" s="2">
        <v>4</v>
      </c>
      <c r="F162" s="2">
        <v>9</v>
      </c>
      <c r="G162" s="2">
        <v>6.7</v>
      </c>
      <c r="H162" s="2">
        <v>59.1</v>
      </c>
      <c r="I162" s="2">
        <v>26.7</v>
      </c>
      <c r="J162" s="2">
        <v>23</v>
      </c>
      <c r="K162" s="2">
        <v>738</v>
      </c>
      <c r="L162" s="5" t="s">
        <v>12</v>
      </c>
      <c r="M162" s="5"/>
      <c r="N162" s="21"/>
    </row>
    <row r="163" spans="1:14" x14ac:dyDescent="0.3">
      <c r="A163" s="4" t="s">
        <v>26</v>
      </c>
      <c r="B163" s="4" t="s">
        <v>63</v>
      </c>
      <c r="C163" s="2">
        <v>350</v>
      </c>
      <c r="D163" s="2">
        <v>17</v>
      </c>
      <c r="E163" s="2">
        <v>24</v>
      </c>
      <c r="F163" s="2">
        <v>56</v>
      </c>
      <c r="G163" s="2">
        <v>5.2</v>
      </c>
      <c r="H163" s="2">
        <v>75.400000000000006</v>
      </c>
      <c r="I163" s="2">
        <v>30.6</v>
      </c>
      <c r="J163" s="2">
        <v>31</v>
      </c>
      <c r="K163" s="2">
        <v>11</v>
      </c>
      <c r="L163" s="5" t="s">
        <v>13</v>
      </c>
      <c r="M163" s="5">
        <v>0</v>
      </c>
      <c r="N163" s="21"/>
    </row>
    <row r="164" spans="1:14" x14ac:dyDescent="0.3">
      <c r="A164" s="4" t="s">
        <v>26</v>
      </c>
      <c r="B164" s="4" t="s">
        <v>63</v>
      </c>
      <c r="C164" s="2">
        <v>582</v>
      </c>
      <c r="D164" s="2">
        <v>29</v>
      </c>
      <c r="E164" s="2">
        <v>40</v>
      </c>
      <c r="F164" s="2">
        <v>93</v>
      </c>
      <c r="G164" s="2">
        <v>6.2</v>
      </c>
      <c r="H164" s="2">
        <v>80</v>
      </c>
      <c r="I164" s="2">
        <v>31.1</v>
      </c>
      <c r="J164" s="2">
        <v>31</v>
      </c>
      <c r="K164" s="2">
        <v>11</v>
      </c>
      <c r="L164" s="5" t="s">
        <v>13</v>
      </c>
      <c r="M164" s="5">
        <v>0</v>
      </c>
      <c r="N164" s="21"/>
    </row>
    <row r="165" spans="1:14" x14ac:dyDescent="0.3">
      <c r="A165" s="4" t="s">
        <v>26</v>
      </c>
      <c r="B165" s="4" t="s">
        <v>63</v>
      </c>
      <c r="C165" s="2">
        <v>505</v>
      </c>
      <c r="D165" s="2">
        <v>25</v>
      </c>
      <c r="E165" s="2">
        <v>35</v>
      </c>
      <c r="F165" s="2">
        <v>82</v>
      </c>
      <c r="G165" s="2">
        <v>5.4</v>
      </c>
      <c r="H165" s="2">
        <v>64.900000000000006</v>
      </c>
      <c r="I165" s="2">
        <v>31</v>
      </c>
      <c r="J165" s="2">
        <v>31</v>
      </c>
      <c r="K165" s="2">
        <v>11</v>
      </c>
      <c r="L165" s="5" t="s">
        <v>13</v>
      </c>
      <c r="M165" s="5">
        <v>0</v>
      </c>
      <c r="N165" s="21"/>
    </row>
    <row r="166" spans="1:14" x14ac:dyDescent="0.3">
      <c r="A166" s="4" t="s">
        <v>26</v>
      </c>
      <c r="B166" s="4" t="s">
        <v>63</v>
      </c>
      <c r="C166" s="2">
        <v>685</v>
      </c>
      <c r="D166" s="2">
        <v>34</v>
      </c>
      <c r="E166" s="2">
        <v>47</v>
      </c>
      <c r="F166" s="2">
        <v>109</v>
      </c>
      <c r="G166" s="2">
        <v>6</v>
      </c>
      <c r="H166" s="2">
        <v>70</v>
      </c>
      <c r="I166" s="2">
        <v>29.3</v>
      </c>
      <c r="J166" s="2">
        <v>31</v>
      </c>
      <c r="K166" s="2">
        <v>11</v>
      </c>
      <c r="L166" s="5" t="s">
        <v>13</v>
      </c>
      <c r="M166" s="5">
        <v>0</v>
      </c>
      <c r="N166" s="21"/>
    </row>
    <row r="167" spans="1:14" x14ac:dyDescent="0.3">
      <c r="A167" s="4" t="s">
        <v>26</v>
      </c>
      <c r="B167" s="4" t="s">
        <v>63</v>
      </c>
      <c r="C167" s="2">
        <v>344</v>
      </c>
      <c r="D167" s="2">
        <v>17</v>
      </c>
      <c r="E167" s="2">
        <v>24</v>
      </c>
      <c r="F167" s="2">
        <v>55</v>
      </c>
      <c r="G167" s="2">
        <v>4.5999999999999996</v>
      </c>
      <c r="H167" s="2">
        <v>54</v>
      </c>
      <c r="I167" s="2">
        <v>30.4</v>
      </c>
      <c r="J167" s="2">
        <v>31</v>
      </c>
      <c r="K167" s="2">
        <v>14</v>
      </c>
      <c r="L167" s="5" t="s">
        <v>13</v>
      </c>
      <c r="M167" s="5">
        <v>0</v>
      </c>
      <c r="N167" s="21"/>
    </row>
    <row r="168" spans="1:14" x14ac:dyDescent="0.3">
      <c r="A168" s="4" t="s">
        <v>26</v>
      </c>
      <c r="B168" s="4" t="s">
        <v>63</v>
      </c>
      <c r="C168" s="2">
        <v>185</v>
      </c>
      <c r="D168" s="2">
        <v>9</v>
      </c>
      <c r="E168" s="2">
        <v>12</v>
      </c>
      <c r="F168" s="2">
        <v>29</v>
      </c>
      <c r="G168" s="2">
        <v>6.2</v>
      </c>
      <c r="H168" s="2">
        <v>25.6</v>
      </c>
      <c r="I168" s="2">
        <v>29.6</v>
      </c>
      <c r="J168" s="2">
        <v>31</v>
      </c>
      <c r="K168" s="2">
        <v>14</v>
      </c>
      <c r="L168" s="5" t="s">
        <v>13</v>
      </c>
      <c r="M168" s="5">
        <v>0</v>
      </c>
      <c r="N168" s="21"/>
    </row>
    <row r="169" spans="1:14" x14ac:dyDescent="0.3">
      <c r="A169" s="4" t="s">
        <v>26</v>
      </c>
      <c r="B169" s="4" t="s">
        <v>63</v>
      </c>
      <c r="C169" s="2">
        <v>338</v>
      </c>
      <c r="D169" s="2">
        <v>16</v>
      </c>
      <c r="E169" s="2">
        <v>23</v>
      </c>
      <c r="F169" s="2">
        <v>54</v>
      </c>
      <c r="G169" s="2">
        <v>4.3</v>
      </c>
      <c r="H169" s="2">
        <v>57.2</v>
      </c>
      <c r="I169" s="2">
        <v>29.6</v>
      </c>
      <c r="J169" s="2">
        <v>31</v>
      </c>
      <c r="K169" s="2">
        <v>14</v>
      </c>
      <c r="L169" s="5" t="s">
        <v>13</v>
      </c>
      <c r="M169" s="5">
        <v>0</v>
      </c>
      <c r="N169" s="21"/>
    </row>
    <row r="170" spans="1:14" x14ac:dyDescent="0.3">
      <c r="A170" s="4" t="s">
        <v>26</v>
      </c>
      <c r="B170" s="4" t="s">
        <v>63</v>
      </c>
      <c r="C170" s="2">
        <v>327</v>
      </c>
      <c r="D170" s="2">
        <v>26</v>
      </c>
      <c r="E170" s="2">
        <v>22</v>
      </c>
      <c r="F170" s="2">
        <v>52</v>
      </c>
      <c r="G170" s="2">
        <v>4</v>
      </c>
      <c r="H170" s="2">
        <v>57.2</v>
      </c>
      <c r="I170" s="2">
        <v>31.4</v>
      </c>
      <c r="J170" s="2">
        <v>31</v>
      </c>
      <c r="K170" s="2">
        <v>14</v>
      </c>
      <c r="L170" s="5" t="s">
        <v>13</v>
      </c>
      <c r="M170" s="5">
        <v>0</v>
      </c>
      <c r="N170" s="21"/>
    </row>
    <row r="171" spans="1:14" x14ac:dyDescent="0.3">
      <c r="A171" s="4" t="s">
        <v>26</v>
      </c>
      <c r="B171" s="4" t="s">
        <v>63</v>
      </c>
      <c r="C171" s="2">
        <v>81</v>
      </c>
      <c r="D171" s="2">
        <v>4</v>
      </c>
      <c r="E171" s="2">
        <v>5</v>
      </c>
      <c r="F171" s="2">
        <v>12</v>
      </c>
      <c r="G171" s="2">
        <v>6.2</v>
      </c>
      <c r="H171" s="2">
        <v>14.7</v>
      </c>
      <c r="I171" s="2">
        <v>34.700000000000003</v>
      </c>
      <c r="J171" s="2">
        <v>31</v>
      </c>
      <c r="K171" s="2">
        <v>48</v>
      </c>
      <c r="L171" s="5" t="s">
        <v>13</v>
      </c>
      <c r="M171" s="5">
        <v>0</v>
      </c>
      <c r="N171" s="21"/>
    </row>
    <row r="172" spans="1:14" x14ac:dyDescent="0.3">
      <c r="A172" s="4" t="s">
        <v>26</v>
      </c>
      <c r="B172" s="4" t="s">
        <v>63</v>
      </c>
      <c r="C172" s="2">
        <v>124</v>
      </c>
      <c r="D172" s="2">
        <v>6</v>
      </c>
      <c r="E172" s="2">
        <v>8</v>
      </c>
      <c r="F172" s="2">
        <v>20</v>
      </c>
      <c r="G172" s="2">
        <v>6.3</v>
      </c>
      <c r="H172" s="2">
        <v>20.2</v>
      </c>
      <c r="I172" s="2">
        <v>30.8</v>
      </c>
      <c r="J172" s="2">
        <v>31</v>
      </c>
      <c r="K172" s="2">
        <v>48</v>
      </c>
      <c r="L172" s="5" t="s">
        <v>13</v>
      </c>
      <c r="M172" s="5">
        <v>0</v>
      </c>
      <c r="N172" s="21"/>
    </row>
    <row r="173" spans="1:14" x14ac:dyDescent="0.3">
      <c r="A173" s="4" t="s">
        <v>26</v>
      </c>
      <c r="B173" s="4" t="s">
        <v>63</v>
      </c>
      <c r="C173" s="2">
        <v>89</v>
      </c>
      <c r="D173" s="2">
        <v>4</v>
      </c>
      <c r="E173" s="2">
        <v>6</v>
      </c>
      <c r="F173" s="2">
        <v>14</v>
      </c>
      <c r="G173" s="2">
        <v>6.7</v>
      </c>
      <c r="H173" s="2">
        <v>13.9</v>
      </c>
      <c r="I173" s="2">
        <v>31.3</v>
      </c>
      <c r="J173" s="2">
        <v>31</v>
      </c>
      <c r="K173" s="2">
        <v>48</v>
      </c>
      <c r="L173" s="5" t="s">
        <v>13</v>
      </c>
      <c r="M173" s="5">
        <v>0</v>
      </c>
      <c r="N173" s="21"/>
    </row>
    <row r="174" spans="1:14" x14ac:dyDescent="0.3">
      <c r="A174" s="4" t="s">
        <v>26</v>
      </c>
      <c r="B174" s="4" t="s">
        <v>63</v>
      </c>
      <c r="C174" s="2">
        <v>92</v>
      </c>
      <c r="D174" s="2">
        <v>4</v>
      </c>
      <c r="E174" s="2">
        <v>6</v>
      </c>
      <c r="F174" s="2">
        <v>14</v>
      </c>
      <c r="G174" s="2">
        <v>6.9</v>
      </c>
      <c r="H174" s="2">
        <v>14.7</v>
      </c>
      <c r="I174" s="2">
        <v>34.1</v>
      </c>
      <c r="J174" s="2">
        <v>31</v>
      </c>
      <c r="K174" s="2">
        <v>48</v>
      </c>
      <c r="L174" s="5" t="s">
        <v>13</v>
      </c>
      <c r="M174" s="5">
        <v>0</v>
      </c>
      <c r="N174" s="21"/>
    </row>
    <row r="175" spans="1:14" x14ac:dyDescent="0.3">
      <c r="A175" s="4" t="s">
        <v>27</v>
      </c>
      <c r="B175" s="4" t="s">
        <v>64</v>
      </c>
      <c r="C175" s="2">
        <v>23</v>
      </c>
      <c r="D175" s="2">
        <v>1</v>
      </c>
      <c r="E175" s="2">
        <v>1</v>
      </c>
      <c r="F175" s="2">
        <v>4</v>
      </c>
      <c r="G175" s="2">
        <v>5.5</v>
      </c>
      <c r="H175" s="2">
        <v>48.2</v>
      </c>
      <c r="I175" s="2">
        <v>21</v>
      </c>
      <c r="J175" s="2">
        <v>24</v>
      </c>
      <c r="K175" s="2">
        <v>1083</v>
      </c>
      <c r="L175" s="5" t="s">
        <v>12</v>
      </c>
      <c r="M175" s="5"/>
      <c r="N175" s="21"/>
    </row>
    <row r="176" spans="1:14" x14ac:dyDescent="0.3">
      <c r="A176" s="4" t="s">
        <v>27</v>
      </c>
      <c r="B176" s="4" t="s">
        <v>64</v>
      </c>
      <c r="C176" s="2">
        <v>31</v>
      </c>
      <c r="D176" s="2">
        <v>1</v>
      </c>
      <c r="E176" s="2">
        <v>2</v>
      </c>
      <c r="F176" s="2">
        <v>5</v>
      </c>
      <c r="G176" s="2">
        <v>6.3</v>
      </c>
      <c r="H176" s="2">
        <v>39.200000000000003</v>
      </c>
      <c r="I176" s="2">
        <v>20.7</v>
      </c>
      <c r="J176" s="2">
        <v>24</v>
      </c>
      <c r="K176" s="2">
        <v>1083</v>
      </c>
      <c r="L176" s="5" t="s">
        <v>12</v>
      </c>
      <c r="M176" s="5"/>
      <c r="N176" s="21"/>
    </row>
    <row r="177" spans="1:14" x14ac:dyDescent="0.3">
      <c r="A177" s="4" t="s">
        <v>27</v>
      </c>
      <c r="B177" s="4" t="s">
        <v>64</v>
      </c>
      <c r="C177" s="2">
        <v>25</v>
      </c>
      <c r="D177" s="2">
        <v>1</v>
      </c>
      <c r="E177" s="2">
        <v>1</v>
      </c>
      <c r="F177" s="2">
        <v>3</v>
      </c>
      <c r="G177" s="2">
        <v>6.3</v>
      </c>
      <c r="H177" s="2">
        <v>66.3</v>
      </c>
      <c r="I177" s="2">
        <v>20.5</v>
      </c>
      <c r="J177" s="2">
        <v>24</v>
      </c>
      <c r="K177" s="2">
        <v>1210</v>
      </c>
      <c r="L177" s="5" t="s">
        <v>12</v>
      </c>
      <c r="M177" s="5"/>
      <c r="N177" s="21"/>
    </row>
    <row r="178" spans="1:14" x14ac:dyDescent="0.3">
      <c r="A178" s="4" t="s">
        <v>27</v>
      </c>
      <c r="B178" s="4" t="s">
        <v>64</v>
      </c>
      <c r="C178" s="2">
        <v>31</v>
      </c>
      <c r="D178" s="2">
        <v>1</v>
      </c>
      <c r="E178" s="2">
        <v>2</v>
      </c>
      <c r="F178" s="2">
        <v>4</v>
      </c>
      <c r="G178" s="2">
        <v>6.2</v>
      </c>
      <c r="H178" s="2">
        <v>24.6</v>
      </c>
      <c r="I178" s="2">
        <v>23.3</v>
      </c>
      <c r="J178" s="2">
        <v>24</v>
      </c>
      <c r="K178" s="2">
        <v>1210</v>
      </c>
      <c r="L178" s="5" t="s">
        <v>12</v>
      </c>
      <c r="M178" s="5"/>
      <c r="N178" s="21"/>
    </row>
    <row r="179" spans="1:14" x14ac:dyDescent="0.3">
      <c r="A179" s="4" t="s">
        <v>27</v>
      </c>
      <c r="B179" s="4" t="s">
        <v>64</v>
      </c>
      <c r="C179" s="2">
        <v>581</v>
      </c>
      <c r="D179" s="2">
        <v>29</v>
      </c>
      <c r="E179" s="2">
        <v>41</v>
      </c>
      <c r="F179" s="2">
        <v>93</v>
      </c>
      <c r="G179" s="2">
        <v>4.5</v>
      </c>
      <c r="H179" s="2">
        <v>88.4</v>
      </c>
      <c r="I179" s="2">
        <v>27.3</v>
      </c>
      <c r="J179" s="2">
        <v>24</v>
      </c>
      <c r="K179" s="2">
        <v>711</v>
      </c>
      <c r="L179" s="5" t="s">
        <v>12</v>
      </c>
      <c r="M179" s="5"/>
      <c r="N179" s="21"/>
    </row>
    <row r="180" spans="1:14" x14ac:dyDescent="0.3">
      <c r="A180" s="4" t="s">
        <v>27</v>
      </c>
      <c r="B180" s="4" t="s">
        <v>64</v>
      </c>
      <c r="C180" s="2">
        <v>256</v>
      </c>
      <c r="D180" s="2">
        <v>19</v>
      </c>
      <c r="E180" s="2">
        <v>26</v>
      </c>
      <c r="F180" s="2">
        <v>61</v>
      </c>
      <c r="G180" s="2">
        <v>4.4000000000000004</v>
      </c>
      <c r="H180" s="2">
        <v>72.5</v>
      </c>
      <c r="I180" s="2">
        <v>29.3</v>
      </c>
      <c r="J180" s="2">
        <v>24</v>
      </c>
      <c r="K180" s="2">
        <v>711</v>
      </c>
      <c r="L180" s="5" t="s">
        <v>12</v>
      </c>
      <c r="M180" s="5"/>
      <c r="N180" s="21"/>
    </row>
    <row r="181" spans="1:14" x14ac:dyDescent="0.3">
      <c r="A181" s="5"/>
      <c r="M181" s="5"/>
    </row>
    <row r="182" spans="1:14" x14ac:dyDescent="0.3">
      <c r="A182" s="5"/>
      <c r="M182" s="5"/>
    </row>
    <row r="183" spans="1:14" x14ac:dyDescent="0.3">
      <c r="A183" s="5"/>
      <c r="M183" s="5"/>
    </row>
    <row r="184" spans="1:14" x14ac:dyDescent="0.3">
      <c r="A184" s="5"/>
      <c r="M184" s="5"/>
    </row>
    <row r="185" spans="1:14" x14ac:dyDescent="0.3">
      <c r="A185" s="5"/>
      <c r="M185" s="5"/>
    </row>
    <row r="186" spans="1:14" x14ac:dyDescent="0.3">
      <c r="A186" s="5"/>
      <c r="B186" s="5"/>
      <c r="M186" s="5"/>
      <c r="N186" s="20"/>
    </row>
    <row r="187" spans="1:14" x14ac:dyDescent="0.3">
      <c r="A187" s="5"/>
      <c r="B187" s="5"/>
      <c r="M187" s="5"/>
      <c r="N187" s="20"/>
    </row>
    <row r="188" spans="1:14" x14ac:dyDescent="0.3">
      <c r="A188" s="5"/>
      <c r="B188" s="5"/>
      <c r="M188" s="5"/>
      <c r="N188" s="20"/>
    </row>
    <row r="189" spans="1:14" x14ac:dyDescent="0.3">
      <c r="A189" s="5"/>
      <c r="B189" s="5"/>
      <c r="M189" s="5"/>
      <c r="N189" s="20"/>
    </row>
    <row r="190" spans="1:14" x14ac:dyDescent="0.3">
      <c r="A190" s="5"/>
      <c r="B190" s="5"/>
      <c r="M190" s="5"/>
      <c r="N190" s="20"/>
    </row>
    <row r="191" spans="1:14" x14ac:dyDescent="0.3">
      <c r="A191" s="5"/>
      <c r="B191" s="5"/>
      <c r="M191" s="5"/>
      <c r="N191" s="20"/>
    </row>
    <row r="192" spans="1:14" x14ac:dyDescent="0.3">
      <c r="A192" s="5"/>
      <c r="B192" s="5"/>
      <c r="M192" s="5"/>
      <c r="N192" s="20"/>
    </row>
    <row r="193" spans="1:14" x14ac:dyDescent="0.3">
      <c r="A193" s="5"/>
      <c r="B193" s="5"/>
      <c r="M193" s="5"/>
      <c r="N193" s="20"/>
    </row>
    <row r="194" spans="1:14" x14ac:dyDescent="0.3">
      <c r="A194" s="5"/>
      <c r="B194" s="5"/>
      <c r="M194" s="5"/>
      <c r="N194" s="20"/>
    </row>
    <row r="195" spans="1:14" x14ac:dyDescent="0.3">
      <c r="A195" s="5"/>
      <c r="B195" s="5"/>
      <c r="M195" s="5"/>
      <c r="N195" s="20"/>
    </row>
    <row r="196" spans="1:14" x14ac:dyDescent="0.3">
      <c r="A196" s="5"/>
      <c r="B196" s="5"/>
      <c r="M196" s="5"/>
      <c r="N196" s="20"/>
    </row>
    <row r="197" spans="1:14" x14ac:dyDescent="0.3">
      <c r="A197" s="5"/>
      <c r="B197" s="5"/>
      <c r="M197" s="5"/>
      <c r="N197" s="20"/>
    </row>
    <row r="198" spans="1:14" x14ac:dyDescent="0.3">
      <c r="A198" s="5"/>
      <c r="B198" s="5"/>
      <c r="M198" s="5"/>
      <c r="N198" s="20"/>
    </row>
    <row r="199" spans="1:14" x14ac:dyDescent="0.3">
      <c r="A199" s="5"/>
      <c r="B199" s="5"/>
      <c r="M199" s="5"/>
      <c r="N199" s="20"/>
    </row>
    <row r="200" spans="1:14" x14ac:dyDescent="0.3">
      <c r="A200" s="5"/>
      <c r="B200" s="5"/>
      <c r="M200" s="5"/>
      <c r="N200" s="20"/>
    </row>
    <row r="201" spans="1:14" x14ac:dyDescent="0.3">
      <c r="A201" s="5"/>
      <c r="B201" s="5"/>
      <c r="M201" s="5"/>
      <c r="N201" s="20"/>
    </row>
    <row r="202" spans="1:14" x14ac:dyDescent="0.3">
      <c r="A202" s="5"/>
      <c r="B202" s="5"/>
      <c r="M202" s="5"/>
      <c r="N202" s="20"/>
    </row>
    <row r="203" spans="1:14" x14ac:dyDescent="0.3">
      <c r="A203" s="5"/>
      <c r="B203" s="5"/>
      <c r="M203" s="5"/>
      <c r="N203" s="20"/>
    </row>
    <row r="204" spans="1:14" x14ac:dyDescent="0.3">
      <c r="A204" s="5"/>
      <c r="B204" s="5"/>
      <c r="M204" s="5"/>
      <c r="N204" s="20"/>
    </row>
    <row r="205" spans="1:14" x14ac:dyDescent="0.3">
      <c r="A205" s="5"/>
      <c r="B205" s="5"/>
      <c r="M205" s="5"/>
      <c r="N205" s="20"/>
    </row>
    <row r="206" spans="1:14" x14ac:dyDescent="0.3">
      <c r="A206" s="5"/>
      <c r="B206" s="5"/>
      <c r="M206" s="5"/>
      <c r="N206" s="20"/>
    </row>
    <row r="207" spans="1:14" x14ac:dyDescent="0.3">
      <c r="A207" s="5"/>
      <c r="B207" s="5"/>
      <c r="M207" s="5"/>
      <c r="N207" s="20"/>
    </row>
    <row r="208" spans="1:14" x14ac:dyDescent="0.3">
      <c r="A208" s="5"/>
      <c r="B208" s="5"/>
      <c r="M208" s="5"/>
      <c r="N208" s="20"/>
    </row>
    <row r="209" spans="1:14" x14ac:dyDescent="0.3">
      <c r="A209" s="5"/>
      <c r="B209" s="5"/>
      <c r="M209" s="5"/>
      <c r="N209" s="20"/>
    </row>
    <row r="210" spans="1:14" x14ac:dyDescent="0.3">
      <c r="A210" s="5"/>
      <c r="B210" s="5"/>
      <c r="M210" s="5"/>
      <c r="N210" s="20"/>
    </row>
    <row r="211" spans="1:14" x14ac:dyDescent="0.3">
      <c r="A211" s="5"/>
      <c r="B211" s="5"/>
      <c r="M211" s="5"/>
      <c r="N211" s="20"/>
    </row>
    <row r="212" spans="1:14" x14ac:dyDescent="0.3">
      <c r="A212" s="5"/>
      <c r="B212" s="5"/>
      <c r="M212" s="5"/>
      <c r="N212" s="20"/>
    </row>
    <row r="213" spans="1:14" x14ac:dyDescent="0.3">
      <c r="A213" s="5"/>
      <c r="B213" s="5"/>
      <c r="M213" s="5"/>
      <c r="N213" s="20"/>
    </row>
    <row r="214" spans="1:14" x14ac:dyDescent="0.3">
      <c r="A214" s="5"/>
      <c r="B214" s="5"/>
      <c r="M214" s="5"/>
      <c r="N214" s="20"/>
    </row>
    <row r="215" spans="1:14" x14ac:dyDescent="0.3">
      <c r="A215" s="5"/>
      <c r="B215" s="5"/>
      <c r="M215" s="5"/>
      <c r="N215" s="20"/>
    </row>
    <row r="216" spans="1:14" x14ac:dyDescent="0.3">
      <c r="A216" s="5"/>
      <c r="B216" s="5"/>
      <c r="M216" s="5"/>
      <c r="N216" s="20"/>
    </row>
    <row r="217" spans="1:14" x14ac:dyDescent="0.3">
      <c r="A217" s="5"/>
      <c r="B217" s="5"/>
      <c r="M217" s="5"/>
      <c r="N217" s="20"/>
    </row>
    <row r="218" spans="1:14" x14ac:dyDescent="0.3">
      <c r="A218" s="5"/>
      <c r="B218" s="5"/>
      <c r="M218" s="5"/>
      <c r="N218" s="20"/>
    </row>
    <row r="219" spans="1:14" x14ac:dyDescent="0.3">
      <c r="A219" s="5"/>
      <c r="B219" s="5"/>
      <c r="M219" s="5"/>
      <c r="N219" s="20"/>
    </row>
    <row r="220" spans="1:14" x14ac:dyDescent="0.3">
      <c r="A220" s="5"/>
      <c r="B220" s="5"/>
      <c r="M220" s="5"/>
      <c r="N220" s="20"/>
    </row>
    <row r="221" spans="1:14" x14ac:dyDescent="0.3">
      <c r="A221" s="5"/>
      <c r="B221" s="5"/>
      <c r="M221" s="5"/>
      <c r="N221" s="20"/>
    </row>
    <row r="222" spans="1:14" x14ac:dyDescent="0.3">
      <c r="A222" s="5"/>
      <c r="B222" s="5"/>
      <c r="M222" s="5"/>
      <c r="N222" s="20"/>
    </row>
    <row r="223" spans="1:14" x14ac:dyDescent="0.3">
      <c r="A223" s="5"/>
      <c r="B223" s="5"/>
      <c r="M223" s="5"/>
      <c r="N223" s="20"/>
    </row>
    <row r="224" spans="1:14" x14ac:dyDescent="0.3">
      <c r="A224" s="5"/>
      <c r="B224" s="5"/>
      <c r="M224" s="5"/>
      <c r="N224" s="20"/>
    </row>
    <row r="225" spans="1:14" x14ac:dyDescent="0.3">
      <c r="A225" s="5"/>
      <c r="B225" s="5"/>
      <c r="M225" s="5"/>
      <c r="N225" s="20"/>
    </row>
    <row r="226" spans="1:14" x14ac:dyDescent="0.3">
      <c r="A226" s="5"/>
      <c r="B226" s="5"/>
      <c r="M226" s="5"/>
      <c r="N226" s="20"/>
    </row>
    <row r="227" spans="1:14" x14ac:dyDescent="0.3">
      <c r="A227" s="5"/>
      <c r="B227" s="5"/>
      <c r="M227" s="5"/>
      <c r="N227" s="20"/>
    </row>
    <row r="228" spans="1:14" x14ac:dyDescent="0.3">
      <c r="A228" s="5"/>
      <c r="B228" s="5"/>
      <c r="M228" s="5"/>
      <c r="N228" s="20"/>
    </row>
    <row r="229" spans="1:14" x14ac:dyDescent="0.3">
      <c r="A229" s="5"/>
      <c r="B229" s="5"/>
      <c r="M229" s="5"/>
      <c r="N229" s="20"/>
    </row>
    <row r="230" spans="1:14" x14ac:dyDescent="0.3">
      <c r="A230" s="5"/>
      <c r="B230" s="5"/>
      <c r="M230" s="5"/>
      <c r="N230" s="20"/>
    </row>
    <row r="231" spans="1:14" x14ac:dyDescent="0.3">
      <c r="A231" s="5"/>
      <c r="B231" s="5"/>
      <c r="M231" s="5"/>
      <c r="N231" s="20"/>
    </row>
    <row r="232" spans="1:14" x14ac:dyDescent="0.3">
      <c r="A232" s="5"/>
      <c r="B232" s="5"/>
      <c r="M232" s="5"/>
      <c r="N232" s="20"/>
    </row>
    <row r="233" spans="1:14" x14ac:dyDescent="0.3">
      <c r="A233" s="5"/>
      <c r="B233" s="5"/>
      <c r="M233" s="5"/>
      <c r="N233" s="20"/>
    </row>
    <row r="234" spans="1:14" x14ac:dyDescent="0.3">
      <c r="A234" s="5"/>
      <c r="B234" s="5"/>
      <c r="M234" s="5"/>
      <c r="N234" s="20"/>
    </row>
    <row r="235" spans="1:14" x14ac:dyDescent="0.3">
      <c r="A235" s="5"/>
      <c r="B235" s="5"/>
      <c r="M235" s="5"/>
      <c r="N235" s="20"/>
    </row>
    <row r="236" spans="1:14" x14ac:dyDescent="0.3">
      <c r="A236" s="5"/>
      <c r="B236" s="5"/>
      <c r="M236" s="5"/>
      <c r="N236" s="20"/>
    </row>
    <row r="237" spans="1:14" x14ac:dyDescent="0.3">
      <c r="A237" s="5"/>
      <c r="B237" s="5"/>
      <c r="M237" s="5"/>
      <c r="N237" s="20"/>
    </row>
    <row r="238" spans="1:14" x14ac:dyDescent="0.3">
      <c r="A238" s="5"/>
      <c r="B238" s="5"/>
      <c r="M238" s="5"/>
      <c r="N238" s="20"/>
    </row>
    <row r="239" spans="1:14" x14ac:dyDescent="0.3">
      <c r="A239" s="5"/>
      <c r="B239" s="5"/>
      <c r="M239" s="5"/>
      <c r="N239" s="20"/>
    </row>
    <row r="240" spans="1:14" x14ac:dyDescent="0.3">
      <c r="A240" s="5"/>
      <c r="B240" s="5"/>
      <c r="M240" s="5"/>
      <c r="N240" s="20"/>
    </row>
    <row r="241" spans="1:14" x14ac:dyDescent="0.3">
      <c r="A241" s="5"/>
      <c r="B241" s="5"/>
      <c r="M241" s="5"/>
      <c r="N241" s="20"/>
    </row>
    <row r="242" spans="1:14" x14ac:dyDescent="0.3">
      <c r="A242" s="5"/>
      <c r="B242" s="5"/>
      <c r="M242" s="5"/>
      <c r="N242" s="20"/>
    </row>
    <row r="243" spans="1:14" x14ac:dyDescent="0.3">
      <c r="A243" s="5"/>
      <c r="B243" s="5"/>
      <c r="M243" s="5"/>
      <c r="N243" s="20"/>
    </row>
    <row r="244" spans="1:14" x14ac:dyDescent="0.3">
      <c r="A244" s="5"/>
      <c r="B244" s="5"/>
      <c r="M244" s="5"/>
      <c r="N244" s="20"/>
    </row>
    <row r="245" spans="1:14" x14ac:dyDescent="0.3">
      <c r="A245" s="5"/>
      <c r="B245" s="5"/>
      <c r="M245" s="5"/>
      <c r="N245" s="20"/>
    </row>
    <row r="246" spans="1:14" x14ac:dyDescent="0.3">
      <c r="A246" s="5"/>
      <c r="B246" s="5"/>
      <c r="M246" s="5"/>
      <c r="N246" s="20"/>
    </row>
    <row r="247" spans="1:14" x14ac:dyDescent="0.3">
      <c r="A247" s="5"/>
      <c r="B247" s="5"/>
      <c r="M247" s="5"/>
      <c r="N247" s="20"/>
    </row>
    <row r="248" spans="1:14" x14ac:dyDescent="0.3">
      <c r="A248" s="5"/>
      <c r="B248" s="5"/>
      <c r="M248" s="5"/>
      <c r="N248" s="20"/>
    </row>
    <row r="249" spans="1:14" x14ac:dyDescent="0.3">
      <c r="A249" s="5"/>
      <c r="B249" s="5"/>
      <c r="M249" s="5"/>
      <c r="N249" s="20"/>
    </row>
    <row r="250" spans="1:14" x14ac:dyDescent="0.3">
      <c r="A250" s="5"/>
      <c r="B250" s="5"/>
      <c r="M250" s="5"/>
      <c r="N250" s="20"/>
    </row>
    <row r="251" spans="1:14" x14ac:dyDescent="0.3">
      <c r="A251" s="5"/>
      <c r="B251" s="5"/>
      <c r="M251" s="5"/>
      <c r="N251" s="20"/>
    </row>
    <row r="252" spans="1:14" x14ac:dyDescent="0.3">
      <c r="A252" s="5"/>
      <c r="B252" s="5"/>
      <c r="M252" s="5"/>
      <c r="N252" s="20"/>
    </row>
    <row r="253" spans="1:14" x14ac:dyDescent="0.3">
      <c r="A253" s="5"/>
      <c r="B253" s="5"/>
      <c r="M253" s="5"/>
      <c r="N253" s="20"/>
    </row>
    <row r="254" spans="1:14" x14ac:dyDescent="0.3">
      <c r="A254" s="5"/>
      <c r="B254" s="5"/>
      <c r="M254" s="5"/>
      <c r="N254" s="20"/>
    </row>
    <row r="255" spans="1:14" x14ac:dyDescent="0.3">
      <c r="A255" s="5"/>
      <c r="B255" s="5"/>
      <c r="M255" s="5"/>
      <c r="N255" s="20"/>
    </row>
    <row r="256" spans="1:14" x14ac:dyDescent="0.3">
      <c r="A256" s="5"/>
      <c r="B256" s="5"/>
      <c r="M256" s="5"/>
      <c r="N256" s="20"/>
    </row>
    <row r="257" spans="1:14" x14ac:dyDescent="0.3">
      <c r="A257" s="5"/>
      <c r="B257" s="5"/>
      <c r="M257" s="5"/>
      <c r="N257" s="20"/>
    </row>
    <row r="258" spans="1:14" x14ac:dyDescent="0.3">
      <c r="A258" s="5"/>
      <c r="B258" s="5"/>
      <c r="M258" s="5"/>
      <c r="N258" s="20"/>
    </row>
    <row r="259" spans="1:14" x14ac:dyDescent="0.3">
      <c r="A259" s="5"/>
      <c r="B259" s="5"/>
      <c r="M259" s="5"/>
      <c r="N259" s="20"/>
    </row>
    <row r="260" spans="1:14" x14ac:dyDescent="0.3">
      <c r="A260" s="5"/>
      <c r="B260" s="5"/>
      <c r="M260" s="5"/>
      <c r="N260" s="20"/>
    </row>
    <row r="261" spans="1:14" x14ac:dyDescent="0.3">
      <c r="A261" s="5"/>
      <c r="B261" s="5"/>
      <c r="M261" s="5"/>
      <c r="N261" s="20"/>
    </row>
    <row r="262" spans="1:14" x14ac:dyDescent="0.3">
      <c r="A262" s="5"/>
      <c r="B262" s="5"/>
      <c r="M262" s="5"/>
      <c r="N262" s="20"/>
    </row>
    <row r="263" spans="1:14" x14ac:dyDescent="0.3">
      <c r="A263" s="5"/>
      <c r="B263" s="5"/>
      <c r="M263" s="5"/>
      <c r="N263" s="20"/>
    </row>
    <row r="264" spans="1:14" x14ac:dyDescent="0.3">
      <c r="A264" s="5"/>
      <c r="B264" s="5"/>
      <c r="M264" s="5"/>
      <c r="N264" s="20"/>
    </row>
    <row r="265" spans="1:14" x14ac:dyDescent="0.3">
      <c r="A265" s="5"/>
      <c r="B265" s="5"/>
      <c r="M265" s="5"/>
      <c r="N265" s="20"/>
    </row>
    <row r="266" spans="1:14" x14ac:dyDescent="0.3">
      <c r="A266" s="5"/>
      <c r="B266" s="5"/>
      <c r="M266" s="5"/>
      <c r="N266" s="20"/>
    </row>
    <row r="267" spans="1:14" x14ac:dyDescent="0.3">
      <c r="A267" s="5"/>
      <c r="B267" s="5"/>
      <c r="M267" s="5"/>
      <c r="N267" s="20"/>
    </row>
    <row r="268" spans="1:14" x14ac:dyDescent="0.3">
      <c r="A268" s="5"/>
      <c r="B268" s="5"/>
      <c r="M268" s="5"/>
      <c r="N268" s="20"/>
    </row>
    <row r="269" spans="1:14" x14ac:dyDescent="0.3">
      <c r="A269" s="5"/>
      <c r="B269" s="5"/>
      <c r="M269" s="5"/>
      <c r="N269" s="20"/>
    </row>
    <row r="270" spans="1:14" x14ac:dyDescent="0.3">
      <c r="A270" s="5"/>
      <c r="B270" s="5"/>
      <c r="M270" s="5"/>
      <c r="N270" s="20"/>
    </row>
    <row r="271" spans="1:14" x14ac:dyDescent="0.3">
      <c r="A271" s="5"/>
      <c r="B271" s="5"/>
      <c r="M271" s="5"/>
      <c r="N271" s="20"/>
    </row>
    <row r="272" spans="1:14" x14ac:dyDescent="0.3">
      <c r="A272" s="5"/>
      <c r="B272" s="5"/>
      <c r="M272" s="5"/>
      <c r="N272" s="20"/>
    </row>
    <row r="273" spans="1:14" x14ac:dyDescent="0.3">
      <c r="A273" s="5"/>
      <c r="B273" s="5"/>
      <c r="M273" s="5"/>
      <c r="N273" s="20"/>
    </row>
    <row r="274" spans="1:14" x14ac:dyDescent="0.3">
      <c r="A274" s="5"/>
      <c r="B274" s="5"/>
      <c r="M274" s="5"/>
      <c r="N274" s="20"/>
    </row>
    <row r="275" spans="1:14" x14ac:dyDescent="0.3">
      <c r="A275" s="5"/>
      <c r="B275" s="5"/>
      <c r="M275" s="5"/>
      <c r="N275" s="20"/>
    </row>
    <row r="276" spans="1:14" x14ac:dyDescent="0.3">
      <c r="A276" s="5"/>
      <c r="B276" s="5"/>
      <c r="M276" s="5"/>
      <c r="N276" s="20"/>
    </row>
    <row r="277" spans="1:14" x14ac:dyDescent="0.3">
      <c r="A277" s="5"/>
      <c r="B277" s="5"/>
      <c r="M277" s="5"/>
      <c r="N277" s="20"/>
    </row>
    <row r="278" spans="1:14" x14ac:dyDescent="0.3">
      <c r="A278" s="5"/>
      <c r="B278" s="5"/>
      <c r="M278" s="5"/>
      <c r="N278" s="20"/>
    </row>
    <row r="279" spans="1:14" x14ac:dyDescent="0.3">
      <c r="A279" s="5"/>
      <c r="B279" s="5"/>
      <c r="M279" s="5"/>
      <c r="N279" s="20"/>
    </row>
    <row r="280" spans="1:14" x14ac:dyDescent="0.3">
      <c r="A280" s="5"/>
      <c r="B280" s="5"/>
      <c r="M280" s="5"/>
      <c r="N280" s="20"/>
    </row>
    <row r="281" spans="1:14" x14ac:dyDescent="0.3">
      <c r="A281" s="5"/>
      <c r="B281" s="5"/>
      <c r="M281" s="5"/>
      <c r="N281" s="20"/>
    </row>
    <row r="282" spans="1:14" x14ac:dyDescent="0.3">
      <c r="A282" s="5"/>
      <c r="B282" s="5"/>
      <c r="M282" s="5"/>
      <c r="N282" s="20"/>
    </row>
    <row r="283" spans="1:14" x14ac:dyDescent="0.3">
      <c r="A283" s="5"/>
      <c r="B283" s="5"/>
      <c r="M283" s="5"/>
      <c r="N283" s="20"/>
    </row>
    <row r="284" spans="1:14" x14ac:dyDescent="0.3">
      <c r="A284" s="5"/>
      <c r="B284" s="5"/>
      <c r="M284" s="5"/>
      <c r="N284" s="20"/>
    </row>
    <row r="285" spans="1:14" x14ac:dyDescent="0.3">
      <c r="A285" s="5"/>
      <c r="B285" s="5"/>
      <c r="M285" s="5"/>
      <c r="N285" s="20"/>
    </row>
    <row r="286" spans="1:14" x14ac:dyDescent="0.3">
      <c r="A286" s="5"/>
      <c r="B286" s="5"/>
      <c r="M286" s="5"/>
      <c r="N286" s="20"/>
    </row>
    <row r="287" spans="1:14" x14ac:dyDescent="0.3">
      <c r="A287" s="5"/>
      <c r="B287" s="5"/>
      <c r="M287" s="5"/>
      <c r="N287" s="20"/>
    </row>
    <row r="288" spans="1:14" x14ac:dyDescent="0.3">
      <c r="A288" s="5"/>
      <c r="B288" s="5"/>
      <c r="M288" s="5"/>
      <c r="N288" s="20"/>
    </row>
    <row r="289" spans="1:14" x14ac:dyDescent="0.3">
      <c r="A289" s="4" t="s">
        <v>28</v>
      </c>
      <c r="B289" s="9"/>
      <c r="M289" s="5"/>
      <c r="N289" s="20"/>
    </row>
    <row r="290" spans="1:14" x14ac:dyDescent="0.3">
      <c r="A290" s="9"/>
      <c r="B290" s="9"/>
      <c r="M290" s="5"/>
      <c r="N290" s="20"/>
    </row>
    <row r="291" spans="1:14" x14ac:dyDescent="0.3">
      <c r="A291" s="9"/>
      <c r="B291" s="9"/>
      <c r="M291" s="5"/>
      <c r="N291" s="20"/>
    </row>
    <row r="292" spans="1:14" x14ac:dyDescent="0.3">
      <c r="A292" s="9"/>
      <c r="B292" s="9"/>
      <c r="M292" s="5"/>
      <c r="N292" s="20"/>
    </row>
    <row r="293" spans="1:14" x14ac:dyDescent="0.3">
      <c r="A293" s="9"/>
      <c r="B293" s="9"/>
      <c r="M293" s="5"/>
      <c r="N293" s="20"/>
    </row>
    <row r="294" spans="1:14" x14ac:dyDescent="0.3">
      <c r="A294" s="5"/>
      <c r="B294" s="5"/>
      <c r="M294" s="5"/>
      <c r="N294" s="2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8624-AA45-45D3-BFBB-0CCE38518BEF}">
  <dimension ref="A1:N96"/>
  <sheetViews>
    <sheetView workbookViewId="0">
      <selection activeCell="O1" sqref="O1"/>
    </sheetView>
  </sheetViews>
  <sheetFormatPr defaultRowHeight="14.4" x14ac:dyDescent="0.3"/>
  <cols>
    <col min="14" max="14" width="36.6640625" customWidth="1"/>
  </cols>
  <sheetData>
    <row r="1" spans="1:14" x14ac:dyDescent="0.3">
      <c r="A1" s="1" t="s">
        <v>14</v>
      </c>
      <c r="B1" s="1" t="s">
        <v>29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6" t="s">
        <v>87</v>
      </c>
    </row>
    <row r="2" spans="1:14" x14ac:dyDescent="0.3">
      <c r="A2" s="3" t="s">
        <v>15</v>
      </c>
      <c r="B2" s="4" t="s">
        <v>30</v>
      </c>
      <c r="C2" s="2">
        <v>101</v>
      </c>
      <c r="D2" s="2">
        <v>5</v>
      </c>
      <c r="E2" s="2">
        <v>7</v>
      </c>
      <c r="F2" s="2">
        <v>16</v>
      </c>
      <c r="G2" s="2">
        <v>6.2</v>
      </c>
      <c r="H2" s="2">
        <v>26.9</v>
      </c>
      <c r="I2" s="2">
        <v>20.8</v>
      </c>
      <c r="J2" s="2">
        <v>28.1</v>
      </c>
      <c r="K2" s="2">
        <v>2002</v>
      </c>
      <c r="L2" s="5" t="s">
        <v>11</v>
      </c>
      <c r="M2" s="5">
        <v>30</v>
      </c>
      <c r="N2" s="17" t="s">
        <v>88</v>
      </c>
    </row>
    <row r="3" spans="1:14" x14ac:dyDescent="0.3">
      <c r="A3" s="3" t="s">
        <v>15</v>
      </c>
      <c r="B3" s="4" t="s">
        <v>30</v>
      </c>
      <c r="C3" s="2">
        <v>41</v>
      </c>
      <c r="D3" s="2">
        <v>2</v>
      </c>
      <c r="E3" s="2">
        <v>2</v>
      </c>
      <c r="F3" s="2">
        <v>6</v>
      </c>
      <c r="G3" s="2">
        <v>6.3</v>
      </c>
      <c r="H3" s="2">
        <v>26.4</v>
      </c>
      <c r="I3" s="2">
        <v>19.899999999999999</v>
      </c>
      <c r="J3" s="2">
        <v>28.1</v>
      </c>
      <c r="K3" s="2">
        <v>2002</v>
      </c>
      <c r="L3" s="5" t="s">
        <v>11</v>
      </c>
      <c r="M3" s="5">
        <v>30</v>
      </c>
      <c r="N3" s="18" t="s">
        <v>89</v>
      </c>
    </row>
    <row r="4" spans="1:14" x14ac:dyDescent="0.3">
      <c r="A4" s="3" t="s">
        <v>15</v>
      </c>
      <c r="B4" s="4" t="s">
        <v>31</v>
      </c>
      <c r="C4" s="2">
        <v>101</v>
      </c>
      <c r="D4" s="2">
        <v>5</v>
      </c>
      <c r="E4" s="2">
        <v>7</v>
      </c>
      <c r="F4" s="2">
        <v>16</v>
      </c>
      <c r="G4" s="2">
        <v>5.9</v>
      </c>
      <c r="H4" s="2">
        <v>53.7</v>
      </c>
      <c r="I4" s="2">
        <v>23.1</v>
      </c>
      <c r="J4" s="2">
        <v>27</v>
      </c>
      <c r="K4" s="2">
        <v>1823</v>
      </c>
      <c r="L4" s="5" t="s">
        <v>11</v>
      </c>
      <c r="M4" s="5">
        <v>25</v>
      </c>
      <c r="N4" s="17" t="s">
        <v>89</v>
      </c>
    </row>
    <row r="5" spans="1:14" x14ac:dyDescent="0.3">
      <c r="A5" s="3" t="s">
        <v>15</v>
      </c>
      <c r="B5" s="4" t="s">
        <v>31</v>
      </c>
      <c r="C5" s="2">
        <v>118</v>
      </c>
      <c r="D5" s="2">
        <v>5</v>
      </c>
      <c r="E5" s="2">
        <v>8</v>
      </c>
      <c r="F5" s="2">
        <v>18</v>
      </c>
      <c r="G5" s="2">
        <v>5.5</v>
      </c>
      <c r="H5" s="2">
        <v>44.9</v>
      </c>
      <c r="I5" s="2">
        <v>21.8</v>
      </c>
      <c r="J5" s="2">
        <v>27</v>
      </c>
      <c r="K5" s="2">
        <v>1823</v>
      </c>
      <c r="L5" s="5" t="s">
        <v>11</v>
      </c>
      <c r="M5" s="5">
        <v>25</v>
      </c>
      <c r="N5" s="17" t="s">
        <v>89</v>
      </c>
    </row>
    <row r="6" spans="1:14" x14ac:dyDescent="0.3">
      <c r="A6" s="3" t="s">
        <v>15</v>
      </c>
      <c r="B6" s="4" t="s">
        <v>32</v>
      </c>
      <c r="C6" s="2">
        <v>22</v>
      </c>
      <c r="D6" s="2">
        <v>1</v>
      </c>
      <c r="E6" s="2">
        <v>1</v>
      </c>
      <c r="F6" s="2">
        <v>3</v>
      </c>
      <c r="G6" s="2">
        <v>6.5</v>
      </c>
      <c r="H6" s="2">
        <v>37.799999999999997</v>
      </c>
      <c r="I6" s="2">
        <v>25.2</v>
      </c>
      <c r="J6" s="2">
        <v>20</v>
      </c>
      <c r="K6" s="2">
        <v>1612</v>
      </c>
      <c r="L6" s="5" t="s">
        <v>11</v>
      </c>
      <c r="M6" s="5">
        <v>25</v>
      </c>
      <c r="N6" s="17" t="s">
        <v>89</v>
      </c>
    </row>
    <row r="7" spans="1:14" x14ac:dyDescent="0.3">
      <c r="A7" s="3" t="s">
        <v>15</v>
      </c>
      <c r="B7" s="4" t="s">
        <v>32</v>
      </c>
      <c r="C7" s="2">
        <v>7</v>
      </c>
      <c r="D7" s="2">
        <v>0</v>
      </c>
      <c r="E7" s="2">
        <v>0</v>
      </c>
      <c r="F7" s="2">
        <v>1</v>
      </c>
      <c r="G7" s="2">
        <v>6.6</v>
      </c>
      <c r="H7" s="2">
        <v>27.2</v>
      </c>
      <c r="I7" s="2">
        <v>22.6</v>
      </c>
      <c r="J7" s="2">
        <v>20</v>
      </c>
      <c r="K7" s="2">
        <v>1612</v>
      </c>
      <c r="L7" s="5" t="s">
        <v>11</v>
      </c>
      <c r="M7" s="5">
        <v>25</v>
      </c>
      <c r="N7" s="19" t="s">
        <v>90</v>
      </c>
    </row>
    <row r="8" spans="1:14" x14ac:dyDescent="0.3">
      <c r="A8" s="3" t="s">
        <v>16</v>
      </c>
      <c r="B8" s="4" t="s">
        <v>35</v>
      </c>
      <c r="C8" s="2">
        <v>29</v>
      </c>
      <c r="D8" s="2">
        <v>1</v>
      </c>
      <c r="E8" s="2">
        <v>2</v>
      </c>
      <c r="F8" s="2">
        <v>4</v>
      </c>
      <c r="G8" s="2">
        <v>6.3</v>
      </c>
      <c r="H8" s="2">
        <v>22.9</v>
      </c>
      <c r="I8" s="2">
        <v>17.399999999999999</v>
      </c>
      <c r="J8" s="2">
        <v>26.7</v>
      </c>
      <c r="K8" s="2">
        <v>1635</v>
      </c>
      <c r="L8" s="5" t="s">
        <v>11</v>
      </c>
      <c r="M8" s="5">
        <v>20</v>
      </c>
      <c r="N8" s="22" t="s">
        <v>91</v>
      </c>
    </row>
    <row r="9" spans="1:14" x14ac:dyDescent="0.3">
      <c r="A9" s="3" t="s">
        <v>16</v>
      </c>
      <c r="B9" s="4" t="s">
        <v>35</v>
      </c>
      <c r="C9" s="2">
        <v>47</v>
      </c>
      <c r="D9" s="2">
        <v>2</v>
      </c>
      <c r="E9" s="2">
        <v>3</v>
      </c>
      <c r="F9" s="2">
        <v>7</v>
      </c>
      <c r="G9" s="2">
        <v>6.3</v>
      </c>
      <c r="H9" s="2">
        <v>30.4</v>
      </c>
      <c r="I9" s="2">
        <v>17.600000000000001</v>
      </c>
      <c r="J9" s="2">
        <v>26.7</v>
      </c>
      <c r="K9" s="2">
        <v>1635</v>
      </c>
      <c r="L9" s="5" t="s">
        <v>11</v>
      </c>
      <c r="M9" s="5">
        <v>20</v>
      </c>
      <c r="N9" s="22" t="s">
        <v>92</v>
      </c>
    </row>
    <row r="10" spans="1:14" x14ac:dyDescent="0.3">
      <c r="A10" s="3" t="s">
        <v>16</v>
      </c>
      <c r="B10" s="4" t="s">
        <v>35</v>
      </c>
      <c r="C10" s="2">
        <v>110</v>
      </c>
      <c r="D10" s="2">
        <v>5</v>
      </c>
      <c r="E10" s="2">
        <v>7</v>
      </c>
      <c r="F10" s="2">
        <v>17</v>
      </c>
      <c r="G10" s="2">
        <v>5.9</v>
      </c>
      <c r="H10" s="2">
        <v>43.3</v>
      </c>
      <c r="I10" s="2">
        <v>16.7</v>
      </c>
      <c r="J10" s="2">
        <v>28.5</v>
      </c>
      <c r="K10" s="2">
        <v>1647</v>
      </c>
      <c r="L10" s="5" t="s">
        <v>11</v>
      </c>
      <c r="M10" s="5">
        <v>20</v>
      </c>
      <c r="N10" s="22" t="s">
        <v>93</v>
      </c>
    </row>
    <row r="11" spans="1:14" x14ac:dyDescent="0.3">
      <c r="A11" s="3" t="s">
        <v>16</v>
      </c>
      <c r="B11" s="4" t="s">
        <v>35</v>
      </c>
      <c r="C11" s="2">
        <v>73</v>
      </c>
      <c r="D11" s="2">
        <v>3</v>
      </c>
      <c r="E11" s="2">
        <v>5</v>
      </c>
      <c r="F11" s="2">
        <v>11</v>
      </c>
      <c r="G11" s="2">
        <v>5.9</v>
      </c>
      <c r="H11" s="2">
        <v>31.2</v>
      </c>
      <c r="I11" s="2">
        <v>18.3</v>
      </c>
      <c r="J11" s="2">
        <v>28.5</v>
      </c>
      <c r="K11" s="2">
        <v>1647</v>
      </c>
      <c r="L11" s="5" t="s">
        <v>11</v>
      </c>
      <c r="M11" s="5">
        <v>20</v>
      </c>
      <c r="N11" s="22" t="s">
        <v>93</v>
      </c>
    </row>
    <row r="12" spans="1:14" x14ac:dyDescent="0.3">
      <c r="A12" s="3" t="s">
        <v>16</v>
      </c>
      <c r="B12" s="4" t="s">
        <v>36</v>
      </c>
      <c r="C12" s="2">
        <v>18</v>
      </c>
      <c r="D12" s="2">
        <v>0</v>
      </c>
      <c r="E12" s="2">
        <v>1</v>
      </c>
      <c r="F12" s="2">
        <v>2</v>
      </c>
      <c r="G12" s="2">
        <v>6.2</v>
      </c>
      <c r="H12" s="2">
        <v>22.2</v>
      </c>
      <c r="I12" s="2">
        <v>22.8</v>
      </c>
      <c r="J12" s="2">
        <v>28.7</v>
      </c>
      <c r="K12" s="2">
        <v>2074</v>
      </c>
      <c r="L12" s="5" t="s">
        <v>11</v>
      </c>
      <c r="M12" s="5">
        <v>25</v>
      </c>
      <c r="N12" s="22" t="s">
        <v>94</v>
      </c>
    </row>
    <row r="13" spans="1:14" x14ac:dyDescent="0.3">
      <c r="A13" s="3" t="s">
        <v>16</v>
      </c>
      <c r="B13" s="4" t="s">
        <v>36</v>
      </c>
      <c r="C13" s="2">
        <v>71</v>
      </c>
      <c r="D13" s="2">
        <v>3</v>
      </c>
      <c r="E13" s="2">
        <v>4</v>
      </c>
      <c r="F13" s="2">
        <v>11</v>
      </c>
      <c r="G13" s="2">
        <v>6.2</v>
      </c>
      <c r="H13" s="2">
        <v>34.299999999999997</v>
      </c>
      <c r="I13" s="2">
        <v>23.6</v>
      </c>
      <c r="J13" s="2">
        <v>28.7</v>
      </c>
      <c r="K13" s="2">
        <v>2074</v>
      </c>
      <c r="L13" s="5" t="s">
        <v>11</v>
      </c>
      <c r="M13" s="5">
        <v>25</v>
      </c>
      <c r="N13" s="17" t="s">
        <v>92</v>
      </c>
    </row>
    <row r="14" spans="1:14" x14ac:dyDescent="0.3">
      <c r="A14" s="3" t="s">
        <v>16</v>
      </c>
      <c r="B14" s="4" t="s">
        <v>36</v>
      </c>
      <c r="C14" s="2">
        <v>87</v>
      </c>
      <c r="D14" s="2">
        <v>4</v>
      </c>
      <c r="E14" s="2">
        <v>6</v>
      </c>
      <c r="F14" s="2">
        <v>13</v>
      </c>
      <c r="G14" s="2">
        <v>6.3</v>
      </c>
      <c r="H14" s="2">
        <v>37.4</v>
      </c>
      <c r="I14" s="2">
        <v>20.7</v>
      </c>
      <c r="J14" s="2">
        <v>28.7</v>
      </c>
      <c r="K14" s="2">
        <v>2074</v>
      </c>
      <c r="L14" s="5" t="s">
        <v>11</v>
      </c>
      <c r="M14" s="5">
        <v>25</v>
      </c>
      <c r="N14" s="17" t="s">
        <v>92</v>
      </c>
    </row>
    <row r="15" spans="1:14" x14ac:dyDescent="0.3">
      <c r="A15" s="3" t="s">
        <v>16</v>
      </c>
      <c r="B15" s="4" t="s">
        <v>36</v>
      </c>
      <c r="C15" s="2">
        <v>66</v>
      </c>
      <c r="D15" s="2">
        <v>3</v>
      </c>
      <c r="E15" s="2">
        <v>4</v>
      </c>
      <c r="F15" s="2">
        <v>10</v>
      </c>
      <c r="G15" s="2">
        <v>6.1</v>
      </c>
      <c r="H15" s="2">
        <v>36.700000000000003</v>
      </c>
      <c r="I15" s="2">
        <v>20.5</v>
      </c>
      <c r="J15" s="2">
        <v>28.7</v>
      </c>
      <c r="K15" s="2">
        <v>2074</v>
      </c>
      <c r="L15" s="5" t="s">
        <v>11</v>
      </c>
      <c r="M15" s="5">
        <v>25</v>
      </c>
      <c r="N15" s="17" t="s">
        <v>88</v>
      </c>
    </row>
    <row r="16" spans="1:14" x14ac:dyDescent="0.3">
      <c r="A16" s="3" t="s">
        <v>16</v>
      </c>
      <c r="B16" s="4" t="s">
        <v>37</v>
      </c>
      <c r="C16" s="2">
        <v>16</v>
      </c>
      <c r="D16" s="2">
        <v>0</v>
      </c>
      <c r="E16" s="2">
        <v>1</v>
      </c>
      <c r="F16" s="2">
        <v>2</v>
      </c>
      <c r="G16" s="2">
        <v>5.5</v>
      </c>
      <c r="H16" s="2">
        <v>27.1</v>
      </c>
      <c r="I16" s="2">
        <v>23.2</v>
      </c>
      <c r="J16" s="2">
        <v>26.8</v>
      </c>
      <c r="K16" s="2">
        <v>1987</v>
      </c>
      <c r="L16" s="5" t="s">
        <v>11</v>
      </c>
      <c r="M16" s="5">
        <v>20</v>
      </c>
      <c r="N16" s="22" t="s">
        <v>92</v>
      </c>
    </row>
    <row r="17" spans="1:14" x14ac:dyDescent="0.3">
      <c r="A17" s="3" t="s">
        <v>16</v>
      </c>
      <c r="B17" s="4" t="s">
        <v>37</v>
      </c>
      <c r="C17" s="2">
        <v>54</v>
      </c>
      <c r="D17" s="2">
        <v>2</v>
      </c>
      <c r="E17" s="2">
        <v>3</v>
      </c>
      <c r="F17" s="2">
        <v>8</v>
      </c>
      <c r="G17" s="2">
        <v>5</v>
      </c>
      <c r="H17" s="2">
        <v>33.5</v>
      </c>
      <c r="I17" s="2">
        <v>24.1</v>
      </c>
      <c r="J17" s="2">
        <v>26.8</v>
      </c>
      <c r="K17" s="2">
        <v>1987</v>
      </c>
      <c r="L17" s="5" t="s">
        <v>11</v>
      </c>
      <c r="M17" s="5">
        <v>20</v>
      </c>
      <c r="N17" s="22" t="s">
        <v>92</v>
      </c>
    </row>
    <row r="18" spans="1:14" x14ac:dyDescent="0.3">
      <c r="A18" s="3" t="s">
        <v>16</v>
      </c>
      <c r="B18" s="4" t="s">
        <v>38</v>
      </c>
      <c r="C18" s="2">
        <v>26</v>
      </c>
      <c r="D18" s="2">
        <v>1</v>
      </c>
      <c r="E18" s="2">
        <v>1</v>
      </c>
      <c r="F18" s="2">
        <v>4</v>
      </c>
      <c r="G18" s="2">
        <v>6.2</v>
      </c>
      <c r="H18" s="2">
        <v>18.399999999999999</v>
      </c>
      <c r="I18" s="2">
        <v>22.3</v>
      </c>
      <c r="J18" s="2">
        <v>22.4</v>
      </c>
      <c r="K18" s="2">
        <v>1720</v>
      </c>
      <c r="L18" s="5" t="s">
        <v>11</v>
      </c>
      <c r="M18" s="5">
        <v>17</v>
      </c>
      <c r="N18" s="22" t="s">
        <v>89</v>
      </c>
    </row>
    <row r="19" spans="1:14" x14ac:dyDescent="0.3">
      <c r="A19" s="3" t="s">
        <v>16</v>
      </c>
      <c r="B19" s="4" t="s">
        <v>38</v>
      </c>
      <c r="C19" s="2">
        <v>22</v>
      </c>
      <c r="D19" s="2">
        <v>1</v>
      </c>
      <c r="E19" s="2">
        <v>1</v>
      </c>
      <c r="F19" s="2">
        <v>3</v>
      </c>
      <c r="G19" s="2">
        <v>6.2</v>
      </c>
      <c r="H19" s="2">
        <v>27.7</v>
      </c>
      <c r="I19" s="2">
        <v>23.3</v>
      </c>
      <c r="J19" s="2">
        <v>22.4</v>
      </c>
      <c r="K19" s="2">
        <v>1720</v>
      </c>
      <c r="L19" s="5" t="s">
        <v>11</v>
      </c>
      <c r="M19" s="5">
        <v>17</v>
      </c>
      <c r="N19" s="22" t="s">
        <v>95</v>
      </c>
    </row>
    <row r="20" spans="1:14" x14ac:dyDescent="0.3">
      <c r="A20" s="3" t="s">
        <v>17</v>
      </c>
      <c r="B20" s="4" t="s">
        <v>39</v>
      </c>
      <c r="C20" s="2">
        <v>10</v>
      </c>
      <c r="D20" s="2">
        <v>0</v>
      </c>
      <c r="E20" s="2">
        <v>0</v>
      </c>
      <c r="F20" s="2">
        <v>1</v>
      </c>
      <c r="G20" s="2">
        <v>6.2</v>
      </c>
      <c r="H20" s="2">
        <v>29.5</v>
      </c>
      <c r="I20" s="2">
        <v>15.9</v>
      </c>
      <c r="J20" s="2">
        <v>23.3</v>
      </c>
      <c r="K20" s="2">
        <v>1467</v>
      </c>
      <c r="L20" s="5" t="s">
        <v>11</v>
      </c>
      <c r="M20" s="5">
        <v>30</v>
      </c>
      <c r="N20" s="22" t="s">
        <v>92</v>
      </c>
    </row>
    <row r="21" spans="1:14" x14ac:dyDescent="0.3">
      <c r="A21" s="3" t="s">
        <v>17</v>
      </c>
      <c r="B21" s="4" t="s">
        <v>39</v>
      </c>
      <c r="C21" s="2">
        <v>70</v>
      </c>
      <c r="D21" s="2">
        <v>3</v>
      </c>
      <c r="E21" s="2">
        <v>4</v>
      </c>
      <c r="F21" s="2">
        <v>11</v>
      </c>
      <c r="G21" s="2">
        <v>6.2</v>
      </c>
      <c r="H21" s="2">
        <v>43.5</v>
      </c>
      <c r="I21" s="2">
        <v>15</v>
      </c>
      <c r="J21" s="2">
        <v>23.3</v>
      </c>
      <c r="K21" s="2">
        <v>1467</v>
      </c>
      <c r="L21" s="5" t="s">
        <v>11</v>
      </c>
      <c r="M21" s="5">
        <v>30</v>
      </c>
      <c r="N21" s="22" t="s">
        <v>88</v>
      </c>
    </row>
    <row r="22" spans="1:14" x14ac:dyDescent="0.3">
      <c r="A22" s="3" t="s">
        <v>17</v>
      </c>
      <c r="B22" s="4" t="s">
        <v>39</v>
      </c>
      <c r="C22" s="2">
        <v>5</v>
      </c>
      <c r="D22" s="2">
        <v>0</v>
      </c>
      <c r="E22" s="2">
        <v>0</v>
      </c>
      <c r="F22" s="2">
        <v>0</v>
      </c>
      <c r="G22" s="2">
        <v>6.3</v>
      </c>
      <c r="H22" s="2">
        <v>20</v>
      </c>
      <c r="I22" s="2">
        <v>17.7</v>
      </c>
      <c r="J22" s="2">
        <v>22.2</v>
      </c>
      <c r="K22" s="2">
        <v>1471</v>
      </c>
      <c r="L22" s="5" t="s">
        <v>11</v>
      </c>
      <c r="M22" s="5">
        <v>30</v>
      </c>
      <c r="N22" s="22" t="s">
        <v>89</v>
      </c>
    </row>
    <row r="23" spans="1:14" x14ac:dyDescent="0.3">
      <c r="A23" s="3" t="s">
        <v>17</v>
      </c>
      <c r="B23" s="4" t="s">
        <v>39</v>
      </c>
      <c r="C23" s="2">
        <v>12</v>
      </c>
      <c r="D23" s="2">
        <v>0</v>
      </c>
      <c r="E23" s="2">
        <v>0</v>
      </c>
      <c r="F23" s="2">
        <v>1</v>
      </c>
      <c r="G23" s="2">
        <v>6.6</v>
      </c>
      <c r="H23" s="2">
        <v>35.9</v>
      </c>
      <c r="I23" s="2">
        <v>17.399999999999999</v>
      </c>
      <c r="J23" s="2">
        <v>22.2</v>
      </c>
      <c r="K23" s="2">
        <v>1471</v>
      </c>
      <c r="L23" s="5" t="s">
        <v>11</v>
      </c>
      <c r="M23" s="5">
        <v>30</v>
      </c>
      <c r="N23" s="22" t="s">
        <v>89</v>
      </c>
    </row>
    <row r="24" spans="1:14" x14ac:dyDescent="0.3">
      <c r="A24" s="3" t="s">
        <v>17</v>
      </c>
      <c r="B24" s="4" t="s">
        <v>39</v>
      </c>
      <c r="C24" s="2">
        <v>960</v>
      </c>
      <c r="D24" s="2">
        <v>47</v>
      </c>
      <c r="E24" s="2">
        <v>67</v>
      </c>
      <c r="F24" s="2">
        <v>153</v>
      </c>
      <c r="G24" s="2">
        <v>5.3</v>
      </c>
      <c r="H24" s="2">
        <v>25.6</v>
      </c>
      <c r="I24" s="2">
        <v>19.399999999999999</v>
      </c>
      <c r="J24" s="2">
        <v>22.2</v>
      </c>
      <c r="K24" s="2">
        <v>1471</v>
      </c>
      <c r="L24" s="5" t="s">
        <v>11</v>
      </c>
      <c r="M24" s="5">
        <v>30</v>
      </c>
      <c r="N24" s="22" t="s">
        <v>92</v>
      </c>
    </row>
    <row r="25" spans="1:14" x14ac:dyDescent="0.3">
      <c r="A25" s="3" t="s">
        <v>17</v>
      </c>
      <c r="B25" s="4" t="s">
        <v>39</v>
      </c>
      <c r="C25" s="2">
        <v>768</v>
      </c>
      <c r="D25" s="2">
        <v>44</v>
      </c>
      <c r="E25" s="2">
        <v>62</v>
      </c>
      <c r="F25" s="2">
        <v>143</v>
      </c>
      <c r="G25" s="2">
        <v>5.5</v>
      </c>
      <c r="H25" s="2">
        <v>47.6</v>
      </c>
      <c r="I25" s="2">
        <v>19.2</v>
      </c>
      <c r="J25" s="2">
        <v>22.2</v>
      </c>
      <c r="K25" s="2">
        <v>1471</v>
      </c>
      <c r="L25" s="5" t="s">
        <v>11</v>
      </c>
      <c r="M25" s="5">
        <v>30</v>
      </c>
      <c r="N25" s="22" t="s">
        <v>92</v>
      </c>
    </row>
    <row r="26" spans="1:14" x14ac:dyDescent="0.3">
      <c r="A26" s="3" t="s">
        <v>17</v>
      </c>
      <c r="B26" s="4" t="s">
        <v>39</v>
      </c>
      <c r="C26" s="2">
        <v>39</v>
      </c>
      <c r="D26" s="2">
        <v>1</v>
      </c>
      <c r="E26" s="2">
        <v>2</v>
      </c>
      <c r="F26" s="2">
        <v>6</v>
      </c>
      <c r="G26" s="2">
        <v>6.3</v>
      </c>
      <c r="H26" s="2">
        <v>27.1</v>
      </c>
      <c r="I26" s="2">
        <v>17.399999999999999</v>
      </c>
      <c r="J26" s="2">
        <v>24.1</v>
      </c>
      <c r="K26" s="2">
        <v>1434</v>
      </c>
      <c r="L26" s="5" t="s">
        <v>11</v>
      </c>
      <c r="M26" s="5">
        <v>30</v>
      </c>
      <c r="N26" s="22" t="s">
        <v>92</v>
      </c>
    </row>
    <row r="27" spans="1:14" x14ac:dyDescent="0.3">
      <c r="A27" s="3" t="s">
        <v>17</v>
      </c>
      <c r="B27" s="4" t="s">
        <v>39</v>
      </c>
      <c r="C27" s="2">
        <v>4</v>
      </c>
      <c r="D27" s="2">
        <v>0</v>
      </c>
      <c r="E27" s="2">
        <v>0</v>
      </c>
      <c r="F27" s="2">
        <v>0</v>
      </c>
      <c r="G27" s="2">
        <v>6.3</v>
      </c>
      <c r="H27" s="2">
        <v>22.8</v>
      </c>
      <c r="I27" s="2">
        <v>17.899999999999999</v>
      </c>
      <c r="J27" s="2">
        <v>24.1</v>
      </c>
      <c r="K27" s="2">
        <v>1434</v>
      </c>
      <c r="L27" s="5" t="s">
        <v>11</v>
      </c>
      <c r="M27" s="5">
        <v>30</v>
      </c>
      <c r="N27" s="22" t="s">
        <v>92</v>
      </c>
    </row>
    <row r="28" spans="1:14" x14ac:dyDescent="0.3">
      <c r="A28" s="4" t="s">
        <v>18</v>
      </c>
      <c r="B28" s="4" t="s">
        <v>40</v>
      </c>
      <c r="C28" s="2">
        <v>18</v>
      </c>
      <c r="D28" s="2">
        <v>0</v>
      </c>
      <c r="E28" s="2">
        <v>1</v>
      </c>
      <c r="F28" s="2">
        <v>2</v>
      </c>
      <c r="G28" s="2">
        <v>5.5</v>
      </c>
      <c r="H28" s="2">
        <v>22.7</v>
      </c>
      <c r="I28" s="2">
        <v>20.8</v>
      </c>
      <c r="J28" s="2">
        <v>27.1</v>
      </c>
      <c r="K28" s="2">
        <v>2176</v>
      </c>
      <c r="L28" s="5" t="s">
        <v>11</v>
      </c>
      <c r="M28" s="5">
        <v>10</v>
      </c>
      <c r="N28" s="21" t="s">
        <v>88</v>
      </c>
    </row>
    <row r="29" spans="1:14" x14ac:dyDescent="0.3">
      <c r="A29" s="4" t="s">
        <v>18</v>
      </c>
      <c r="B29" s="4" t="s">
        <v>40</v>
      </c>
      <c r="C29" s="2">
        <v>27</v>
      </c>
      <c r="D29" s="2">
        <v>1</v>
      </c>
      <c r="E29" s="2">
        <v>1</v>
      </c>
      <c r="F29" s="2">
        <v>5</v>
      </c>
      <c r="G29" s="2">
        <v>5.9</v>
      </c>
      <c r="H29" s="2">
        <v>20.399999999999999</v>
      </c>
      <c r="I29" s="2">
        <v>20.8</v>
      </c>
      <c r="J29" s="2">
        <v>27.1</v>
      </c>
      <c r="K29" s="2">
        <v>2176</v>
      </c>
      <c r="L29" s="5" t="s">
        <v>11</v>
      </c>
      <c r="M29" s="5">
        <v>10</v>
      </c>
      <c r="N29" s="21" t="s">
        <v>96</v>
      </c>
    </row>
    <row r="30" spans="1:14" x14ac:dyDescent="0.3">
      <c r="A30" s="4" t="s">
        <v>18</v>
      </c>
      <c r="B30" s="4" t="s">
        <v>40</v>
      </c>
      <c r="C30" s="2">
        <v>13</v>
      </c>
      <c r="D30" s="2">
        <v>0</v>
      </c>
      <c r="E30" s="2">
        <v>0</v>
      </c>
      <c r="F30" s="2">
        <v>2</v>
      </c>
      <c r="G30" s="2">
        <v>5.4</v>
      </c>
      <c r="H30" s="2">
        <v>28</v>
      </c>
      <c r="I30" s="2">
        <v>19.899999999999999</v>
      </c>
      <c r="J30" s="2">
        <v>25.9</v>
      </c>
      <c r="K30" s="2">
        <v>2193</v>
      </c>
      <c r="L30" s="5" t="s">
        <v>11</v>
      </c>
      <c r="M30" s="5">
        <v>10</v>
      </c>
      <c r="N30" s="21" t="s">
        <v>94</v>
      </c>
    </row>
    <row r="31" spans="1:14" x14ac:dyDescent="0.3">
      <c r="A31" s="4" t="s">
        <v>18</v>
      </c>
      <c r="B31" s="4" t="s">
        <v>40</v>
      </c>
      <c r="C31" s="2">
        <v>44</v>
      </c>
      <c r="D31" s="2">
        <v>2</v>
      </c>
      <c r="E31" s="2">
        <v>3</v>
      </c>
      <c r="F31" s="2">
        <v>7</v>
      </c>
      <c r="G31" s="2">
        <v>5.0999999999999996</v>
      </c>
      <c r="H31" s="2">
        <v>24.6</v>
      </c>
      <c r="I31" s="2">
        <v>19.600000000000001</v>
      </c>
      <c r="J31" s="2">
        <v>25.9</v>
      </c>
      <c r="K31" s="2">
        <v>2193</v>
      </c>
      <c r="L31" s="5" t="s">
        <v>11</v>
      </c>
      <c r="M31" s="5">
        <v>10</v>
      </c>
      <c r="N31" s="21" t="s">
        <v>94</v>
      </c>
    </row>
    <row r="32" spans="1:14" x14ac:dyDescent="0.3">
      <c r="A32" s="4" t="s">
        <v>18</v>
      </c>
      <c r="B32" s="4" t="s">
        <v>41</v>
      </c>
      <c r="C32" s="2">
        <v>19</v>
      </c>
      <c r="D32" s="2">
        <v>0</v>
      </c>
      <c r="E32" s="2">
        <v>1</v>
      </c>
      <c r="F32" s="2">
        <v>3</v>
      </c>
      <c r="G32" s="2">
        <v>5.4</v>
      </c>
      <c r="H32" s="2">
        <v>25.8</v>
      </c>
      <c r="I32" s="2">
        <v>20.2</v>
      </c>
      <c r="J32" s="2">
        <v>22.1</v>
      </c>
      <c r="K32" s="2">
        <v>2088</v>
      </c>
      <c r="L32" s="5" t="s">
        <v>11</v>
      </c>
      <c r="M32" s="5">
        <v>13</v>
      </c>
      <c r="N32" s="21" t="s">
        <v>88</v>
      </c>
    </row>
    <row r="33" spans="1:14" x14ac:dyDescent="0.3">
      <c r="A33" s="4" t="s">
        <v>18</v>
      </c>
      <c r="B33" s="4" t="s">
        <v>41</v>
      </c>
      <c r="C33" s="2">
        <v>13</v>
      </c>
      <c r="D33" s="2">
        <v>0</v>
      </c>
      <c r="E33" s="2">
        <v>0</v>
      </c>
      <c r="F33" s="2">
        <v>2</v>
      </c>
      <c r="G33" s="2">
        <v>5.0999999999999996</v>
      </c>
      <c r="H33" s="2">
        <v>26.9</v>
      </c>
      <c r="I33" s="2">
        <v>20.7</v>
      </c>
      <c r="J33" s="2">
        <v>22.1</v>
      </c>
      <c r="K33" s="2">
        <v>2088</v>
      </c>
      <c r="L33" s="5" t="s">
        <v>11</v>
      </c>
      <c r="M33" s="5">
        <v>13</v>
      </c>
      <c r="N33" s="21" t="s">
        <v>92</v>
      </c>
    </row>
    <row r="34" spans="1:14" x14ac:dyDescent="0.3">
      <c r="A34" s="4" t="s">
        <v>18</v>
      </c>
      <c r="B34" s="4" t="s">
        <v>42</v>
      </c>
      <c r="C34" s="2">
        <v>130</v>
      </c>
      <c r="D34" s="2">
        <v>6</v>
      </c>
      <c r="E34" s="2">
        <v>9</v>
      </c>
      <c r="F34" s="2">
        <v>20</v>
      </c>
      <c r="G34" s="2">
        <v>5.2</v>
      </c>
      <c r="H34" s="2">
        <v>19.7</v>
      </c>
      <c r="I34" s="2">
        <v>19.3</v>
      </c>
      <c r="J34" s="2">
        <v>20.3</v>
      </c>
      <c r="K34" s="2">
        <v>1894</v>
      </c>
      <c r="L34" s="5" t="s">
        <v>11</v>
      </c>
      <c r="M34" s="5">
        <v>12</v>
      </c>
      <c r="N34" s="21" t="s">
        <v>92</v>
      </c>
    </row>
    <row r="35" spans="1:14" x14ac:dyDescent="0.3">
      <c r="A35" s="4" t="s">
        <v>18</v>
      </c>
      <c r="B35" s="4" t="s">
        <v>42</v>
      </c>
      <c r="C35" s="2">
        <v>24</v>
      </c>
      <c r="D35" s="2">
        <v>1</v>
      </c>
      <c r="E35" s="2">
        <v>1</v>
      </c>
      <c r="F35" s="2">
        <v>3</v>
      </c>
      <c r="G35" s="2">
        <v>5.7</v>
      </c>
      <c r="H35" s="2">
        <v>23.2</v>
      </c>
      <c r="I35" s="2">
        <v>20.100000000000001</v>
      </c>
      <c r="J35" s="2">
        <v>20.3</v>
      </c>
      <c r="K35" s="2">
        <v>1894</v>
      </c>
      <c r="L35" s="5" t="s">
        <v>11</v>
      </c>
      <c r="M35" s="5">
        <v>12</v>
      </c>
      <c r="N35" s="21" t="s">
        <v>92</v>
      </c>
    </row>
    <row r="36" spans="1:14" x14ac:dyDescent="0.3">
      <c r="A36" s="4" t="s">
        <v>18</v>
      </c>
      <c r="B36" s="4" t="s">
        <v>42</v>
      </c>
      <c r="C36" s="2">
        <v>125</v>
      </c>
      <c r="D36" s="2">
        <v>6</v>
      </c>
      <c r="E36" s="2">
        <v>8</v>
      </c>
      <c r="F36" s="2">
        <v>20</v>
      </c>
      <c r="G36" s="2">
        <v>6.2</v>
      </c>
      <c r="H36" s="2">
        <v>30.9</v>
      </c>
      <c r="I36" s="2">
        <v>20.9</v>
      </c>
      <c r="J36" s="2">
        <v>20.9</v>
      </c>
      <c r="K36" s="2">
        <v>1681</v>
      </c>
      <c r="L36" s="5" t="s">
        <v>11</v>
      </c>
      <c r="M36" s="5">
        <v>12</v>
      </c>
      <c r="N36" s="21" t="s">
        <v>98</v>
      </c>
    </row>
    <row r="37" spans="1:14" x14ac:dyDescent="0.3">
      <c r="A37" s="4" t="s">
        <v>18</v>
      </c>
      <c r="B37" s="4" t="s">
        <v>42</v>
      </c>
      <c r="C37" s="2">
        <v>135</v>
      </c>
      <c r="D37" s="2">
        <v>6</v>
      </c>
      <c r="E37" s="2">
        <v>9</v>
      </c>
      <c r="F37" s="2">
        <v>21</v>
      </c>
      <c r="G37" s="2">
        <v>6.1</v>
      </c>
      <c r="H37" s="2">
        <v>27.6</v>
      </c>
      <c r="I37" s="2">
        <v>21.5</v>
      </c>
      <c r="J37" s="2">
        <v>20.9</v>
      </c>
      <c r="K37" s="2">
        <v>1681</v>
      </c>
      <c r="L37" s="5" t="s">
        <v>11</v>
      </c>
      <c r="M37" s="5">
        <v>12</v>
      </c>
      <c r="N37" s="21" t="s">
        <v>89</v>
      </c>
    </row>
    <row r="38" spans="1:14" x14ac:dyDescent="0.3">
      <c r="A38" s="4" t="s">
        <v>18</v>
      </c>
      <c r="B38" s="4" t="s">
        <v>42</v>
      </c>
      <c r="C38" s="2">
        <v>126</v>
      </c>
      <c r="D38" s="2">
        <v>6</v>
      </c>
      <c r="E38" s="2">
        <v>8</v>
      </c>
      <c r="F38" s="2">
        <v>20</v>
      </c>
      <c r="G38" s="2">
        <v>4.9000000000000004</v>
      </c>
      <c r="H38" s="2">
        <v>54.4</v>
      </c>
      <c r="I38" s="2">
        <v>20</v>
      </c>
      <c r="J38" s="2">
        <v>20.9</v>
      </c>
      <c r="K38" s="2">
        <v>1675</v>
      </c>
      <c r="L38" s="5" t="s">
        <v>11</v>
      </c>
      <c r="M38" s="5">
        <v>12</v>
      </c>
      <c r="N38" s="21" t="s">
        <v>88</v>
      </c>
    </row>
    <row r="39" spans="1:14" x14ac:dyDescent="0.3">
      <c r="A39" s="4" t="s">
        <v>18</v>
      </c>
      <c r="B39" s="4" t="s">
        <v>42</v>
      </c>
      <c r="C39" s="2">
        <v>120</v>
      </c>
      <c r="D39" s="2">
        <v>6</v>
      </c>
      <c r="E39" s="2">
        <v>8</v>
      </c>
      <c r="F39" s="2">
        <v>19</v>
      </c>
      <c r="G39" s="2">
        <v>4.3</v>
      </c>
      <c r="H39" s="2">
        <v>56.7</v>
      </c>
      <c r="I39" s="2">
        <v>19.899999999999999</v>
      </c>
      <c r="J39" s="2">
        <v>20.9</v>
      </c>
      <c r="K39" s="2">
        <v>1675</v>
      </c>
      <c r="L39" s="5" t="s">
        <v>11</v>
      </c>
      <c r="M39" s="5">
        <v>12</v>
      </c>
      <c r="N39" s="21" t="s">
        <v>99</v>
      </c>
    </row>
    <row r="40" spans="1:14" x14ac:dyDescent="0.3">
      <c r="A40" s="4" t="s">
        <v>18</v>
      </c>
      <c r="B40" s="4" t="s">
        <v>42</v>
      </c>
      <c r="C40" s="2">
        <v>50</v>
      </c>
      <c r="D40" s="2">
        <v>2</v>
      </c>
      <c r="E40" s="2">
        <v>3</v>
      </c>
      <c r="F40" s="2">
        <v>8</v>
      </c>
      <c r="G40" s="2">
        <v>5.8</v>
      </c>
      <c r="H40" s="2">
        <v>31</v>
      </c>
      <c r="I40" s="2">
        <v>19.7</v>
      </c>
      <c r="J40" s="2">
        <v>20.5</v>
      </c>
      <c r="K40" s="2">
        <v>1779</v>
      </c>
      <c r="L40" s="5" t="s">
        <v>11</v>
      </c>
      <c r="M40" s="5">
        <v>10</v>
      </c>
      <c r="N40" s="21" t="s">
        <v>89</v>
      </c>
    </row>
    <row r="41" spans="1:14" x14ac:dyDescent="0.3">
      <c r="A41" s="4" t="s">
        <v>18</v>
      </c>
      <c r="B41" s="4" t="s">
        <v>42</v>
      </c>
      <c r="C41" s="2">
        <v>64</v>
      </c>
      <c r="D41" s="2">
        <v>3</v>
      </c>
      <c r="E41" s="2">
        <v>4</v>
      </c>
      <c r="F41" s="2">
        <v>10</v>
      </c>
      <c r="G41" s="2">
        <v>5.8</v>
      </c>
      <c r="H41" s="2">
        <v>43</v>
      </c>
      <c r="I41" s="2">
        <v>20</v>
      </c>
      <c r="J41" s="2">
        <v>20.5</v>
      </c>
      <c r="K41" s="2">
        <v>1779</v>
      </c>
      <c r="L41" s="5" t="s">
        <v>11</v>
      </c>
      <c r="M41" s="5">
        <v>10</v>
      </c>
      <c r="N41" s="21" t="s">
        <v>100</v>
      </c>
    </row>
    <row r="42" spans="1:14" x14ac:dyDescent="0.3">
      <c r="A42" s="3" t="s">
        <v>18</v>
      </c>
      <c r="B42" s="4" t="s">
        <v>41</v>
      </c>
      <c r="C42" s="2">
        <v>43</v>
      </c>
      <c r="D42" s="2">
        <v>2</v>
      </c>
      <c r="E42" s="2">
        <v>3</v>
      </c>
      <c r="F42" s="2">
        <v>6</v>
      </c>
      <c r="G42" s="2">
        <v>6.3</v>
      </c>
      <c r="H42" s="2">
        <v>27.4</v>
      </c>
      <c r="I42" s="2">
        <v>20.100000000000001</v>
      </c>
      <c r="J42" s="2">
        <v>29.7</v>
      </c>
      <c r="K42" s="2">
        <v>1709</v>
      </c>
      <c r="L42" s="5" t="s">
        <v>11</v>
      </c>
      <c r="M42" s="5">
        <v>15</v>
      </c>
      <c r="N42" s="17" t="s">
        <v>93</v>
      </c>
    </row>
    <row r="43" spans="1:14" x14ac:dyDescent="0.3">
      <c r="A43" s="3" t="s">
        <v>18</v>
      </c>
      <c r="B43" s="4" t="s">
        <v>41</v>
      </c>
      <c r="C43" s="2">
        <v>54</v>
      </c>
      <c r="D43" s="2">
        <v>2</v>
      </c>
      <c r="E43" s="2">
        <v>3</v>
      </c>
      <c r="F43" s="2">
        <v>8</v>
      </c>
      <c r="G43" s="2">
        <v>5.5</v>
      </c>
      <c r="H43" s="2">
        <v>22.2</v>
      </c>
      <c r="I43" s="2">
        <v>21.4</v>
      </c>
      <c r="J43" s="2">
        <v>29.7</v>
      </c>
      <c r="K43" s="2">
        <v>1709</v>
      </c>
      <c r="L43" s="5" t="s">
        <v>11</v>
      </c>
      <c r="M43" s="5">
        <v>15</v>
      </c>
      <c r="N43" s="17" t="s">
        <v>96</v>
      </c>
    </row>
    <row r="44" spans="1:14" x14ac:dyDescent="0.3">
      <c r="A44" s="3" t="s">
        <v>18</v>
      </c>
      <c r="B44" s="4" t="s">
        <v>41</v>
      </c>
      <c r="C44" s="2">
        <v>49</v>
      </c>
      <c r="D44" s="2">
        <v>2</v>
      </c>
      <c r="E44" s="2">
        <v>3</v>
      </c>
      <c r="F44" s="2">
        <v>7</v>
      </c>
      <c r="G44" s="2">
        <v>5.5</v>
      </c>
      <c r="H44" s="2">
        <v>19.3</v>
      </c>
      <c r="I44" s="2">
        <v>23.5</v>
      </c>
      <c r="J44" s="2">
        <v>27</v>
      </c>
      <c r="K44" s="2">
        <v>1597</v>
      </c>
      <c r="L44" s="5" t="s">
        <v>11</v>
      </c>
      <c r="M44" s="5">
        <v>18</v>
      </c>
      <c r="N44" s="17" t="s">
        <v>96</v>
      </c>
    </row>
    <row r="45" spans="1:14" x14ac:dyDescent="0.3">
      <c r="A45" s="3" t="s">
        <v>18</v>
      </c>
      <c r="B45" s="4" t="s">
        <v>41</v>
      </c>
      <c r="C45" s="2">
        <v>32</v>
      </c>
      <c r="D45" s="2">
        <v>1</v>
      </c>
      <c r="E45" s="2">
        <v>2</v>
      </c>
      <c r="F45" s="2">
        <v>5</v>
      </c>
      <c r="G45" s="2">
        <v>5.8</v>
      </c>
      <c r="H45" s="2">
        <v>29.3</v>
      </c>
      <c r="I45" s="2">
        <v>22.7</v>
      </c>
      <c r="J45" s="2">
        <v>27</v>
      </c>
      <c r="K45" s="2">
        <v>1597</v>
      </c>
      <c r="L45" s="5" t="s">
        <v>11</v>
      </c>
      <c r="M45" s="5">
        <v>18</v>
      </c>
      <c r="N45" s="17" t="s">
        <v>96</v>
      </c>
    </row>
    <row r="46" spans="1:14" x14ac:dyDescent="0.3">
      <c r="A46" s="3" t="s">
        <v>18</v>
      </c>
      <c r="B46" s="4" t="s">
        <v>43</v>
      </c>
      <c r="C46" s="2">
        <v>34</v>
      </c>
      <c r="D46" s="2">
        <v>1</v>
      </c>
      <c r="E46" s="2">
        <v>2</v>
      </c>
      <c r="F46" s="2">
        <v>5</v>
      </c>
      <c r="G46" s="2">
        <v>5.5</v>
      </c>
      <c r="H46" s="2">
        <v>25.7</v>
      </c>
      <c r="I46" s="2">
        <v>20.6</v>
      </c>
      <c r="J46" s="2">
        <v>26</v>
      </c>
      <c r="K46" s="2">
        <v>1866</v>
      </c>
      <c r="L46" s="5" t="s">
        <v>11</v>
      </c>
      <c r="M46" s="5">
        <v>20</v>
      </c>
      <c r="N46" s="17" t="s">
        <v>92</v>
      </c>
    </row>
    <row r="47" spans="1:14" x14ac:dyDescent="0.3">
      <c r="A47" s="3" t="s">
        <v>18</v>
      </c>
      <c r="B47" s="4" t="s">
        <v>43</v>
      </c>
      <c r="C47" s="2">
        <v>6</v>
      </c>
      <c r="D47" s="2">
        <v>0</v>
      </c>
      <c r="E47" s="2">
        <v>0</v>
      </c>
      <c r="F47" s="2">
        <v>0</v>
      </c>
      <c r="G47" s="2">
        <v>5.9</v>
      </c>
      <c r="H47" s="2">
        <v>22.1</v>
      </c>
      <c r="I47" s="2">
        <v>21</v>
      </c>
      <c r="J47" s="2">
        <v>26</v>
      </c>
      <c r="K47" s="2">
        <v>1866</v>
      </c>
      <c r="L47" s="5" t="s">
        <v>11</v>
      </c>
      <c r="M47" s="5">
        <v>20</v>
      </c>
      <c r="N47" s="17" t="s">
        <v>92</v>
      </c>
    </row>
    <row r="48" spans="1:14" x14ac:dyDescent="0.3">
      <c r="A48" s="3" t="s">
        <v>18</v>
      </c>
      <c r="B48" s="4" t="s">
        <v>43</v>
      </c>
      <c r="C48" s="2">
        <v>27</v>
      </c>
      <c r="D48" s="2">
        <v>1</v>
      </c>
      <c r="E48" s="2">
        <v>1</v>
      </c>
      <c r="F48" s="2">
        <v>4</v>
      </c>
      <c r="G48" s="2">
        <v>5.4</v>
      </c>
      <c r="H48" s="2">
        <v>30</v>
      </c>
      <c r="I48" s="2">
        <v>18.899999999999999</v>
      </c>
      <c r="J48" s="2">
        <v>26</v>
      </c>
      <c r="K48" s="2">
        <v>1870</v>
      </c>
      <c r="L48" s="5" t="s">
        <v>11</v>
      </c>
      <c r="M48" s="5">
        <v>20</v>
      </c>
      <c r="N48" s="17" t="s">
        <v>92</v>
      </c>
    </row>
    <row r="49" spans="1:14" x14ac:dyDescent="0.3">
      <c r="A49" s="3" t="s">
        <v>18</v>
      </c>
      <c r="B49" s="4" t="s">
        <v>43</v>
      </c>
      <c r="C49" s="2">
        <v>32</v>
      </c>
      <c r="D49" s="2">
        <v>1</v>
      </c>
      <c r="E49" s="2">
        <v>2</v>
      </c>
      <c r="F49" s="2">
        <v>5</v>
      </c>
      <c r="G49" s="2">
        <v>5.4</v>
      </c>
      <c r="H49" s="2">
        <v>25.8</v>
      </c>
      <c r="I49" s="2">
        <v>19.100000000000001</v>
      </c>
      <c r="J49" s="2">
        <v>26</v>
      </c>
      <c r="K49" s="2">
        <v>1870</v>
      </c>
      <c r="L49" s="5" t="s">
        <v>11</v>
      </c>
      <c r="M49" s="5">
        <v>20</v>
      </c>
      <c r="N49" s="17" t="s">
        <v>92</v>
      </c>
    </row>
    <row r="50" spans="1:14" x14ac:dyDescent="0.3">
      <c r="A50" s="4" t="s">
        <v>19</v>
      </c>
      <c r="B50" s="4" t="s">
        <v>44</v>
      </c>
      <c r="C50" s="2">
        <v>19</v>
      </c>
      <c r="D50" s="2">
        <v>1</v>
      </c>
      <c r="E50" s="2">
        <v>30</v>
      </c>
      <c r="F50" s="2">
        <v>2</v>
      </c>
      <c r="G50" s="2">
        <v>6.3</v>
      </c>
      <c r="H50" s="2">
        <v>15.2</v>
      </c>
      <c r="I50" s="2">
        <v>34.1</v>
      </c>
      <c r="J50" s="2">
        <v>32.6</v>
      </c>
      <c r="K50" s="2">
        <v>1763</v>
      </c>
      <c r="L50" s="5" t="s">
        <v>11</v>
      </c>
      <c r="M50" s="5">
        <v>7</v>
      </c>
      <c r="N50" s="21" t="s">
        <v>94</v>
      </c>
    </row>
    <row r="51" spans="1:14" x14ac:dyDescent="0.3">
      <c r="A51" s="4" t="s">
        <v>19</v>
      </c>
      <c r="B51" s="4" t="s">
        <v>44</v>
      </c>
      <c r="C51" s="2">
        <v>0</v>
      </c>
      <c r="D51" s="2">
        <v>0</v>
      </c>
      <c r="E51" s="2">
        <v>0</v>
      </c>
      <c r="F51" s="2">
        <v>0</v>
      </c>
      <c r="G51" s="2">
        <v>7</v>
      </c>
      <c r="H51" s="2">
        <v>13.9</v>
      </c>
      <c r="I51" s="2">
        <v>37.799999999999997</v>
      </c>
      <c r="J51" s="2">
        <v>32.6</v>
      </c>
      <c r="K51" s="2">
        <v>1763</v>
      </c>
      <c r="L51" s="5" t="s">
        <v>11</v>
      </c>
      <c r="M51" s="5">
        <v>7</v>
      </c>
      <c r="N51" s="21" t="s">
        <v>94</v>
      </c>
    </row>
    <row r="52" spans="1:14" x14ac:dyDescent="0.3">
      <c r="A52" s="4" t="s">
        <v>19</v>
      </c>
      <c r="B52" s="4" t="s">
        <v>44</v>
      </c>
      <c r="C52" s="2">
        <v>0</v>
      </c>
      <c r="D52" s="2">
        <v>0</v>
      </c>
      <c r="E52" s="2">
        <v>0</v>
      </c>
      <c r="F52" s="2">
        <v>0</v>
      </c>
      <c r="G52" s="2">
        <v>6.2</v>
      </c>
      <c r="H52" s="2">
        <v>22.3</v>
      </c>
      <c r="I52" s="2">
        <v>30.3</v>
      </c>
      <c r="J52" s="2">
        <v>34.5</v>
      </c>
      <c r="K52" s="2">
        <v>1816</v>
      </c>
      <c r="L52" s="5" t="s">
        <v>11</v>
      </c>
      <c r="M52" s="5">
        <v>26</v>
      </c>
      <c r="N52" s="21" t="s">
        <v>94</v>
      </c>
    </row>
    <row r="53" spans="1:14" x14ac:dyDescent="0.3">
      <c r="A53" s="4" t="s">
        <v>19</v>
      </c>
      <c r="B53" s="4" t="s">
        <v>44</v>
      </c>
      <c r="C53" s="2">
        <v>6</v>
      </c>
      <c r="D53" s="2">
        <v>0</v>
      </c>
      <c r="E53" s="2">
        <v>0</v>
      </c>
      <c r="F53" s="2">
        <v>0</v>
      </c>
      <c r="G53" s="2">
        <v>6.3</v>
      </c>
      <c r="H53" s="2">
        <v>23.4</v>
      </c>
      <c r="I53" s="2">
        <v>28.4</v>
      </c>
      <c r="J53" s="2">
        <v>34.5</v>
      </c>
      <c r="K53" s="2">
        <v>1816</v>
      </c>
      <c r="L53" s="5" t="s">
        <v>11</v>
      </c>
      <c r="M53" s="5">
        <v>26</v>
      </c>
      <c r="N53" s="21" t="s">
        <v>94</v>
      </c>
    </row>
    <row r="54" spans="1:14" x14ac:dyDescent="0.3">
      <c r="A54" s="4" t="s">
        <v>19</v>
      </c>
      <c r="B54" s="4" t="s">
        <v>45</v>
      </c>
      <c r="C54" s="2">
        <v>38</v>
      </c>
      <c r="D54" s="2">
        <v>1</v>
      </c>
      <c r="E54" s="2">
        <v>2</v>
      </c>
      <c r="F54" s="2">
        <v>6</v>
      </c>
      <c r="G54" s="2">
        <v>6.2</v>
      </c>
      <c r="H54" s="2">
        <v>18.7</v>
      </c>
      <c r="I54" s="2">
        <v>18.2</v>
      </c>
      <c r="J54" s="2">
        <v>30</v>
      </c>
      <c r="K54" s="2">
        <v>2257</v>
      </c>
      <c r="L54" s="5" t="s">
        <v>11</v>
      </c>
      <c r="M54" s="5">
        <v>15</v>
      </c>
      <c r="N54" s="21" t="s">
        <v>101</v>
      </c>
    </row>
    <row r="55" spans="1:14" x14ac:dyDescent="0.3">
      <c r="A55" s="4" t="s">
        <v>19</v>
      </c>
      <c r="B55" s="4" t="s">
        <v>45</v>
      </c>
      <c r="C55" s="2">
        <v>12</v>
      </c>
      <c r="D55" s="2">
        <v>0</v>
      </c>
      <c r="E55" s="2">
        <v>0</v>
      </c>
      <c r="F55" s="2">
        <v>1</v>
      </c>
      <c r="G55" s="2">
        <v>6.4</v>
      </c>
      <c r="H55" s="2">
        <v>25.9</v>
      </c>
      <c r="I55" s="2">
        <v>18.8</v>
      </c>
      <c r="J55" s="2">
        <v>30</v>
      </c>
      <c r="K55" s="2">
        <v>2257</v>
      </c>
      <c r="L55" s="5" t="s">
        <v>11</v>
      </c>
      <c r="M55" s="5">
        <v>15</v>
      </c>
      <c r="N55" s="21" t="s">
        <v>94</v>
      </c>
    </row>
    <row r="56" spans="1:14" x14ac:dyDescent="0.3">
      <c r="A56" s="4" t="s">
        <v>19</v>
      </c>
      <c r="B56" s="4" t="s">
        <v>45</v>
      </c>
      <c r="C56" s="2">
        <v>54</v>
      </c>
      <c r="D56" s="2">
        <v>2</v>
      </c>
      <c r="E56" s="2">
        <v>3</v>
      </c>
      <c r="F56" s="2">
        <v>8</v>
      </c>
      <c r="G56" s="2">
        <v>6.2</v>
      </c>
      <c r="H56" s="2">
        <v>24.4</v>
      </c>
      <c r="I56" s="2">
        <v>19</v>
      </c>
      <c r="J56" s="2">
        <v>30</v>
      </c>
      <c r="K56" s="2">
        <v>2239</v>
      </c>
      <c r="L56" s="5" t="s">
        <v>11</v>
      </c>
      <c r="M56" s="5">
        <v>15</v>
      </c>
      <c r="N56" s="21" t="s">
        <v>101</v>
      </c>
    </row>
    <row r="57" spans="1:14" x14ac:dyDescent="0.3">
      <c r="A57" s="4" t="s">
        <v>19</v>
      </c>
      <c r="B57" s="4" t="s">
        <v>45</v>
      </c>
      <c r="C57" s="2">
        <v>46</v>
      </c>
      <c r="D57" s="2">
        <v>2</v>
      </c>
      <c r="E57" s="2">
        <v>3</v>
      </c>
      <c r="F57" s="2">
        <v>7</v>
      </c>
      <c r="G57" s="2">
        <v>6.1</v>
      </c>
      <c r="H57" s="2">
        <v>23.5</v>
      </c>
      <c r="I57" s="2">
        <v>19.5</v>
      </c>
      <c r="J57" s="2">
        <v>30</v>
      </c>
      <c r="K57" s="2">
        <v>2239</v>
      </c>
      <c r="L57" s="5" t="s">
        <v>11</v>
      </c>
      <c r="M57" s="5">
        <v>15</v>
      </c>
      <c r="N57" s="21" t="s">
        <v>101</v>
      </c>
    </row>
    <row r="58" spans="1:14" x14ac:dyDescent="0.3">
      <c r="A58" s="4" t="s">
        <v>19</v>
      </c>
      <c r="B58" s="4" t="s">
        <v>48</v>
      </c>
      <c r="C58" s="2">
        <v>55</v>
      </c>
      <c r="D58" s="2">
        <v>2</v>
      </c>
      <c r="E58" s="2">
        <v>3</v>
      </c>
      <c r="F58" s="2">
        <v>8</v>
      </c>
      <c r="G58" s="2">
        <v>6.1</v>
      </c>
      <c r="H58" s="2">
        <v>38.4</v>
      </c>
      <c r="I58" s="2">
        <v>26.3</v>
      </c>
      <c r="J58" s="2">
        <v>27.1</v>
      </c>
      <c r="K58" s="2">
        <v>1485</v>
      </c>
      <c r="L58" s="5" t="s">
        <v>11</v>
      </c>
      <c r="M58" s="5">
        <v>18</v>
      </c>
      <c r="N58" s="21" t="s">
        <v>89</v>
      </c>
    </row>
    <row r="59" spans="1:14" x14ac:dyDescent="0.3">
      <c r="A59" s="4" t="s">
        <v>19</v>
      </c>
      <c r="B59" s="4" t="s">
        <v>48</v>
      </c>
      <c r="C59" s="2">
        <v>15</v>
      </c>
      <c r="D59" s="2">
        <v>0</v>
      </c>
      <c r="E59" s="2">
        <v>1</v>
      </c>
      <c r="F59" s="2">
        <v>2</v>
      </c>
      <c r="G59" s="2">
        <v>6.1</v>
      </c>
      <c r="H59" s="2">
        <v>36.6</v>
      </c>
      <c r="I59" s="2">
        <v>23.6</v>
      </c>
      <c r="J59" s="2">
        <v>27.1</v>
      </c>
      <c r="K59" s="2">
        <v>1485</v>
      </c>
      <c r="L59" s="5" t="s">
        <v>11</v>
      </c>
      <c r="M59" s="5">
        <v>18</v>
      </c>
      <c r="N59" s="21" t="s">
        <v>98</v>
      </c>
    </row>
    <row r="60" spans="1:14" x14ac:dyDescent="0.3">
      <c r="A60" s="4" t="s">
        <v>19</v>
      </c>
      <c r="B60" s="4" t="s">
        <v>48</v>
      </c>
      <c r="C60" s="2">
        <v>45</v>
      </c>
      <c r="D60" s="2">
        <v>2</v>
      </c>
      <c r="E60" s="2">
        <v>3</v>
      </c>
      <c r="F60" s="2">
        <v>7</v>
      </c>
      <c r="G60" s="2">
        <v>6.2</v>
      </c>
      <c r="H60" s="2">
        <v>31.3</v>
      </c>
      <c r="I60" s="2">
        <v>22.3</v>
      </c>
      <c r="J60" s="2">
        <v>26.8</v>
      </c>
      <c r="K60" s="2">
        <v>1406</v>
      </c>
      <c r="L60" s="5" t="s">
        <v>11</v>
      </c>
      <c r="M60" s="5">
        <v>18</v>
      </c>
      <c r="N60" s="21" t="s">
        <v>88</v>
      </c>
    </row>
    <row r="61" spans="1:14" x14ac:dyDescent="0.3">
      <c r="A61" s="4" t="s">
        <v>19</v>
      </c>
      <c r="B61" s="4" t="s">
        <v>48</v>
      </c>
      <c r="C61" s="2">
        <v>81</v>
      </c>
      <c r="D61" s="2">
        <v>4</v>
      </c>
      <c r="E61" s="2">
        <v>5</v>
      </c>
      <c r="F61" s="2">
        <v>12</v>
      </c>
      <c r="G61" s="2">
        <v>5.8</v>
      </c>
      <c r="H61" s="2">
        <v>30</v>
      </c>
      <c r="I61" s="2">
        <v>25.2</v>
      </c>
      <c r="J61" s="2">
        <v>26.8</v>
      </c>
      <c r="K61" s="2">
        <v>1406</v>
      </c>
      <c r="L61" s="5" t="s">
        <v>11</v>
      </c>
      <c r="M61" s="5">
        <v>18</v>
      </c>
      <c r="N61" s="21" t="s">
        <v>89</v>
      </c>
    </row>
    <row r="62" spans="1:14" x14ac:dyDescent="0.3">
      <c r="A62" s="4" t="s">
        <v>19</v>
      </c>
      <c r="B62" s="4" t="s">
        <v>48</v>
      </c>
      <c r="C62" s="2">
        <v>18</v>
      </c>
      <c r="D62" s="2">
        <v>0</v>
      </c>
      <c r="E62" s="2">
        <v>1</v>
      </c>
      <c r="F62" s="2">
        <v>2</v>
      </c>
      <c r="G62" s="2">
        <v>6.2</v>
      </c>
      <c r="H62" s="2">
        <v>32.5</v>
      </c>
      <c r="I62" s="2">
        <v>24.1</v>
      </c>
      <c r="J62" s="2">
        <v>26.2</v>
      </c>
      <c r="K62" s="2">
        <v>1382</v>
      </c>
      <c r="L62" s="5" t="s">
        <v>11</v>
      </c>
      <c r="M62" s="5">
        <v>7</v>
      </c>
      <c r="N62" s="21" t="s">
        <v>89</v>
      </c>
    </row>
    <row r="63" spans="1:14" x14ac:dyDescent="0.3">
      <c r="A63" s="4" t="s">
        <v>19</v>
      </c>
      <c r="B63" s="4" t="s">
        <v>48</v>
      </c>
      <c r="C63" s="2">
        <v>24</v>
      </c>
      <c r="D63" s="2">
        <v>1</v>
      </c>
      <c r="E63" s="2">
        <v>1</v>
      </c>
      <c r="F63" s="2">
        <v>3</v>
      </c>
      <c r="G63" s="2">
        <v>6.1</v>
      </c>
      <c r="H63" s="2">
        <v>30.3</v>
      </c>
      <c r="I63" s="2">
        <v>24.8</v>
      </c>
      <c r="J63" s="2">
        <v>26.2</v>
      </c>
      <c r="K63" s="2">
        <v>1382</v>
      </c>
      <c r="L63" s="5" t="s">
        <v>11</v>
      </c>
      <c r="M63" s="5">
        <v>7</v>
      </c>
      <c r="N63" s="21" t="s">
        <v>96</v>
      </c>
    </row>
    <row r="64" spans="1:14" x14ac:dyDescent="0.3">
      <c r="A64" s="3" t="s">
        <v>20</v>
      </c>
      <c r="B64" s="4" t="s">
        <v>50</v>
      </c>
      <c r="C64" s="2">
        <v>75</v>
      </c>
      <c r="D64" s="2">
        <v>3</v>
      </c>
      <c r="E64" s="2">
        <v>5</v>
      </c>
      <c r="F64" s="2">
        <v>12</v>
      </c>
      <c r="G64" s="2">
        <v>6.6</v>
      </c>
      <c r="H64" s="2">
        <v>15.7</v>
      </c>
      <c r="I64" s="2">
        <v>26.3</v>
      </c>
      <c r="J64" s="2">
        <v>25.1</v>
      </c>
      <c r="K64" s="2">
        <v>682</v>
      </c>
      <c r="L64" s="5" t="s">
        <v>11</v>
      </c>
      <c r="M64" s="5">
        <v>25</v>
      </c>
      <c r="N64" s="17" t="s">
        <v>88</v>
      </c>
    </row>
    <row r="65" spans="1:14" x14ac:dyDescent="0.3">
      <c r="A65" s="3" t="s">
        <v>20</v>
      </c>
      <c r="B65" s="4" t="s">
        <v>50</v>
      </c>
      <c r="C65" s="2">
        <v>128</v>
      </c>
      <c r="D65" s="2">
        <v>6</v>
      </c>
      <c r="E65" s="2">
        <v>8</v>
      </c>
      <c r="F65" s="2">
        <v>20</v>
      </c>
      <c r="G65" s="2">
        <v>6.1</v>
      </c>
      <c r="H65" s="2">
        <v>18.3</v>
      </c>
      <c r="I65" s="2">
        <v>24.7</v>
      </c>
      <c r="J65" s="2">
        <v>25.1</v>
      </c>
      <c r="K65" s="2">
        <v>682</v>
      </c>
      <c r="L65" s="5" t="s">
        <v>11</v>
      </c>
      <c r="M65" s="5">
        <v>25</v>
      </c>
      <c r="N65" s="17" t="s">
        <v>97</v>
      </c>
    </row>
    <row r="66" spans="1:14" x14ac:dyDescent="0.3">
      <c r="A66" s="3" t="s">
        <v>20</v>
      </c>
      <c r="B66" s="4" t="s">
        <v>50</v>
      </c>
      <c r="C66" s="2">
        <v>10.199999999999999</v>
      </c>
      <c r="D66" s="2">
        <v>5</v>
      </c>
      <c r="E66" s="2">
        <v>7</v>
      </c>
      <c r="F66" s="2">
        <v>16</v>
      </c>
      <c r="G66" s="2">
        <v>6.3</v>
      </c>
      <c r="H66" s="2">
        <v>29.6</v>
      </c>
      <c r="I66" s="2">
        <v>24.5</v>
      </c>
      <c r="J66" s="2">
        <v>25.1</v>
      </c>
      <c r="K66" s="2">
        <v>682</v>
      </c>
      <c r="L66" s="5" t="s">
        <v>11</v>
      </c>
      <c r="M66" s="5">
        <v>25</v>
      </c>
      <c r="N66" s="17" t="s">
        <v>89</v>
      </c>
    </row>
    <row r="67" spans="1:14" x14ac:dyDescent="0.3">
      <c r="A67" s="3" t="s">
        <v>20</v>
      </c>
      <c r="B67" s="4" t="s">
        <v>50</v>
      </c>
      <c r="C67" s="2">
        <v>97</v>
      </c>
      <c r="D67" s="2">
        <v>4</v>
      </c>
      <c r="E67" s="2">
        <v>6</v>
      </c>
      <c r="F67" s="2">
        <v>15</v>
      </c>
      <c r="G67" s="2">
        <v>5.8</v>
      </c>
      <c r="H67" s="2">
        <v>35.1</v>
      </c>
      <c r="I67" s="2">
        <v>24.5</v>
      </c>
      <c r="J67" s="2">
        <v>25.1</v>
      </c>
      <c r="K67" s="2">
        <v>682</v>
      </c>
      <c r="L67" s="5" t="s">
        <v>11</v>
      </c>
      <c r="M67" s="5">
        <v>25</v>
      </c>
      <c r="N67" s="17" t="s">
        <v>97</v>
      </c>
    </row>
    <row r="68" spans="1:14" x14ac:dyDescent="0.3">
      <c r="A68" s="4" t="s">
        <v>22</v>
      </c>
      <c r="B68" s="4" t="s">
        <v>53</v>
      </c>
      <c r="C68" s="2">
        <v>73</v>
      </c>
      <c r="D68" s="2">
        <v>3</v>
      </c>
      <c r="E68" s="2">
        <v>5</v>
      </c>
      <c r="F68" s="2">
        <v>11</v>
      </c>
      <c r="G68" s="2">
        <v>6.3</v>
      </c>
      <c r="H68" s="2">
        <v>65.099999999999994</v>
      </c>
      <c r="I68" s="2">
        <v>20.399999999999999</v>
      </c>
      <c r="J68" s="2">
        <v>20.9</v>
      </c>
      <c r="K68" s="2">
        <v>1519</v>
      </c>
      <c r="L68" s="5" t="s">
        <v>11</v>
      </c>
      <c r="M68" s="5">
        <v>18</v>
      </c>
      <c r="N68" s="21" t="s">
        <v>88</v>
      </c>
    </row>
    <row r="69" spans="1:14" x14ac:dyDescent="0.3">
      <c r="A69" s="4" t="s">
        <v>22</v>
      </c>
      <c r="B69" s="4" t="s">
        <v>53</v>
      </c>
      <c r="C69" s="2">
        <v>44</v>
      </c>
      <c r="D69" s="2">
        <v>2</v>
      </c>
      <c r="E69" s="2">
        <v>3</v>
      </c>
      <c r="F69" s="2">
        <v>7</v>
      </c>
      <c r="G69" s="2">
        <v>5.9</v>
      </c>
      <c r="H69" s="2">
        <v>22.7</v>
      </c>
      <c r="I69" s="2">
        <v>20.9</v>
      </c>
      <c r="J69" s="2">
        <v>20.9</v>
      </c>
      <c r="K69" s="2">
        <v>1518</v>
      </c>
      <c r="L69" s="5" t="s">
        <v>11</v>
      </c>
      <c r="M69" s="5">
        <v>18</v>
      </c>
      <c r="N69" s="23" t="s">
        <v>88</v>
      </c>
    </row>
    <row r="70" spans="1:14" x14ac:dyDescent="0.3">
      <c r="A70" s="4" t="s">
        <v>22</v>
      </c>
      <c r="B70" s="4" t="s">
        <v>53</v>
      </c>
      <c r="C70" s="2">
        <v>252</v>
      </c>
      <c r="D70" s="2">
        <v>12</v>
      </c>
      <c r="E70" s="2">
        <v>17</v>
      </c>
      <c r="F70" s="2">
        <v>40</v>
      </c>
      <c r="G70" s="2">
        <v>5.4</v>
      </c>
      <c r="H70" s="2">
        <v>29.4</v>
      </c>
      <c r="I70" s="2">
        <v>20.3</v>
      </c>
      <c r="J70" s="2">
        <v>18.5</v>
      </c>
      <c r="K70" s="2">
        <v>1551</v>
      </c>
      <c r="L70" s="5" t="s">
        <v>11</v>
      </c>
      <c r="M70" s="5">
        <v>25</v>
      </c>
      <c r="N70" s="23" t="s">
        <v>89</v>
      </c>
    </row>
    <row r="71" spans="1:14" x14ac:dyDescent="0.3">
      <c r="A71" s="4" t="s">
        <v>22</v>
      </c>
      <c r="B71" s="4" t="s">
        <v>53</v>
      </c>
      <c r="C71" s="2">
        <v>256</v>
      </c>
      <c r="D71" s="2">
        <v>12</v>
      </c>
      <c r="E71" s="2">
        <v>18</v>
      </c>
      <c r="F71" s="2">
        <v>41</v>
      </c>
      <c r="G71" s="2">
        <v>5.2</v>
      </c>
      <c r="H71" s="2">
        <v>28.6</v>
      </c>
      <c r="I71" s="2">
        <v>20.2</v>
      </c>
      <c r="J71" s="2">
        <v>18.5</v>
      </c>
      <c r="K71" s="2">
        <v>1551</v>
      </c>
      <c r="L71" s="5" t="s">
        <v>11</v>
      </c>
      <c r="M71" s="5">
        <v>25</v>
      </c>
      <c r="N71" s="23" t="s">
        <v>89</v>
      </c>
    </row>
    <row r="72" spans="1:14" x14ac:dyDescent="0.3">
      <c r="A72" s="4" t="s">
        <v>22</v>
      </c>
      <c r="B72" s="4" t="s">
        <v>53</v>
      </c>
      <c r="C72" s="2">
        <v>84</v>
      </c>
      <c r="D72" s="2">
        <v>4</v>
      </c>
      <c r="E72" s="2">
        <v>5</v>
      </c>
      <c r="F72" s="2">
        <v>13</v>
      </c>
      <c r="G72" s="2">
        <v>5.4</v>
      </c>
      <c r="H72" s="2">
        <v>57</v>
      </c>
      <c r="I72" s="2">
        <v>19.100000000000001</v>
      </c>
      <c r="J72" s="2">
        <v>20.6</v>
      </c>
      <c r="K72" s="2">
        <v>1618</v>
      </c>
      <c r="L72" s="5" t="s">
        <v>11</v>
      </c>
      <c r="M72" s="5">
        <v>8</v>
      </c>
      <c r="N72" s="23" t="s">
        <v>88</v>
      </c>
    </row>
    <row r="73" spans="1:14" x14ac:dyDescent="0.3">
      <c r="A73" s="4" t="s">
        <v>22</v>
      </c>
      <c r="B73" s="4" t="s">
        <v>53</v>
      </c>
      <c r="C73" s="2">
        <v>371</v>
      </c>
      <c r="D73" s="2">
        <v>18</v>
      </c>
      <c r="E73" s="2">
        <v>26</v>
      </c>
      <c r="F73" s="2">
        <v>60</v>
      </c>
      <c r="G73" s="2">
        <v>4.5999999999999996</v>
      </c>
      <c r="H73" s="2">
        <v>48.6</v>
      </c>
      <c r="I73" s="2">
        <v>19.899999999999999</v>
      </c>
      <c r="J73" s="2">
        <v>20.6</v>
      </c>
      <c r="K73" s="2">
        <v>1618</v>
      </c>
      <c r="L73" s="5" t="s">
        <v>11</v>
      </c>
      <c r="M73" s="5">
        <v>8</v>
      </c>
      <c r="N73" s="23" t="s">
        <v>88</v>
      </c>
    </row>
    <row r="74" spans="1:14" x14ac:dyDescent="0.3">
      <c r="A74" s="4" t="s">
        <v>22</v>
      </c>
      <c r="B74" s="4" t="s">
        <v>53</v>
      </c>
      <c r="C74" s="2">
        <v>91</v>
      </c>
      <c r="D74" s="2">
        <v>4</v>
      </c>
      <c r="E74" s="2">
        <v>6</v>
      </c>
      <c r="F74" s="2">
        <v>14</v>
      </c>
      <c r="G74" s="2">
        <v>6.2</v>
      </c>
      <c r="H74" s="2">
        <v>34.799999999999997</v>
      </c>
      <c r="I74" s="2">
        <v>21.5</v>
      </c>
      <c r="J74" s="2">
        <v>20</v>
      </c>
      <c r="K74" s="2">
        <v>1558</v>
      </c>
      <c r="L74" s="5" t="s">
        <v>11</v>
      </c>
      <c r="M74" s="5">
        <v>40</v>
      </c>
      <c r="N74" s="23" t="s">
        <v>88</v>
      </c>
    </row>
    <row r="75" spans="1:14" x14ac:dyDescent="0.3">
      <c r="A75" s="4" t="s">
        <v>22</v>
      </c>
      <c r="B75" s="4" t="s">
        <v>53</v>
      </c>
      <c r="C75" s="2">
        <v>72</v>
      </c>
      <c r="D75" s="2">
        <v>3</v>
      </c>
      <c r="E75" s="2">
        <v>5</v>
      </c>
      <c r="F75" s="2">
        <v>11</v>
      </c>
      <c r="G75" s="2">
        <v>6.6</v>
      </c>
      <c r="H75" s="2">
        <v>27.4</v>
      </c>
      <c r="I75" s="2">
        <v>21.2</v>
      </c>
      <c r="J75" s="2">
        <v>20</v>
      </c>
      <c r="K75" s="2">
        <v>1558</v>
      </c>
      <c r="L75" s="5" t="s">
        <v>11</v>
      </c>
      <c r="M75" s="5">
        <v>40</v>
      </c>
      <c r="N75" s="23" t="s">
        <v>92</v>
      </c>
    </row>
    <row r="76" spans="1:14" x14ac:dyDescent="0.3">
      <c r="A76" s="4" t="s">
        <v>22</v>
      </c>
      <c r="B76" s="4" t="s">
        <v>54</v>
      </c>
      <c r="C76" s="2">
        <v>67</v>
      </c>
      <c r="D76" s="2">
        <v>3</v>
      </c>
      <c r="E76" s="2">
        <v>4</v>
      </c>
      <c r="F76" s="2">
        <v>10</v>
      </c>
      <c r="G76" s="2">
        <v>5.8</v>
      </c>
      <c r="H76" s="2">
        <v>31.2</v>
      </c>
      <c r="I76" s="2">
        <v>20</v>
      </c>
      <c r="J76" s="2">
        <v>20</v>
      </c>
      <c r="K76" s="2">
        <v>1535</v>
      </c>
      <c r="L76" s="5" t="s">
        <v>11</v>
      </c>
      <c r="M76" s="5">
        <v>25</v>
      </c>
      <c r="N76" s="23" t="s">
        <v>88</v>
      </c>
    </row>
    <row r="77" spans="1:14" x14ac:dyDescent="0.3">
      <c r="A77" s="4" t="s">
        <v>22</v>
      </c>
      <c r="B77" s="4" t="s">
        <v>54</v>
      </c>
      <c r="C77" s="2">
        <v>33</v>
      </c>
      <c r="D77" s="2">
        <v>1</v>
      </c>
      <c r="E77" s="2">
        <v>2</v>
      </c>
      <c r="F77" s="2">
        <v>5</v>
      </c>
      <c r="G77" s="2">
        <v>6.1</v>
      </c>
      <c r="H77" s="2">
        <v>32.4</v>
      </c>
      <c r="I77" s="2">
        <v>20.5</v>
      </c>
      <c r="J77" s="2">
        <v>20</v>
      </c>
      <c r="K77" s="2">
        <v>1535</v>
      </c>
      <c r="L77" s="5" t="s">
        <v>11</v>
      </c>
      <c r="M77" s="5">
        <v>25</v>
      </c>
      <c r="N77" s="23" t="s">
        <v>92</v>
      </c>
    </row>
    <row r="78" spans="1:14" x14ac:dyDescent="0.3">
      <c r="A78" s="3" t="s">
        <v>22</v>
      </c>
      <c r="B78" s="4" t="s">
        <v>55</v>
      </c>
      <c r="C78" s="2">
        <v>134</v>
      </c>
      <c r="D78" s="2">
        <v>6</v>
      </c>
      <c r="E78" s="2">
        <v>9</v>
      </c>
      <c r="F78" s="2">
        <v>21</v>
      </c>
      <c r="G78" s="2">
        <v>5.5</v>
      </c>
      <c r="H78" s="2">
        <v>56</v>
      </c>
      <c r="I78" s="2">
        <v>28</v>
      </c>
      <c r="J78" s="2">
        <v>25</v>
      </c>
      <c r="K78" s="2">
        <v>749</v>
      </c>
      <c r="L78" s="5" t="s">
        <v>12</v>
      </c>
      <c r="M78" s="5"/>
      <c r="N78" s="23" t="s">
        <v>93</v>
      </c>
    </row>
    <row r="79" spans="1:14" x14ac:dyDescent="0.3">
      <c r="A79" s="3" t="s">
        <v>24</v>
      </c>
      <c r="B79" s="4" t="s">
        <v>57</v>
      </c>
      <c r="C79" s="2">
        <v>54</v>
      </c>
      <c r="D79" s="2">
        <v>2</v>
      </c>
      <c r="E79" s="2">
        <v>3</v>
      </c>
      <c r="F79" s="2">
        <v>8</v>
      </c>
      <c r="G79" s="2">
        <v>6.4</v>
      </c>
      <c r="H79" s="2">
        <v>33.5</v>
      </c>
      <c r="I79" s="2">
        <v>21.7</v>
      </c>
      <c r="J79" s="2">
        <v>20</v>
      </c>
      <c r="K79" s="2">
        <v>1251</v>
      </c>
      <c r="L79" s="5" t="s">
        <v>11</v>
      </c>
      <c r="M79" s="5">
        <v>18</v>
      </c>
      <c r="N79" s="21" t="s">
        <v>92</v>
      </c>
    </row>
    <row r="80" spans="1:14" x14ac:dyDescent="0.3">
      <c r="A80" s="3" t="s">
        <v>24</v>
      </c>
      <c r="B80" s="4" t="s">
        <v>57</v>
      </c>
      <c r="C80" s="2">
        <v>21</v>
      </c>
      <c r="D80" s="2">
        <v>1</v>
      </c>
      <c r="E80" s="2">
        <v>1</v>
      </c>
      <c r="F80" s="2">
        <v>3</v>
      </c>
      <c r="G80" s="2">
        <v>6.2</v>
      </c>
      <c r="H80" s="2">
        <v>29.5</v>
      </c>
      <c r="I80" s="2">
        <v>22.5</v>
      </c>
      <c r="J80" s="2">
        <v>20</v>
      </c>
      <c r="K80" s="2">
        <v>1251</v>
      </c>
      <c r="L80" s="5" t="s">
        <v>11</v>
      </c>
      <c r="M80" s="5">
        <v>30</v>
      </c>
      <c r="N80" s="23" t="s">
        <v>89</v>
      </c>
    </row>
    <row r="81" spans="1:14" x14ac:dyDescent="0.3">
      <c r="A81" s="3" t="s">
        <v>24</v>
      </c>
      <c r="B81" s="4" t="s">
        <v>57</v>
      </c>
      <c r="C81" s="2">
        <v>21</v>
      </c>
      <c r="D81" s="2">
        <v>1</v>
      </c>
      <c r="E81" s="2">
        <v>1</v>
      </c>
      <c r="F81" s="2">
        <v>3</v>
      </c>
      <c r="G81" s="2">
        <v>6.3</v>
      </c>
      <c r="H81" s="2">
        <v>49.2</v>
      </c>
      <c r="I81" s="2">
        <v>22.4</v>
      </c>
      <c r="J81" s="2">
        <v>21</v>
      </c>
      <c r="K81" s="2">
        <v>1284</v>
      </c>
      <c r="L81" s="5" t="s">
        <v>11</v>
      </c>
      <c r="M81" s="5">
        <v>30</v>
      </c>
      <c r="N81" s="23" t="s">
        <v>89</v>
      </c>
    </row>
    <row r="82" spans="1:14" x14ac:dyDescent="0.3">
      <c r="A82" s="3" t="s">
        <v>24</v>
      </c>
      <c r="B82" s="4" t="s">
        <v>57</v>
      </c>
      <c r="C82" s="2">
        <v>26</v>
      </c>
      <c r="D82" s="2">
        <v>1</v>
      </c>
      <c r="E82" s="2">
        <v>1</v>
      </c>
      <c r="F82" s="2">
        <v>4</v>
      </c>
      <c r="G82" s="2">
        <v>6.9</v>
      </c>
      <c r="H82" s="2">
        <v>54.2</v>
      </c>
      <c r="I82" s="2">
        <v>21.1</v>
      </c>
      <c r="J82" s="2">
        <v>21</v>
      </c>
      <c r="K82" s="2">
        <v>1284</v>
      </c>
      <c r="L82" s="5" t="s">
        <v>11</v>
      </c>
      <c r="M82" s="5">
        <v>18</v>
      </c>
      <c r="N82" s="21" t="s">
        <v>92</v>
      </c>
    </row>
    <row r="83" spans="1:14" x14ac:dyDescent="0.3">
      <c r="A83" s="3" t="s">
        <v>24</v>
      </c>
      <c r="B83" s="4" t="s">
        <v>58</v>
      </c>
      <c r="C83" s="2">
        <v>346</v>
      </c>
      <c r="D83" s="2">
        <v>17</v>
      </c>
      <c r="E83" s="2">
        <v>24</v>
      </c>
      <c r="F83" s="2">
        <v>55</v>
      </c>
      <c r="G83" s="2">
        <v>6.3</v>
      </c>
      <c r="H83" s="2">
        <v>34</v>
      </c>
      <c r="I83" s="2">
        <v>25.6</v>
      </c>
      <c r="J83" s="2">
        <v>22</v>
      </c>
      <c r="K83" s="2">
        <v>1340</v>
      </c>
      <c r="L83" s="5" t="s">
        <v>11</v>
      </c>
      <c r="M83" s="5">
        <v>20</v>
      </c>
      <c r="N83" s="21" t="s">
        <v>89</v>
      </c>
    </row>
    <row r="84" spans="1:14" x14ac:dyDescent="0.3">
      <c r="A84" s="3" t="s">
        <v>24</v>
      </c>
      <c r="B84" s="4" t="s">
        <v>58</v>
      </c>
      <c r="C84" s="2">
        <v>182</v>
      </c>
      <c r="D84" s="2">
        <v>9</v>
      </c>
      <c r="E84" s="2">
        <v>12</v>
      </c>
      <c r="F84" s="2">
        <v>29</v>
      </c>
      <c r="G84" s="2">
        <v>6.2</v>
      </c>
      <c r="H84" s="2">
        <v>37</v>
      </c>
      <c r="I84" s="2">
        <v>24.4</v>
      </c>
      <c r="J84" s="2">
        <v>22</v>
      </c>
      <c r="K84" s="2">
        <v>1340</v>
      </c>
      <c r="L84" s="5" t="s">
        <v>11</v>
      </c>
      <c r="M84" s="5">
        <v>20</v>
      </c>
      <c r="N84" s="23" t="s">
        <v>89</v>
      </c>
    </row>
    <row r="85" spans="1:14" x14ac:dyDescent="0.3">
      <c r="A85" s="3" t="s">
        <v>24</v>
      </c>
      <c r="B85" s="4" t="s">
        <v>58</v>
      </c>
      <c r="C85" s="2">
        <v>52</v>
      </c>
      <c r="D85" s="2">
        <v>2</v>
      </c>
      <c r="E85" s="2">
        <v>3</v>
      </c>
      <c r="F85" s="2">
        <v>8</v>
      </c>
      <c r="G85" s="2">
        <v>6</v>
      </c>
      <c r="H85" s="2">
        <v>27.1</v>
      </c>
      <c r="I85" s="2">
        <v>24.4</v>
      </c>
      <c r="J85" s="2">
        <v>23</v>
      </c>
      <c r="K85" s="2">
        <v>1466</v>
      </c>
      <c r="L85" s="5" t="s">
        <v>11</v>
      </c>
      <c r="M85" s="5">
        <v>30</v>
      </c>
      <c r="N85" s="23" t="s">
        <v>94</v>
      </c>
    </row>
    <row r="86" spans="1:14" x14ac:dyDescent="0.3">
      <c r="A86" s="3" t="s">
        <v>24</v>
      </c>
      <c r="B86" s="4" t="s">
        <v>58</v>
      </c>
      <c r="C86" s="2">
        <v>75</v>
      </c>
      <c r="D86" s="2">
        <v>3</v>
      </c>
      <c r="E86" s="2">
        <v>5</v>
      </c>
      <c r="F86" s="2">
        <v>12</v>
      </c>
      <c r="G86" s="2">
        <v>6.1</v>
      </c>
      <c r="H86" s="2">
        <v>45.8</v>
      </c>
      <c r="I86" s="2">
        <v>24.9</v>
      </c>
      <c r="J86" s="2">
        <v>23</v>
      </c>
      <c r="K86" s="2">
        <v>1466</v>
      </c>
      <c r="L86" s="5" t="s">
        <v>11</v>
      </c>
      <c r="M86" s="5">
        <v>30</v>
      </c>
      <c r="N86" s="23" t="s">
        <v>94</v>
      </c>
    </row>
    <row r="87" spans="1:14" x14ac:dyDescent="0.3">
      <c r="A87" s="3" t="s">
        <v>24</v>
      </c>
      <c r="B87" s="4" t="s">
        <v>59</v>
      </c>
      <c r="C87" s="2">
        <v>34</v>
      </c>
      <c r="D87" s="2">
        <v>1</v>
      </c>
      <c r="E87" s="2">
        <v>2</v>
      </c>
      <c r="F87" s="2">
        <v>5</v>
      </c>
      <c r="G87" s="2">
        <v>6.3</v>
      </c>
      <c r="H87" s="2">
        <v>21.8</v>
      </c>
      <c r="I87" s="2">
        <v>24.6</v>
      </c>
      <c r="J87" s="2">
        <v>20</v>
      </c>
      <c r="K87" s="2">
        <v>1265</v>
      </c>
      <c r="L87" s="5" t="s">
        <v>11</v>
      </c>
      <c r="M87" s="5">
        <v>45</v>
      </c>
      <c r="N87" s="23" t="s">
        <v>92</v>
      </c>
    </row>
    <row r="88" spans="1:14" x14ac:dyDescent="0.3">
      <c r="A88" s="3" t="s">
        <v>24</v>
      </c>
      <c r="B88" s="4" t="s">
        <v>59</v>
      </c>
      <c r="C88" s="2">
        <v>32</v>
      </c>
      <c r="D88" s="2">
        <v>1</v>
      </c>
      <c r="E88" s="2">
        <v>2</v>
      </c>
      <c r="F88" s="2">
        <v>5</v>
      </c>
      <c r="G88" s="2">
        <v>6.2</v>
      </c>
      <c r="H88" s="2">
        <v>20.3</v>
      </c>
      <c r="I88" s="2">
        <v>24.6</v>
      </c>
      <c r="J88" s="2">
        <v>20</v>
      </c>
      <c r="K88" s="2">
        <v>1265</v>
      </c>
      <c r="L88" s="5" t="s">
        <v>11</v>
      </c>
      <c r="M88" s="5">
        <v>45</v>
      </c>
      <c r="N88" s="23" t="s">
        <v>92</v>
      </c>
    </row>
    <row r="89" spans="1:14" x14ac:dyDescent="0.3">
      <c r="A89" s="3" t="s">
        <v>24</v>
      </c>
      <c r="B89" s="4" t="s">
        <v>60</v>
      </c>
      <c r="C89" s="2">
        <v>74</v>
      </c>
      <c r="D89" s="2">
        <v>3</v>
      </c>
      <c r="E89" s="2">
        <v>5</v>
      </c>
      <c r="F89" s="2">
        <v>12</v>
      </c>
      <c r="G89" s="2">
        <v>6.2</v>
      </c>
      <c r="H89" s="2">
        <v>34.5</v>
      </c>
      <c r="I89" s="2">
        <v>26.2</v>
      </c>
      <c r="J89" s="2">
        <v>22</v>
      </c>
      <c r="K89" s="2">
        <v>1349</v>
      </c>
      <c r="L89" s="5" t="s">
        <v>11</v>
      </c>
      <c r="M89" s="5">
        <v>25</v>
      </c>
      <c r="N89" s="23" t="s">
        <v>94</v>
      </c>
    </row>
    <row r="90" spans="1:14" x14ac:dyDescent="0.3">
      <c r="A90" s="3" t="s">
        <v>24</v>
      </c>
      <c r="B90" s="4" t="s">
        <v>60</v>
      </c>
      <c r="C90" s="2">
        <v>48</v>
      </c>
      <c r="D90" s="2">
        <v>2</v>
      </c>
      <c r="E90" s="2">
        <v>3</v>
      </c>
      <c r="F90" s="2">
        <v>7</v>
      </c>
      <c r="G90" s="2">
        <v>7.5</v>
      </c>
      <c r="H90" s="2">
        <v>44.9</v>
      </c>
      <c r="I90" s="2">
        <v>30.5</v>
      </c>
      <c r="J90" s="2">
        <v>22</v>
      </c>
      <c r="K90" s="2">
        <v>1349</v>
      </c>
      <c r="L90" s="5" t="s">
        <v>11</v>
      </c>
      <c r="M90" s="5">
        <v>25</v>
      </c>
      <c r="N90" s="23" t="s">
        <v>94</v>
      </c>
    </row>
    <row r="91" spans="1:14" x14ac:dyDescent="0.3">
      <c r="A91" s="3" t="s">
        <v>24</v>
      </c>
      <c r="B91" s="4" t="s">
        <v>61</v>
      </c>
      <c r="C91" s="2">
        <v>23</v>
      </c>
      <c r="D91" s="2">
        <v>1</v>
      </c>
      <c r="E91" s="2">
        <v>1</v>
      </c>
      <c r="F91" s="2">
        <v>3</v>
      </c>
      <c r="G91" s="2">
        <v>6.3</v>
      </c>
      <c r="H91" s="2">
        <v>33.700000000000003</v>
      </c>
      <c r="I91" s="2">
        <v>18.3</v>
      </c>
      <c r="J91" s="2">
        <v>16</v>
      </c>
      <c r="K91" s="2">
        <v>1753</v>
      </c>
      <c r="L91" s="5" t="s">
        <v>11</v>
      </c>
      <c r="M91" s="5">
        <v>30</v>
      </c>
      <c r="N91" s="23" t="s">
        <v>94</v>
      </c>
    </row>
    <row r="92" spans="1:14" x14ac:dyDescent="0.3">
      <c r="A92" s="3" t="s">
        <v>24</v>
      </c>
      <c r="B92" s="4" t="s">
        <v>61</v>
      </c>
      <c r="C92" s="2">
        <v>7</v>
      </c>
      <c r="D92" s="2">
        <v>0</v>
      </c>
      <c r="E92" s="2">
        <v>0</v>
      </c>
      <c r="F92" s="2">
        <v>1</v>
      </c>
      <c r="G92" s="2">
        <v>6.2</v>
      </c>
      <c r="H92" s="2">
        <v>22.5</v>
      </c>
      <c r="I92" s="2">
        <v>18.8</v>
      </c>
      <c r="J92" s="2">
        <v>16</v>
      </c>
      <c r="K92" s="2">
        <v>1753</v>
      </c>
      <c r="L92" s="5" t="s">
        <v>11</v>
      </c>
      <c r="M92" s="5">
        <v>30</v>
      </c>
      <c r="N92" s="23" t="s">
        <v>88</v>
      </c>
    </row>
    <row r="93" spans="1:14" x14ac:dyDescent="0.3">
      <c r="A93" s="3" t="s">
        <v>24</v>
      </c>
      <c r="B93" s="4" t="s">
        <v>61</v>
      </c>
      <c r="C93" s="2">
        <v>84</v>
      </c>
      <c r="D93" s="2">
        <v>4</v>
      </c>
      <c r="E93" s="2">
        <v>5</v>
      </c>
      <c r="F93" s="2">
        <v>13</v>
      </c>
      <c r="G93" s="2">
        <v>6.2</v>
      </c>
      <c r="H93" s="2">
        <v>22.2</v>
      </c>
      <c r="I93" s="2">
        <v>20</v>
      </c>
      <c r="J93" s="2">
        <v>19</v>
      </c>
      <c r="K93" s="2">
        <v>1638.91</v>
      </c>
      <c r="L93" s="5" t="s">
        <v>11</v>
      </c>
      <c r="M93" s="5">
        <v>30</v>
      </c>
      <c r="N93" s="23" t="s">
        <v>94</v>
      </c>
    </row>
    <row r="94" spans="1:14" x14ac:dyDescent="0.3">
      <c r="A94" s="3" t="s">
        <v>24</v>
      </c>
      <c r="B94" s="4" t="s">
        <v>61</v>
      </c>
      <c r="C94" s="2">
        <v>72</v>
      </c>
      <c r="D94" s="2">
        <v>3</v>
      </c>
      <c r="E94" s="2">
        <v>5</v>
      </c>
      <c r="F94" s="2">
        <v>11</v>
      </c>
      <c r="G94" s="2">
        <v>6.3</v>
      </c>
      <c r="H94" s="2">
        <v>16.7</v>
      </c>
      <c r="I94" s="2">
        <v>20</v>
      </c>
      <c r="J94" s="2">
        <v>19</v>
      </c>
      <c r="K94" s="2">
        <v>1638.91</v>
      </c>
      <c r="L94" s="5" t="s">
        <v>11</v>
      </c>
      <c r="M94" s="5">
        <v>30</v>
      </c>
      <c r="N94" s="23" t="s">
        <v>92</v>
      </c>
    </row>
    <row r="95" spans="1:14" x14ac:dyDescent="0.3">
      <c r="A95" s="3" t="s">
        <v>24</v>
      </c>
      <c r="B95" s="4" t="s">
        <v>61</v>
      </c>
      <c r="C95" s="2">
        <v>11</v>
      </c>
      <c r="D95" s="2">
        <v>0</v>
      </c>
      <c r="E95" s="2">
        <v>0</v>
      </c>
      <c r="F95" s="2">
        <v>1</v>
      </c>
      <c r="G95" s="2">
        <v>6.4</v>
      </c>
      <c r="H95" s="2">
        <v>16</v>
      </c>
      <c r="I95" s="2">
        <v>22.1</v>
      </c>
      <c r="J95" s="2">
        <v>21</v>
      </c>
      <c r="K95" s="2">
        <v>1567.28</v>
      </c>
      <c r="L95" s="5" t="s">
        <v>11</v>
      </c>
      <c r="M95" s="5">
        <v>30</v>
      </c>
      <c r="N95" s="23" t="s">
        <v>94</v>
      </c>
    </row>
    <row r="96" spans="1:14" x14ac:dyDescent="0.3">
      <c r="A96" s="3" t="s">
        <v>24</v>
      </c>
      <c r="B96" s="4" t="s">
        <v>61</v>
      </c>
      <c r="C96" s="2">
        <v>62</v>
      </c>
      <c r="D96" s="2">
        <v>3</v>
      </c>
      <c r="E96" s="2">
        <v>4</v>
      </c>
      <c r="F96" s="2">
        <v>10</v>
      </c>
      <c r="G96" s="2">
        <v>6.2</v>
      </c>
      <c r="H96" s="2">
        <v>18.899999999999999</v>
      </c>
      <c r="I96" s="2">
        <v>22.9</v>
      </c>
      <c r="J96" s="2">
        <v>21</v>
      </c>
      <c r="K96" s="2">
        <v>1567.28</v>
      </c>
      <c r="L96" s="5" t="s">
        <v>11</v>
      </c>
      <c r="M96" s="5">
        <v>30</v>
      </c>
      <c r="N96" s="2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002E-0648-4151-8F7B-941925365D26}">
  <dimension ref="A1:M137"/>
  <sheetViews>
    <sheetView topLeftCell="A62" workbookViewId="0">
      <selection activeCell="P107" sqref="P107"/>
    </sheetView>
  </sheetViews>
  <sheetFormatPr defaultRowHeight="14.4" x14ac:dyDescent="0.3"/>
  <cols>
    <col min="1" max="1" width="13.33203125" customWidth="1"/>
    <col min="2" max="2" width="15" bestFit="1" customWidth="1"/>
    <col min="13" max="13" width="25.5546875" customWidth="1"/>
  </cols>
  <sheetData>
    <row r="1" spans="1:13" x14ac:dyDescent="0.3">
      <c r="A1" s="1" t="s">
        <v>14</v>
      </c>
      <c r="B1" s="1" t="s">
        <v>29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3">
      <c r="A2" s="3" t="s">
        <v>15</v>
      </c>
      <c r="B2" s="4" t="s">
        <v>30</v>
      </c>
      <c r="C2" s="2">
        <v>101</v>
      </c>
      <c r="D2" s="2">
        <v>5</v>
      </c>
      <c r="E2" s="2">
        <v>7</v>
      </c>
      <c r="F2" s="2">
        <v>16</v>
      </c>
      <c r="G2" s="2">
        <v>6.2</v>
      </c>
      <c r="H2" s="2">
        <v>26.9</v>
      </c>
      <c r="I2" s="2">
        <v>20.8</v>
      </c>
      <c r="J2" s="2">
        <v>28.1</v>
      </c>
      <c r="K2" s="2">
        <v>2002</v>
      </c>
      <c r="L2" s="5" t="s">
        <v>11</v>
      </c>
      <c r="M2" s="5">
        <v>30</v>
      </c>
    </row>
    <row r="3" spans="1:13" x14ac:dyDescent="0.3">
      <c r="A3" s="3" t="s">
        <v>15</v>
      </c>
      <c r="B3" s="4" t="s">
        <v>30</v>
      </c>
      <c r="C3" s="2">
        <v>41</v>
      </c>
      <c r="D3" s="2">
        <v>2</v>
      </c>
      <c r="E3" s="2">
        <v>2</v>
      </c>
      <c r="F3" s="2">
        <v>6</v>
      </c>
      <c r="G3" s="2">
        <v>6.3</v>
      </c>
      <c r="H3" s="2">
        <v>26.4</v>
      </c>
      <c r="I3" s="2">
        <v>19.899999999999999</v>
      </c>
      <c r="J3" s="2">
        <v>28.1</v>
      </c>
      <c r="K3" s="2">
        <v>2002</v>
      </c>
      <c r="L3" s="5" t="s">
        <v>11</v>
      </c>
      <c r="M3" s="5">
        <v>30</v>
      </c>
    </row>
    <row r="4" spans="1:13" x14ac:dyDescent="0.3">
      <c r="A4" s="3" t="s">
        <v>15</v>
      </c>
      <c r="B4" s="4" t="s">
        <v>31</v>
      </c>
      <c r="C4" s="2">
        <v>101</v>
      </c>
      <c r="D4" s="2">
        <v>5</v>
      </c>
      <c r="E4" s="2">
        <v>7</v>
      </c>
      <c r="F4" s="2">
        <v>16</v>
      </c>
      <c r="G4" s="2">
        <v>5.9</v>
      </c>
      <c r="H4" s="2">
        <v>53.7</v>
      </c>
      <c r="I4" s="2">
        <v>23.1</v>
      </c>
      <c r="J4" s="2">
        <v>27</v>
      </c>
      <c r="K4" s="2">
        <v>1823</v>
      </c>
      <c r="L4" s="5" t="s">
        <v>11</v>
      </c>
      <c r="M4" s="5">
        <v>25</v>
      </c>
    </row>
    <row r="5" spans="1:13" x14ac:dyDescent="0.3">
      <c r="A5" s="3" t="s">
        <v>15</v>
      </c>
      <c r="B5" s="4" t="s">
        <v>31</v>
      </c>
      <c r="C5" s="2">
        <v>118</v>
      </c>
      <c r="D5" s="2">
        <v>5</v>
      </c>
      <c r="E5" s="2">
        <v>8</v>
      </c>
      <c r="F5" s="2">
        <v>18</v>
      </c>
      <c r="G5" s="2">
        <v>5.5</v>
      </c>
      <c r="H5" s="2">
        <v>44.9</v>
      </c>
      <c r="I5" s="2">
        <v>21.8</v>
      </c>
      <c r="J5" s="2">
        <v>27</v>
      </c>
      <c r="K5" s="2">
        <v>1823</v>
      </c>
      <c r="L5" s="5" t="s">
        <v>11</v>
      </c>
      <c r="M5" s="5">
        <v>25</v>
      </c>
    </row>
    <row r="6" spans="1:13" x14ac:dyDescent="0.3">
      <c r="A6" s="3" t="s">
        <v>15</v>
      </c>
      <c r="B6" s="4" t="s">
        <v>32</v>
      </c>
      <c r="C6" s="2">
        <v>22</v>
      </c>
      <c r="D6" s="2">
        <v>1</v>
      </c>
      <c r="E6" s="2">
        <v>1</v>
      </c>
      <c r="F6" s="2">
        <v>3</v>
      </c>
      <c r="G6" s="2">
        <v>6.5</v>
      </c>
      <c r="H6" s="2">
        <v>37.799999999999997</v>
      </c>
      <c r="I6" s="2">
        <v>25.2</v>
      </c>
      <c r="J6" s="2">
        <v>20</v>
      </c>
      <c r="K6" s="2">
        <v>1612</v>
      </c>
      <c r="L6" s="5" t="s">
        <v>11</v>
      </c>
      <c r="M6" s="5">
        <v>25</v>
      </c>
    </row>
    <row r="7" spans="1:13" x14ac:dyDescent="0.3">
      <c r="A7" s="3" t="s">
        <v>15</v>
      </c>
      <c r="B7" s="4" t="s">
        <v>32</v>
      </c>
      <c r="C7" s="2">
        <v>7</v>
      </c>
      <c r="D7" s="2">
        <v>0</v>
      </c>
      <c r="E7" s="2">
        <v>0</v>
      </c>
      <c r="F7" s="2">
        <v>1</v>
      </c>
      <c r="G7" s="2">
        <v>6.6</v>
      </c>
      <c r="H7" s="2">
        <v>27.2</v>
      </c>
      <c r="I7" s="2">
        <v>22.6</v>
      </c>
      <c r="J7" s="2">
        <v>20</v>
      </c>
      <c r="K7" s="2">
        <v>1612</v>
      </c>
      <c r="L7" s="5" t="s">
        <v>11</v>
      </c>
      <c r="M7" s="5">
        <v>25</v>
      </c>
    </row>
    <row r="8" spans="1:13" x14ac:dyDescent="0.3">
      <c r="A8" s="4" t="s">
        <v>15</v>
      </c>
      <c r="B8" s="4" t="s">
        <v>33</v>
      </c>
      <c r="C8" s="2">
        <v>45</v>
      </c>
      <c r="D8" s="2">
        <v>2</v>
      </c>
      <c r="E8" s="2">
        <v>3</v>
      </c>
      <c r="F8" s="2">
        <v>7</v>
      </c>
      <c r="G8" s="2">
        <v>6.2</v>
      </c>
      <c r="H8" s="2">
        <v>32.6</v>
      </c>
      <c r="I8" s="2">
        <v>19.5</v>
      </c>
      <c r="J8" s="2">
        <v>18</v>
      </c>
      <c r="K8" s="2">
        <v>1900</v>
      </c>
      <c r="L8" s="5" t="s">
        <v>11</v>
      </c>
      <c r="M8" s="5">
        <v>20</v>
      </c>
    </row>
    <row r="9" spans="1:13" x14ac:dyDescent="0.3">
      <c r="A9" s="4" t="s">
        <v>15</v>
      </c>
      <c r="B9" s="4" t="s">
        <v>33</v>
      </c>
      <c r="C9" s="2">
        <v>69</v>
      </c>
      <c r="D9" s="2">
        <v>3</v>
      </c>
      <c r="E9" s="2">
        <v>4</v>
      </c>
      <c r="F9" s="2">
        <v>11</v>
      </c>
      <c r="G9" s="2">
        <v>5.5</v>
      </c>
      <c r="H9" s="2">
        <v>34.5</v>
      </c>
      <c r="I9" s="2">
        <v>21.6</v>
      </c>
      <c r="J9" s="2">
        <v>18</v>
      </c>
      <c r="K9" s="2">
        <v>1900</v>
      </c>
      <c r="L9" s="5" t="s">
        <v>11</v>
      </c>
      <c r="M9" s="5">
        <v>20</v>
      </c>
    </row>
    <row r="10" spans="1:13" x14ac:dyDescent="0.3">
      <c r="A10" s="4" t="s">
        <v>15</v>
      </c>
      <c r="B10" s="4" t="s">
        <v>33</v>
      </c>
      <c r="C10" s="2">
        <v>41</v>
      </c>
      <c r="D10" s="2">
        <v>2</v>
      </c>
      <c r="E10" s="2">
        <v>2</v>
      </c>
      <c r="F10" s="2">
        <v>6</v>
      </c>
      <c r="G10" s="2">
        <v>6</v>
      </c>
      <c r="H10" s="2">
        <v>37</v>
      </c>
      <c r="I10" s="2">
        <v>20.3</v>
      </c>
      <c r="J10" s="2">
        <v>18</v>
      </c>
      <c r="K10" s="2">
        <v>1900</v>
      </c>
      <c r="L10" s="5" t="s">
        <v>11</v>
      </c>
      <c r="M10" s="5">
        <v>20</v>
      </c>
    </row>
    <row r="11" spans="1:13" x14ac:dyDescent="0.3">
      <c r="A11" s="4" t="s">
        <v>15</v>
      </c>
      <c r="B11" s="4" t="s">
        <v>33</v>
      </c>
      <c r="C11" s="2">
        <v>66</v>
      </c>
      <c r="D11" s="2">
        <v>3</v>
      </c>
      <c r="E11" s="2">
        <v>4</v>
      </c>
      <c r="F11" s="2">
        <v>10</v>
      </c>
      <c r="G11" s="2">
        <v>5.8</v>
      </c>
      <c r="H11" s="2">
        <v>35.1</v>
      </c>
      <c r="I11" s="2">
        <v>20.5</v>
      </c>
      <c r="J11" s="2">
        <v>18</v>
      </c>
      <c r="K11" s="2">
        <v>1900</v>
      </c>
      <c r="L11" s="5" t="s">
        <v>11</v>
      </c>
      <c r="M11" s="5">
        <v>20</v>
      </c>
    </row>
    <row r="12" spans="1:13" x14ac:dyDescent="0.3">
      <c r="A12" s="4" t="s">
        <v>15</v>
      </c>
      <c r="B12" s="4" t="s">
        <v>33</v>
      </c>
      <c r="C12" s="2">
        <v>34</v>
      </c>
      <c r="D12" s="2">
        <v>1</v>
      </c>
      <c r="E12" s="2">
        <v>2</v>
      </c>
      <c r="F12" s="2">
        <v>5</v>
      </c>
      <c r="G12" s="2">
        <v>6.3</v>
      </c>
      <c r="H12" s="2">
        <v>27.1</v>
      </c>
      <c r="I12" s="2">
        <v>19.7</v>
      </c>
      <c r="J12" s="2">
        <v>18</v>
      </c>
      <c r="K12" s="2">
        <v>1895</v>
      </c>
      <c r="L12" s="5" t="s">
        <v>11</v>
      </c>
      <c r="M12" s="5">
        <v>20</v>
      </c>
    </row>
    <row r="13" spans="1:13" x14ac:dyDescent="0.3">
      <c r="A13" s="4" t="s">
        <v>15</v>
      </c>
      <c r="B13" s="4" t="s">
        <v>33</v>
      </c>
      <c r="C13" s="2">
        <v>92</v>
      </c>
      <c r="D13" s="2">
        <v>4</v>
      </c>
      <c r="E13" s="2">
        <v>6</v>
      </c>
      <c r="F13" s="2">
        <v>14</v>
      </c>
      <c r="G13" s="2">
        <v>6.8</v>
      </c>
      <c r="H13" s="2">
        <v>33.799999999999997</v>
      </c>
      <c r="I13" s="2">
        <v>18.2</v>
      </c>
      <c r="J13" s="2">
        <v>18</v>
      </c>
      <c r="K13" s="2">
        <v>1895</v>
      </c>
      <c r="L13" s="5" t="s">
        <v>11</v>
      </c>
      <c r="M13" s="5">
        <v>20</v>
      </c>
    </row>
    <row r="14" spans="1:13" x14ac:dyDescent="0.3">
      <c r="A14" s="4" t="s">
        <v>15</v>
      </c>
      <c r="B14" s="4" t="s">
        <v>33</v>
      </c>
      <c r="C14" s="2">
        <v>76</v>
      </c>
      <c r="D14" s="2">
        <v>3</v>
      </c>
      <c r="E14" s="2">
        <v>5</v>
      </c>
      <c r="F14" s="2">
        <v>12</v>
      </c>
      <c r="G14" s="2">
        <v>5.5</v>
      </c>
      <c r="H14" s="2">
        <v>32.6</v>
      </c>
      <c r="I14" s="2">
        <v>17.3</v>
      </c>
      <c r="J14" s="2">
        <v>18</v>
      </c>
      <c r="K14" s="2">
        <v>1895</v>
      </c>
      <c r="L14" s="5" t="s">
        <v>11</v>
      </c>
      <c r="M14" s="5">
        <v>20</v>
      </c>
    </row>
    <row r="15" spans="1:13" x14ac:dyDescent="0.3">
      <c r="A15" s="4" t="s">
        <v>15</v>
      </c>
      <c r="B15" s="4" t="s">
        <v>33</v>
      </c>
      <c r="C15" s="2">
        <v>78</v>
      </c>
      <c r="D15" s="2">
        <v>3</v>
      </c>
      <c r="E15" s="2">
        <v>5</v>
      </c>
      <c r="F15" s="2">
        <v>12</v>
      </c>
      <c r="G15" s="2">
        <v>5.5</v>
      </c>
      <c r="H15" s="2">
        <v>26.7</v>
      </c>
      <c r="I15" s="2">
        <v>18.7</v>
      </c>
      <c r="J15" s="2">
        <v>18</v>
      </c>
      <c r="K15" s="2">
        <v>1895</v>
      </c>
      <c r="L15" s="5" t="s">
        <v>11</v>
      </c>
      <c r="M15" s="5">
        <v>20</v>
      </c>
    </row>
    <row r="16" spans="1:13" x14ac:dyDescent="0.3">
      <c r="A16" s="4" t="s">
        <v>15</v>
      </c>
      <c r="B16" s="4" t="s">
        <v>34</v>
      </c>
      <c r="C16" s="2">
        <v>93</v>
      </c>
      <c r="D16" s="2">
        <v>4</v>
      </c>
      <c r="E16" s="2">
        <v>6</v>
      </c>
      <c r="F16" s="2">
        <v>14</v>
      </c>
      <c r="G16" s="2">
        <v>6.1</v>
      </c>
      <c r="H16" s="2">
        <v>32.1</v>
      </c>
      <c r="I16" s="2">
        <v>19.8</v>
      </c>
      <c r="J16" s="2">
        <v>19</v>
      </c>
      <c r="K16" s="2">
        <v>2122</v>
      </c>
      <c r="L16" s="5" t="s">
        <v>11</v>
      </c>
      <c r="M16" s="5">
        <v>20</v>
      </c>
    </row>
    <row r="17" spans="1:13" x14ac:dyDescent="0.3">
      <c r="A17" s="4" t="s">
        <v>15</v>
      </c>
      <c r="B17" s="4" t="s">
        <v>34</v>
      </c>
      <c r="C17" s="2">
        <v>97</v>
      </c>
      <c r="D17" s="2">
        <v>3</v>
      </c>
      <c r="E17" s="2">
        <v>4</v>
      </c>
      <c r="F17" s="2">
        <v>10</v>
      </c>
      <c r="G17" s="2">
        <v>6</v>
      </c>
      <c r="H17" s="2">
        <v>32</v>
      </c>
      <c r="I17" s="2">
        <v>16.899999999999999</v>
      </c>
      <c r="J17" s="2">
        <v>19</v>
      </c>
      <c r="K17" s="2">
        <v>2122</v>
      </c>
      <c r="L17" s="5" t="s">
        <v>11</v>
      </c>
      <c r="M17" s="5">
        <v>20</v>
      </c>
    </row>
    <row r="18" spans="1:13" x14ac:dyDescent="0.3">
      <c r="A18" s="4" t="s">
        <v>15</v>
      </c>
      <c r="B18" s="4" t="s">
        <v>34</v>
      </c>
      <c r="C18" s="2">
        <v>61</v>
      </c>
      <c r="D18" s="2">
        <v>3</v>
      </c>
      <c r="E18" s="2">
        <v>4</v>
      </c>
      <c r="F18" s="2">
        <v>9</v>
      </c>
      <c r="G18" s="2">
        <v>6.1</v>
      </c>
      <c r="H18" s="2">
        <v>34</v>
      </c>
      <c r="I18" s="2">
        <v>18</v>
      </c>
      <c r="J18" s="2">
        <v>19</v>
      </c>
      <c r="K18" s="2">
        <v>2122</v>
      </c>
      <c r="L18" s="5" t="s">
        <v>11</v>
      </c>
      <c r="M18" s="5">
        <v>20</v>
      </c>
    </row>
    <row r="19" spans="1:13" x14ac:dyDescent="0.3">
      <c r="A19" s="4" t="s">
        <v>15</v>
      </c>
      <c r="B19" s="4" t="s">
        <v>34</v>
      </c>
      <c r="C19" s="2">
        <v>62</v>
      </c>
      <c r="D19" s="2">
        <v>3</v>
      </c>
      <c r="E19" s="2">
        <v>4</v>
      </c>
      <c r="F19" s="2">
        <v>10</v>
      </c>
      <c r="G19" s="2">
        <v>6</v>
      </c>
      <c r="H19" s="2">
        <v>33.9</v>
      </c>
      <c r="I19" s="2">
        <v>19.2</v>
      </c>
      <c r="J19" s="2">
        <v>19</v>
      </c>
      <c r="K19" s="2">
        <v>2122</v>
      </c>
      <c r="L19" s="5" t="s">
        <v>11</v>
      </c>
      <c r="M19" s="5">
        <v>20</v>
      </c>
    </row>
    <row r="20" spans="1:13" x14ac:dyDescent="0.3">
      <c r="A20" s="4" t="s">
        <v>15</v>
      </c>
      <c r="B20" s="4" t="s">
        <v>34</v>
      </c>
      <c r="C20" s="2">
        <v>108</v>
      </c>
      <c r="D20" s="2">
        <v>5</v>
      </c>
      <c r="E20" s="2">
        <v>7</v>
      </c>
      <c r="F20" s="2">
        <v>17</v>
      </c>
      <c r="G20" s="2">
        <v>5.8</v>
      </c>
      <c r="H20" s="2">
        <v>41.8</v>
      </c>
      <c r="I20" s="2">
        <v>24.2</v>
      </c>
      <c r="J20" s="2">
        <v>19</v>
      </c>
      <c r="K20" s="2">
        <v>2077</v>
      </c>
      <c r="L20" s="5" t="s">
        <v>11</v>
      </c>
      <c r="M20" s="5">
        <v>20</v>
      </c>
    </row>
    <row r="21" spans="1:13" x14ac:dyDescent="0.3">
      <c r="A21" s="4" t="s">
        <v>15</v>
      </c>
      <c r="B21" s="4" t="s">
        <v>34</v>
      </c>
      <c r="C21" s="2">
        <v>153</v>
      </c>
      <c r="D21" s="2">
        <v>7</v>
      </c>
      <c r="E21" s="2">
        <v>10</v>
      </c>
      <c r="F21" s="2">
        <v>24</v>
      </c>
      <c r="G21" s="2">
        <v>5.7</v>
      </c>
      <c r="H21" s="2">
        <v>25.8</v>
      </c>
      <c r="I21" s="2">
        <v>24</v>
      </c>
      <c r="J21" s="2">
        <v>19</v>
      </c>
      <c r="K21" s="2">
        <v>2077</v>
      </c>
      <c r="L21" s="5" t="s">
        <v>11</v>
      </c>
      <c r="M21" s="5">
        <v>20</v>
      </c>
    </row>
    <row r="22" spans="1:13" x14ac:dyDescent="0.3">
      <c r="A22" s="4" t="s">
        <v>15</v>
      </c>
      <c r="B22" s="4" t="s">
        <v>34</v>
      </c>
      <c r="C22" s="2">
        <v>188</v>
      </c>
      <c r="D22" s="2">
        <v>9</v>
      </c>
      <c r="E22" s="2">
        <v>13</v>
      </c>
      <c r="F22" s="2">
        <v>30</v>
      </c>
      <c r="G22" s="2">
        <v>5.8</v>
      </c>
      <c r="H22" s="2">
        <v>41.5</v>
      </c>
      <c r="I22" s="2">
        <v>25.2</v>
      </c>
      <c r="J22" s="2">
        <v>19</v>
      </c>
      <c r="K22" s="2">
        <v>2077</v>
      </c>
      <c r="L22" s="5" t="s">
        <v>11</v>
      </c>
      <c r="M22" s="5">
        <v>20</v>
      </c>
    </row>
    <row r="23" spans="1:13" x14ac:dyDescent="0.3">
      <c r="A23" s="4" t="s">
        <v>15</v>
      </c>
      <c r="B23" s="4" t="s">
        <v>34</v>
      </c>
      <c r="C23" s="2">
        <v>123</v>
      </c>
      <c r="D23" s="2">
        <v>6</v>
      </c>
      <c r="E23" s="2">
        <v>8</v>
      </c>
      <c r="F23" s="2">
        <v>20</v>
      </c>
      <c r="G23" s="2">
        <v>6.1</v>
      </c>
      <c r="H23" s="2">
        <v>29</v>
      </c>
      <c r="I23" s="2">
        <v>24</v>
      </c>
      <c r="J23" s="2">
        <v>19</v>
      </c>
      <c r="K23" s="2">
        <v>2077</v>
      </c>
      <c r="L23" s="5" t="s">
        <v>11</v>
      </c>
      <c r="M23" s="5">
        <v>20</v>
      </c>
    </row>
    <row r="24" spans="1:13" x14ac:dyDescent="0.3">
      <c r="A24" s="3" t="s">
        <v>16</v>
      </c>
      <c r="B24" s="4" t="s">
        <v>35</v>
      </c>
      <c r="C24" s="2">
        <v>29</v>
      </c>
      <c r="D24" s="2">
        <v>1</v>
      </c>
      <c r="E24" s="2">
        <v>2</v>
      </c>
      <c r="F24" s="2">
        <v>4</v>
      </c>
      <c r="G24" s="2">
        <v>6.3</v>
      </c>
      <c r="H24" s="2">
        <v>22.9</v>
      </c>
      <c r="I24" s="2">
        <v>17.399999999999999</v>
      </c>
      <c r="J24" s="2">
        <v>26.7</v>
      </c>
      <c r="K24" s="2">
        <v>1635</v>
      </c>
      <c r="L24" s="5" t="s">
        <v>11</v>
      </c>
      <c r="M24" s="5">
        <v>20</v>
      </c>
    </row>
    <row r="25" spans="1:13" x14ac:dyDescent="0.3">
      <c r="A25" s="3" t="s">
        <v>16</v>
      </c>
      <c r="B25" s="4" t="s">
        <v>35</v>
      </c>
      <c r="C25" s="2">
        <v>47</v>
      </c>
      <c r="D25" s="2">
        <v>2</v>
      </c>
      <c r="E25" s="2">
        <v>3</v>
      </c>
      <c r="F25" s="2">
        <v>7</v>
      </c>
      <c r="G25" s="2">
        <v>6.3</v>
      </c>
      <c r="H25" s="2">
        <v>30.4</v>
      </c>
      <c r="I25" s="2">
        <v>17.600000000000001</v>
      </c>
      <c r="J25" s="2">
        <v>26.7</v>
      </c>
      <c r="K25" s="2">
        <v>1635</v>
      </c>
      <c r="L25" s="5" t="s">
        <v>11</v>
      </c>
      <c r="M25" s="5">
        <v>20</v>
      </c>
    </row>
    <row r="26" spans="1:13" x14ac:dyDescent="0.3">
      <c r="A26" s="3" t="s">
        <v>16</v>
      </c>
      <c r="B26" s="4" t="s">
        <v>35</v>
      </c>
      <c r="C26" s="2">
        <v>110</v>
      </c>
      <c r="D26" s="2">
        <v>5</v>
      </c>
      <c r="E26" s="2">
        <v>7</v>
      </c>
      <c r="F26" s="2">
        <v>17</v>
      </c>
      <c r="G26" s="2">
        <v>5.9</v>
      </c>
      <c r="H26" s="2">
        <v>43.3</v>
      </c>
      <c r="I26" s="2">
        <v>16.7</v>
      </c>
      <c r="J26" s="2">
        <v>28.5</v>
      </c>
      <c r="K26" s="2">
        <v>1647</v>
      </c>
      <c r="L26" s="5" t="s">
        <v>11</v>
      </c>
      <c r="M26" s="5">
        <v>20</v>
      </c>
    </row>
    <row r="27" spans="1:13" x14ac:dyDescent="0.3">
      <c r="A27" s="3" t="s">
        <v>16</v>
      </c>
      <c r="B27" s="4" t="s">
        <v>35</v>
      </c>
      <c r="C27" s="2">
        <v>73</v>
      </c>
      <c r="D27" s="2">
        <v>3</v>
      </c>
      <c r="E27" s="2">
        <v>5</v>
      </c>
      <c r="F27" s="2">
        <v>11</v>
      </c>
      <c r="G27" s="2">
        <v>5.9</v>
      </c>
      <c r="H27" s="2">
        <v>31.2</v>
      </c>
      <c r="I27" s="2">
        <v>18.3</v>
      </c>
      <c r="J27" s="2">
        <v>28.5</v>
      </c>
      <c r="K27" s="2">
        <v>1647</v>
      </c>
      <c r="L27" s="5" t="s">
        <v>11</v>
      </c>
      <c r="M27" s="5">
        <v>20</v>
      </c>
    </row>
    <row r="28" spans="1:13" x14ac:dyDescent="0.3">
      <c r="A28" s="3" t="s">
        <v>16</v>
      </c>
      <c r="B28" s="4" t="s">
        <v>36</v>
      </c>
      <c r="C28" s="2">
        <v>18</v>
      </c>
      <c r="D28" s="2">
        <v>0</v>
      </c>
      <c r="E28" s="2">
        <v>1</v>
      </c>
      <c r="F28" s="2">
        <v>2</v>
      </c>
      <c r="G28" s="2">
        <v>6.2</v>
      </c>
      <c r="H28" s="2">
        <v>22.2</v>
      </c>
      <c r="I28" s="2">
        <v>22.8</v>
      </c>
      <c r="J28" s="2">
        <v>28.7</v>
      </c>
      <c r="K28" s="2">
        <v>2074</v>
      </c>
      <c r="L28" s="5" t="s">
        <v>11</v>
      </c>
      <c r="M28" s="5">
        <v>25</v>
      </c>
    </row>
    <row r="29" spans="1:13" x14ac:dyDescent="0.3">
      <c r="A29" s="3" t="s">
        <v>16</v>
      </c>
      <c r="B29" s="4" t="s">
        <v>36</v>
      </c>
      <c r="C29" s="2">
        <v>71</v>
      </c>
      <c r="D29" s="2">
        <v>3</v>
      </c>
      <c r="E29" s="2">
        <v>4</v>
      </c>
      <c r="F29" s="2">
        <v>11</v>
      </c>
      <c r="G29" s="2">
        <v>6.2</v>
      </c>
      <c r="H29" s="2">
        <v>34.299999999999997</v>
      </c>
      <c r="I29" s="2">
        <v>23.6</v>
      </c>
      <c r="J29" s="2">
        <v>28.7</v>
      </c>
      <c r="K29" s="2">
        <v>2074</v>
      </c>
      <c r="L29" s="5" t="s">
        <v>11</v>
      </c>
      <c r="M29" s="5">
        <v>25</v>
      </c>
    </row>
    <row r="30" spans="1:13" x14ac:dyDescent="0.3">
      <c r="A30" s="3" t="s">
        <v>16</v>
      </c>
      <c r="B30" s="4" t="s">
        <v>36</v>
      </c>
      <c r="C30" s="2">
        <v>87</v>
      </c>
      <c r="D30" s="2">
        <v>4</v>
      </c>
      <c r="E30" s="2">
        <v>6</v>
      </c>
      <c r="F30" s="2">
        <v>13</v>
      </c>
      <c r="G30" s="2">
        <v>6.3</v>
      </c>
      <c r="H30" s="2">
        <v>37.4</v>
      </c>
      <c r="I30" s="2">
        <v>20.7</v>
      </c>
      <c r="J30" s="2">
        <v>28.7</v>
      </c>
      <c r="K30" s="2">
        <v>2074</v>
      </c>
      <c r="L30" s="5" t="s">
        <v>11</v>
      </c>
      <c r="M30" s="5">
        <v>25</v>
      </c>
    </row>
    <row r="31" spans="1:13" x14ac:dyDescent="0.3">
      <c r="A31" s="3" t="s">
        <v>16</v>
      </c>
      <c r="B31" s="4" t="s">
        <v>36</v>
      </c>
      <c r="C31" s="2">
        <v>66</v>
      </c>
      <c r="D31" s="2">
        <v>3</v>
      </c>
      <c r="E31" s="2">
        <v>4</v>
      </c>
      <c r="F31" s="2">
        <v>10</v>
      </c>
      <c r="G31" s="2">
        <v>6.1</v>
      </c>
      <c r="H31" s="2">
        <v>36.700000000000003</v>
      </c>
      <c r="I31" s="2">
        <v>20.5</v>
      </c>
      <c r="J31" s="2">
        <v>28.7</v>
      </c>
      <c r="K31" s="2">
        <v>2074</v>
      </c>
      <c r="L31" s="5" t="s">
        <v>11</v>
      </c>
      <c r="M31" s="5">
        <v>25</v>
      </c>
    </row>
    <row r="32" spans="1:13" x14ac:dyDescent="0.3">
      <c r="A32" s="3" t="s">
        <v>16</v>
      </c>
      <c r="B32" s="4" t="s">
        <v>37</v>
      </c>
      <c r="C32" s="2">
        <v>16</v>
      </c>
      <c r="D32" s="2">
        <v>0</v>
      </c>
      <c r="E32" s="2">
        <v>1</v>
      </c>
      <c r="F32" s="2">
        <v>2</v>
      </c>
      <c r="G32" s="2">
        <v>5.5</v>
      </c>
      <c r="H32" s="2">
        <v>27.1</v>
      </c>
      <c r="I32" s="2">
        <v>23.2</v>
      </c>
      <c r="J32" s="2">
        <v>26.8</v>
      </c>
      <c r="K32" s="2">
        <v>1987</v>
      </c>
      <c r="L32" s="5" t="s">
        <v>11</v>
      </c>
      <c r="M32" s="5">
        <v>20</v>
      </c>
    </row>
    <row r="33" spans="1:13" x14ac:dyDescent="0.3">
      <c r="A33" s="3" t="s">
        <v>16</v>
      </c>
      <c r="B33" s="4" t="s">
        <v>37</v>
      </c>
      <c r="C33" s="2">
        <v>54</v>
      </c>
      <c r="D33" s="2">
        <v>2</v>
      </c>
      <c r="E33" s="2">
        <v>3</v>
      </c>
      <c r="F33" s="2">
        <v>8</v>
      </c>
      <c r="G33" s="2">
        <v>5</v>
      </c>
      <c r="H33" s="2">
        <v>33.5</v>
      </c>
      <c r="I33" s="2">
        <v>24.1</v>
      </c>
      <c r="J33" s="2">
        <v>26.8</v>
      </c>
      <c r="K33" s="2">
        <v>1987</v>
      </c>
      <c r="L33" s="5" t="s">
        <v>11</v>
      </c>
      <c r="M33" s="5">
        <v>20</v>
      </c>
    </row>
    <row r="34" spans="1:13" x14ac:dyDescent="0.3">
      <c r="A34" s="3" t="s">
        <v>16</v>
      </c>
      <c r="B34" s="4" t="s">
        <v>38</v>
      </c>
      <c r="C34" s="2">
        <v>26</v>
      </c>
      <c r="D34" s="2">
        <v>1</v>
      </c>
      <c r="E34" s="2">
        <v>1</v>
      </c>
      <c r="F34" s="2">
        <v>4</v>
      </c>
      <c r="G34" s="2">
        <v>6.2</v>
      </c>
      <c r="H34" s="2">
        <v>18.399999999999999</v>
      </c>
      <c r="I34" s="2">
        <v>22.3</v>
      </c>
      <c r="J34" s="2">
        <v>22.4</v>
      </c>
      <c r="K34" s="2">
        <v>1720</v>
      </c>
      <c r="L34" s="5" t="s">
        <v>11</v>
      </c>
      <c r="M34" s="5">
        <v>17</v>
      </c>
    </row>
    <row r="35" spans="1:13" x14ac:dyDescent="0.3">
      <c r="A35" s="3" t="s">
        <v>16</v>
      </c>
      <c r="B35" s="4" t="s">
        <v>38</v>
      </c>
      <c r="C35" s="2">
        <v>22</v>
      </c>
      <c r="D35" s="2">
        <v>1</v>
      </c>
      <c r="E35" s="2">
        <v>1</v>
      </c>
      <c r="F35" s="2">
        <v>3</v>
      </c>
      <c r="G35" s="2">
        <v>6.2</v>
      </c>
      <c r="H35" s="2">
        <v>27.7</v>
      </c>
      <c r="I35" s="2">
        <v>23.3</v>
      </c>
      <c r="J35" s="2">
        <v>22.4</v>
      </c>
      <c r="K35" s="2">
        <v>1720</v>
      </c>
      <c r="L35" s="5" t="s">
        <v>11</v>
      </c>
      <c r="M35" s="5">
        <v>17</v>
      </c>
    </row>
    <row r="36" spans="1:13" x14ac:dyDescent="0.3">
      <c r="A36" s="3" t="s">
        <v>17</v>
      </c>
      <c r="B36" s="4" t="s">
        <v>39</v>
      </c>
      <c r="C36" s="2">
        <v>10</v>
      </c>
      <c r="D36" s="2">
        <v>0</v>
      </c>
      <c r="E36" s="2">
        <v>0</v>
      </c>
      <c r="F36" s="2">
        <v>1</v>
      </c>
      <c r="G36" s="2">
        <v>6.2</v>
      </c>
      <c r="H36" s="2">
        <v>29.5</v>
      </c>
      <c r="I36" s="2">
        <v>15.9</v>
      </c>
      <c r="J36" s="2">
        <v>23.3</v>
      </c>
      <c r="K36" s="2">
        <v>1467</v>
      </c>
      <c r="L36" s="5" t="s">
        <v>11</v>
      </c>
      <c r="M36" s="5">
        <v>30</v>
      </c>
    </row>
    <row r="37" spans="1:13" x14ac:dyDescent="0.3">
      <c r="A37" s="3" t="s">
        <v>17</v>
      </c>
      <c r="B37" s="4" t="s">
        <v>39</v>
      </c>
      <c r="C37" s="2">
        <v>70</v>
      </c>
      <c r="D37" s="2">
        <v>3</v>
      </c>
      <c r="E37" s="2">
        <v>4</v>
      </c>
      <c r="F37" s="2">
        <v>11</v>
      </c>
      <c r="G37" s="2">
        <v>6.2</v>
      </c>
      <c r="H37" s="2">
        <v>43.5</v>
      </c>
      <c r="I37" s="2">
        <v>15</v>
      </c>
      <c r="J37" s="2">
        <v>23.3</v>
      </c>
      <c r="K37" s="2">
        <v>1467</v>
      </c>
      <c r="L37" s="5" t="s">
        <v>11</v>
      </c>
      <c r="M37" s="5">
        <v>30</v>
      </c>
    </row>
    <row r="38" spans="1:13" x14ac:dyDescent="0.3">
      <c r="A38" s="3" t="s">
        <v>17</v>
      </c>
      <c r="B38" s="4" t="s">
        <v>39</v>
      </c>
      <c r="C38" s="2">
        <v>5</v>
      </c>
      <c r="D38" s="2">
        <v>0</v>
      </c>
      <c r="E38" s="2">
        <v>0</v>
      </c>
      <c r="F38" s="2">
        <v>0</v>
      </c>
      <c r="G38" s="2">
        <v>6.3</v>
      </c>
      <c r="H38" s="2">
        <v>20</v>
      </c>
      <c r="I38" s="2">
        <v>17.7</v>
      </c>
      <c r="J38" s="2">
        <v>22.2</v>
      </c>
      <c r="K38" s="2">
        <v>1471</v>
      </c>
      <c r="L38" s="5" t="s">
        <v>11</v>
      </c>
      <c r="M38" s="5">
        <v>30</v>
      </c>
    </row>
    <row r="39" spans="1:13" x14ac:dyDescent="0.3">
      <c r="A39" s="3" t="s">
        <v>17</v>
      </c>
      <c r="B39" s="4" t="s">
        <v>39</v>
      </c>
      <c r="C39" s="2">
        <v>12</v>
      </c>
      <c r="D39" s="2">
        <v>0</v>
      </c>
      <c r="E39" s="2">
        <v>0</v>
      </c>
      <c r="F39" s="2">
        <v>1</v>
      </c>
      <c r="G39" s="2">
        <v>6.6</v>
      </c>
      <c r="H39" s="2">
        <v>35.9</v>
      </c>
      <c r="I39" s="2">
        <v>17.399999999999999</v>
      </c>
      <c r="J39" s="2">
        <v>22.2</v>
      </c>
      <c r="K39" s="2">
        <v>1471</v>
      </c>
      <c r="L39" s="5" t="s">
        <v>11</v>
      </c>
      <c r="M39" s="5">
        <v>30</v>
      </c>
    </row>
    <row r="40" spans="1:13" x14ac:dyDescent="0.3">
      <c r="A40" s="3" t="s">
        <v>17</v>
      </c>
      <c r="B40" s="4" t="s">
        <v>39</v>
      </c>
      <c r="C40" s="2">
        <v>960</v>
      </c>
      <c r="D40" s="2">
        <v>47</v>
      </c>
      <c r="E40" s="2">
        <v>67</v>
      </c>
      <c r="F40" s="2">
        <v>153</v>
      </c>
      <c r="G40" s="2">
        <v>5.3</v>
      </c>
      <c r="H40" s="2">
        <v>25.6</v>
      </c>
      <c r="I40" s="2">
        <v>19.399999999999999</v>
      </c>
      <c r="J40" s="2">
        <v>22.2</v>
      </c>
      <c r="K40" s="2">
        <v>1471</v>
      </c>
      <c r="L40" s="5" t="s">
        <v>11</v>
      </c>
      <c r="M40" s="5">
        <v>30</v>
      </c>
    </row>
    <row r="41" spans="1:13" x14ac:dyDescent="0.3">
      <c r="A41" s="3" t="s">
        <v>17</v>
      </c>
      <c r="B41" s="4" t="s">
        <v>39</v>
      </c>
      <c r="C41" s="2">
        <v>768</v>
      </c>
      <c r="D41" s="2">
        <v>44</v>
      </c>
      <c r="E41" s="2">
        <v>62</v>
      </c>
      <c r="F41" s="2">
        <v>143</v>
      </c>
      <c r="G41" s="2">
        <v>5.5</v>
      </c>
      <c r="H41" s="2">
        <v>47.6</v>
      </c>
      <c r="I41" s="2">
        <v>19.2</v>
      </c>
      <c r="J41" s="2">
        <v>22.2</v>
      </c>
      <c r="K41" s="2">
        <v>1471</v>
      </c>
      <c r="L41" s="5" t="s">
        <v>11</v>
      </c>
      <c r="M41" s="5">
        <v>30</v>
      </c>
    </row>
    <row r="42" spans="1:13" x14ac:dyDescent="0.3">
      <c r="A42" s="3" t="s">
        <v>17</v>
      </c>
      <c r="B42" s="4" t="s">
        <v>39</v>
      </c>
      <c r="C42" s="2">
        <v>39</v>
      </c>
      <c r="D42" s="2">
        <v>1</v>
      </c>
      <c r="E42" s="2">
        <v>2</v>
      </c>
      <c r="F42" s="2">
        <v>6</v>
      </c>
      <c r="G42" s="2">
        <v>6.3</v>
      </c>
      <c r="H42" s="2">
        <v>27.1</v>
      </c>
      <c r="I42" s="2">
        <v>17.399999999999999</v>
      </c>
      <c r="J42" s="2">
        <v>24.1</v>
      </c>
      <c r="K42" s="2">
        <v>1434</v>
      </c>
      <c r="L42" s="5" t="s">
        <v>11</v>
      </c>
      <c r="M42" s="5">
        <v>30</v>
      </c>
    </row>
    <row r="43" spans="1:13" x14ac:dyDescent="0.3">
      <c r="A43" s="3" t="s">
        <v>17</v>
      </c>
      <c r="B43" s="4" t="s">
        <v>39</v>
      </c>
      <c r="C43" s="2">
        <v>4</v>
      </c>
      <c r="D43" s="2">
        <v>0</v>
      </c>
      <c r="E43" s="2">
        <v>0</v>
      </c>
      <c r="F43" s="2">
        <v>0</v>
      </c>
      <c r="G43" s="2">
        <v>6.3</v>
      </c>
      <c r="H43" s="2">
        <v>22.8</v>
      </c>
      <c r="I43" s="2">
        <v>17.899999999999999</v>
      </c>
      <c r="J43" s="2">
        <v>24.1</v>
      </c>
      <c r="K43" s="2">
        <v>1434</v>
      </c>
      <c r="L43" s="5" t="s">
        <v>11</v>
      </c>
      <c r="M43" s="5">
        <v>30</v>
      </c>
    </row>
    <row r="44" spans="1:13" x14ac:dyDescent="0.3">
      <c r="A44" s="4" t="s">
        <v>18</v>
      </c>
      <c r="B44" s="4" t="s">
        <v>40</v>
      </c>
      <c r="C44" s="2">
        <v>18</v>
      </c>
      <c r="D44" s="2">
        <v>0</v>
      </c>
      <c r="E44" s="2">
        <v>1</v>
      </c>
      <c r="F44" s="2">
        <v>2</v>
      </c>
      <c r="G44" s="2">
        <v>5.5</v>
      </c>
      <c r="H44" s="2">
        <v>22.7</v>
      </c>
      <c r="I44" s="2">
        <v>20.8</v>
      </c>
      <c r="J44" s="2">
        <v>27.1</v>
      </c>
      <c r="K44" s="2">
        <v>2176</v>
      </c>
      <c r="L44" s="5" t="s">
        <v>11</v>
      </c>
      <c r="M44" s="5">
        <v>10</v>
      </c>
    </row>
    <row r="45" spans="1:13" x14ac:dyDescent="0.3">
      <c r="A45" s="4" t="s">
        <v>18</v>
      </c>
      <c r="B45" s="4" t="s">
        <v>40</v>
      </c>
      <c r="C45" s="2">
        <v>27</v>
      </c>
      <c r="D45" s="2">
        <v>1</v>
      </c>
      <c r="E45" s="2">
        <v>1</v>
      </c>
      <c r="F45" s="2">
        <v>5</v>
      </c>
      <c r="G45" s="2">
        <v>5.9</v>
      </c>
      <c r="H45" s="2">
        <v>20.399999999999999</v>
      </c>
      <c r="I45" s="2">
        <v>20.8</v>
      </c>
      <c r="J45" s="2">
        <v>27.1</v>
      </c>
      <c r="K45" s="2">
        <v>2176</v>
      </c>
      <c r="L45" s="5" t="s">
        <v>11</v>
      </c>
      <c r="M45" s="5">
        <v>10</v>
      </c>
    </row>
    <row r="46" spans="1:13" x14ac:dyDescent="0.3">
      <c r="A46" s="4" t="s">
        <v>18</v>
      </c>
      <c r="B46" s="4" t="s">
        <v>40</v>
      </c>
      <c r="C46" s="2">
        <v>13</v>
      </c>
      <c r="D46" s="2">
        <v>0</v>
      </c>
      <c r="E46" s="2">
        <v>0</v>
      </c>
      <c r="F46" s="2">
        <v>2</v>
      </c>
      <c r="G46" s="2">
        <v>5.4</v>
      </c>
      <c r="H46" s="2">
        <v>28</v>
      </c>
      <c r="I46" s="2">
        <v>19.899999999999999</v>
      </c>
      <c r="J46" s="2">
        <v>25.9</v>
      </c>
      <c r="K46" s="2">
        <v>2193</v>
      </c>
      <c r="L46" s="5" t="s">
        <v>11</v>
      </c>
      <c r="M46" s="5">
        <v>10</v>
      </c>
    </row>
    <row r="47" spans="1:13" x14ac:dyDescent="0.3">
      <c r="A47" s="4" t="s">
        <v>18</v>
      </c>
      <c r="B47" s="4" t="s">
        <v>40</v>
      </c>
      <c r="C47" s="2">
        <v>44</v>
      </c>
      <c r="D47" s="2">
        <v>2</v>
      </c>
      <c r="E47" s="2">
        <v>3</v>
      </c>
      <c r="F47" s="2">
        <v>7</v>
      </c>
      <c r="G47" s="2">
        <v>5.0999999999999996</v>
      </c>
      <c r="H47" s="2">
        <v>24.6</v>
      </c>
      <c r="I47" s="2">
        <v>19.600000000000001</v>
      </c>
      <c r="J47" s="2">
        <v>25.9</v>
      </c>
      <c r="K47" s="2">
        <v>2193</v>
      </c>
      <c r="L47" s="5" t="s">
        <v>11</v>
      </c>
      <c r="M47" s="5">
        <v>10</v>
      </c>
    </row>
    <row r="48" spans="1:13" x14ac:dyDescent="0.3">
      <c r="A48" s="4" t="s">
        <v>18</v>
      </c>
      <c r="B48" s="4" t="s">
        <v>41</v>
      </c>
      <c r="C48" s="2">
        <v>19</v>
      </c>
      <c r="D48" s="2">
        <v>0</v>
      </c>
      <c r="E48" s="2">
        <v>1</v>
      </c>
      <c r="F48" s="2">
        <v>3</v>
      </c>
      <c r="G48" s="2">
        <v>5.4</v>
      </c>
      <c r="H48" s="2">
        <v>25.8</v>
      </c>
      <c r="I48" s="2">
        <v>20.2</v>
      </c>
      <c r="J48" s="2">
        <v>22.1</v>
      </c>
      <c r="K48" s="2">
        <v>2088</v>
      </c>
      <c r="L48" s="5" t="s">
        <v>11</v>
      </c>
      <c r="M48" s="5">
        <v>13</v>
      </c>
    </row>
    <row r="49" spans="1:13" x14ac:dyDescent="0.3">
      <c r="A49" s="4" t="s">
        <v>18</v>
      </c>
      <c r="B49" s="4" t="s">
        <v>41</v>
      </c>
      <c r="C49" s="2">
        <v>13</v>
      </c>
      <c r="D49" s="2">
        <v>0</v>
      </c>
      <c r="E49" s="2">
        <v>0</v>
      </c>
      <c r="F49" s="2">
        <v>2</v>
      </c>
      <c r="G49" s="2">
        <v>5.0999999999999996</v>
      </c>
      <c r="H49" s="2">
        <v>26.9</v>
      </c>
      <c r="I49" s="2">
        <v>20.7</v>
      </c>
      <c r="J49" s="2">
        <v>22.1</v>
      </c>
      <c r="K49" s="2">
        <v>2088</v>
      </c>
      <c r="L49" s="5" t="s">
        <v>11</v>
      </c>
      <c r="M49" s="5">
        <v>13</v>
      </c>
    </row>
    <row r="50" spans="1:13" x14ac:dyDescent="0.3">
      <c r="A50" s="4" t="s">
        <v>18</v>
      </c>
      <c r="B50" s="4" t="s">
        <v>42</v>
      </c>
      <c r="C50" s="2">
        <v>130</v>
      </c>
      <c r="D50" s="2">
        <v>6</v>
      </c>
      <c r="E50" s="2">
        <v>9</v>
      </c>
      <c r="F50" s="2">
        <v>20</v>
      </c>
      <c r="G50" s="2">
        <v>5.2</v>
      </c>
      <c r="H50" s="2">
        <v>19.7</v>
      </c>
      <c r="I50" s="2">
        <v>19.3</v>
      </c>
      <c r="J50" s="2">
        <v>20.3</v>
      </c>
      <c r="K50" s="2">
        <v>1894</v>
      </c>
      <c r="L50" s="5" t="s">
        <v>11</v>
      </c>
      <c r="M50" s="5">
        <v>12</v>
      </c>
    </row>
    <row r="51" spans="1:13" x14ac:dyDescent="0.3">
      <c r="A51" s="4" t="s">
        <v>18</v>
      </c>
      <c r="B51" s="4" t="s">
        <v>42</v>
      </c>
      <c r="C51" s="2">
        <v>24</v>
      </c>
      <c r="D51" s="2">
        <v>1</v>
      </c>
      <c r="E51" s="2">
        <v>1</v>
      </c>
      <c r="F51" s="2">
        <v>3</v>
      </c>
      <c r="G51" s="2">
        <v>5.7</v>
      </c>
      <c r="H51" s="2">
        <v>23.2</v>
      </c>
      <c r="I51" s="2">
        <v>20.100000000000001</v>
      </c>
      <c r="J51" s="2">
        <v>20.3</v>
      </c>
      <c r="K51" s="2">
        <v>1894</v>
      </c>
      <c r="L51" s="5" t="s">
        <v>11</v>
      </c>
      <c r="M51" s="5">
        <v>12</v>
      </c>
    </row>
    <row r="52" spans="1:13" x14ac:dyDescent="0.3">
      <c r="A52" s="4" t="s">
        <v>18</v>
      </c>
      <c r="B52" s="4" t="s">
        <v>42</v>
      </c>
      <c r="C52" s="2">
        <v>125</v>
      </c>
      <c r="D52" s="2">
        <v>6</v>
      </c>
      <c r="E52" s="2">
        <v>8</v>
      </c>
      <c r="F52" s="2">
        <v>20</v>
      </c>
      <c r="G52" s="2">
        <v>6.2</v>
      </c>
      <c r="H52" s="2">
        <v>30.9</v>
      </c>
      <c r="I52" s="2">
        <v>20.9</v>
      </c>
      <c r="J52" s="2">
        <v>20.9</v>
      </c>
      <c r="K52" s="2">
        <v>1681</v>
      </c>
      <c r="L52" s="5" t="s">
        <v>11</v>
      </c>
      <c r="M52" s="5">
        <v>12</v>
      </c>
    </row>
    <row r="53" spans="1:13" x14ac:dyDescent="0.3">
      <c r="A53" s="4" t="s">
        <v>18</v>
      </c>
      <c r="B53" s="4" t="s">
        <v>42</v>
      </c>
      <c r="C53" s="2">
        <v>135</v>
      </c>
      <c r="D53" s="2">
        <v>6</v>
      </c>
      <c r="E53" s="2">
        <v>9</v>
      </c>
      <c r="F53" s="2">
        <v>21</v>
      </c>
      <c r="G53" s="2">
        <v>6.1</v>
      </c>
      <c r="H53" s="2">
        <v>27.6</v>
      </c>
      <c r="I53" s="2">
        <v>21.5</v>
      </c>
      <c r="J53" s="2">
        <v>20.9</v>
      </c>
      <c r="K53" s="2">
        <v>1681</v>
      </c>
      <c r="L53" s="5" t="s">
        <v>11</v>
      </c>
      <c r="M53" s="5">
        <v>12</v>
      </c>
    </row>
    <row r="54" spans="1:13" x14ac:dyDescent="0.3">
      <c r="A54" s="4" t="s">
        <v>18</v>
      </c>
      <c r="B54" s="4" t="s">
        <v>42</v>
      </c>
      <c r="C54" s="2">
        <v>126</v>
      </c>
      <c r="D54" s="2">
        <v>6</v>
      </c>
      <c r="E54" s="2">
        <v>8</v>
      </c>
      <c r="F54" s="2">
        <v>20</v>
      </c>
      <c r="G54" s="2">
        <v>4.9000000000000004</v>
      </c>
      <c r="H54" s="2">
        <v>54.4</v>
      </c>
      <c r="I54" s="2">
        <v>20</v>
      </c>
      <c r="J54" s="2">
        <v>20.9</v>
      </c>
      <c r="K54" s="2">
        <v>1675</v>
      </c>
      <c r="L54" s="5" t="s">
        <v>11</v>
      </c>
      <c r="M54" s="5">
        <v>12</v>
      </c>
    </row>
    <row r="55" spans="1:13" x14ac:dyDescent="0.3">
      <c r="A55" s="4" t="s">
        <v>18</v>
      </c>
      <c r="B55" s="4" t="s">
        <v>42</v>
      </c>
      <c r="C55" s="2">
        <v>120</v>
      </c>
      <c r="D55" s="2">
        <v>6</v>
      </c>
      <c r="E55" s="2">
        <v>8</v>
      </c>
      <c r="F55" s="2">
        <v>19</v>
      </c>
      <c r="G55" s="2">
        <v>4.3</v>
      </c>
      <c r="H55" s="2">
        <v>56.7</v>
      </c>
      <c r="I55" s="2">
        <v>19.899999999999999</v>
      </c>
      <c r="J55" s="2">
        <v>20.9</v>
      </c>
      <c r="K55" s="2">
        <v>1675</v>
      </c>
      <c r="L55" s="5" t="s">
        <v>11</v>
      </c>
      <c r="M55" s="5">
        <v>12</v>
      </c>
    </row>
    <row r="56" spans="1:13" x14ac:dyDescent="0.3">
      <c r="A56" s="4" t="s">
        <v>18</v>
      </c>
      <c r="B56" s="4" t="s">
        <v>42</v>
      </c>
      <c r="C56" s="2">
        <v>50</v>
      </c>
      <c r="D56" s="2">
        <v>2</v>
      </c>
      <c r="E56" s="2">
        <v>3</v>
      </c>
      <c r="F56" s="2">
        <v>8</v>
      </c>
      <c r="G56" s="2">
        <v>5.8</v>
      </c>
      <c r="H56" s="2">
        <v>31</v>
      </c>
      <c r="I56" s="2">
        <v>19.7</v>
      </c>
      <c r="J56" s="2">
        <v>20.5</v>
      </c>
      <c r="K56" s="2">
        <v>1779</v>
      </c>
      <c r="L56" s="5" t="s">
        <v>11</v>
      </c>
      <c r="M56" s="5">
        <v>10</v>
      </c>
    </row>
    <row r="57" spans="1:13" x14ac:dyDescent="0.3">
      <c r="A57" s="4" t="s">
        <v>18</v>
      </c>
      <c r="B57" s="4" t="s">
        <v>42</v>
      </c>
      <c r="C57" s="2">
        <v>64</v>
      </c>
      <c r="D57" s="2">
        <v>3</v>
      </c>
      <c r="E57" s="2">
        <v>4</v>
      </c>
      <c r="F57" s="2">
        <v>10</v>
      </c>
      <c r="G57" s="2">
        <v>5.8</v>
      </c>
      <c r="H57" s="2">
        <v>43</v>
      </c>
      <c r="I57" s="2">
        <v>20</v>
      </c>
      <c r="J57" s="2">
        <v>20.5</v>
      </c>
      <c r="K57" s="2">
        <v>1779</v>
      </c>
      <c r="L57" s="5" t="s">
        <v>11</v>
      </c>
      <c r="M57" s="5">
        <v>10</v>
      </c>
    </row>
    <row r="58" spans="1:13" x14ac:dyDescent="0.3">
      <c r="A58" s="3" t="s">
        <v>18</v>
      </c>
      <c r="B58" s="4" t="s">
        <v>41</v>
      </c>
      <c r="C58" s="2">
        <v>43</v>
      </c>
      <c r="D58" s="2">
        <v>2</v>
      </c>
      <c r="E58" s="2">
        <v>3</v>
      </c>
      <c r="F58" s="2">
        <v>6</v>
      </c>
      <c r="G58" s="2">
        <v>6.3</v>
      </c>
      <c r="H58" s="2">
        <v>27.4</v>
      </c>
      <c r="I58" s="2">
        <v>20.100000000000001</v>
      </c>
      <c r="J58" s="2">
        <v>29.7</v>
      </c>
      <c r="K58" s="2">
        <v>1709</v>
      </c>
      <c r="L58" s="5" t="s">
        <v>11</v>
      </c>
      <c r="M58" s="5">
        <v>15</v>
      </c>
    </row>
    <row r="59" spans="1:13" x14ac:dyDescent="0.3">
      <c r="A59" s="3" t="s">
        <v>18</v>
      </c>
      <c r="B59" s="4" t="s">
        <v>41</v>
      </c>
      <c r="C59" s="2">
        <v>54</v>
      </c>
      <c r="D59" s="2">
        <v>2</v>
      </c>
      <c r="E59" s="2">
        <v>3</v>
      </c>
      <c r="F59" s="2">
        <v>8</v>
      </c>
      <c r="G59" s="2">
        <v>5.5</v>
      </c>
      <c r="H59" s="2">
        <v>22.2</v>
      </c>
      <c r="I59" s="2">
        <v>21.4</v>
      </c>
      <c r="J59" s="2">
        <v>29.7</v>
      </c>
      <c r="K59" s="2">
        <v>1709</v>
      </c>
      <c r="L59" s="5" t="s">
        <v>11</v>
      </c>
      <c r="M59" s="5">
        <v>15</v>
      </c>
    </row>
    <row r="60" spans="1:13" x14ac:dyDescent="0.3">
      <c r="A60" s="3" t="s">
        <v>18</v>
      </c>
      <c r="B60" s="4" t="s">
        <v>41</v>
      </c>
      <c r="C60" s="2">
        <v>49</v>
      </c>
      <c r="D60" s="2">
        <v>2</v>
      </c>
      <c r="E60" s="2">
        <v>3</v>
      </c>
      <c r="F60" s="2">
        <v>7</v>
      </c>
      <c r="G60" s="2">
        <v>5.5</v>
      </c>
      <c r="H60" s="2">
        <v>19.3</v>
      </c>
      <c r="I60" s="2">
        <v>23.5</v>
      </c>
      <c r="J60" s="2">
        <v>27</v>
      </c>
      <c r="K60" s="2">
        <v>1597</v>
      </c>
      <c r="L60" s="5" t="s">
        <v>11</v>
      </c>
      <c r="M60" s="5">
        <v>18</v>
      </c>
    </row>
    <row r="61" spans="1:13" x14ac:dyDescent="0.3">
      <c r="A61" s="3" t="s">
        <v>18</v>
      </c>
      <c r="B61" s="4" t="s">
        <v>41</v>
      </c>
      <c r="C61" s="2">
        <v>32</v>
      </c>
      <c r="D61" s="2">
        <v>1</v>
      </c>
      <c r="E61" s="2">
        <v>2</v>
      </c>
      <c r="F61" s="2">
        <v>5</v>
      </c>
      <c r="G61" s="2">
        <v>5.8</v>
      </c>
      <c r="H61" s="2">
        <v>29.3</v>
      </c>
      <c r="I61" s="2">
        <v>22.7</v>
      </c>
      <c r="J61" s="2">
        <v>27</v>
      </c>
      <c r="K61" s="2">
        <v>1597</v>
      </c>
      <c r="L61" s="5" t="s">
        <v>11</v>
      </c>
      <c r="M61" s="5">
        <v>18</v>
      </c>
    </row>
    <row r="62" spans="1:13" x14ac:dyDescent="0.3">
      <c r="A62" s="3" t="s">
        <v>18</v>
      </c>
      <c r="B62" s="4" t="s">
        <v>43</v>
      </c>
      <c r="C62" s="2">
        <v>34</v>
      </c>
      <c r="D62" s="2">
        <v>1</v>
      </c>
      <c r="E62" s="2">
        <v>2</v>
      </c>
      <c r="F62" s="2">
        <v>5</v>
      </c>
      <c r="G62" s="2">
        <v>5.5</v>
      </c>
      <c r="H62" s="2">
        <v>25.7</v>
      </c>
      <c r="I62" s="2">
        <v>20.6</v>
      </c>
      <c r="J62" s="2">
        <v>26</v>
      </c>
      <c r="K62" s="2">
        <v>1866</v>
      </c>
      <c r="L62" s="5" t="s">
        <v>11</v>
      </c>
      <c r="M62" s="5">
        <v>20</v>
      </c>
    </row>
    <row r="63" spans="1:13" x14ac:dyDescent="0.3">
      <c r="A63" s="3" t="s">
        <v>18</v>
      </c>
      <c r="B63" s="4" t="s">
        <v>43</v>
      </c>
      <c r="C63" s="2">
        <v>6</v>
      </c>
      <c r="D63" s="2">
        <v>0</v>
      </c>
      <c r="E63" s="2">
        <v>0</v>
      </c>
      <c r="F63" s="2">
        <v>0</v>
      </c>
      <c r="G63" s="2">
        <v>5.9</v>
      </c>
      <c r="H63" s="2">
        <v>22.1</v>
      </c>
      <c r="I63" s="2">
        <v>21</v>
      </c>
      <c r="J63" s="2">
        <v>26</v>
      </c>
      <c r="K63" s="2">
        <v>1866</v>
      </c>
      <c r="L63" s="5" t="s">
        <v>11</v>
      </c>
      <c r="M63" s="5">
        <v>20</v>
      </c>
    </row>
    <row r="64" spans="1:13" x14ac:dyDescent="0.3">
      <c r="A64" s="3" t="s">
        <v>18</v>
      </c>
      <c r="B64" s="4" t="s">
        <v>43</v>
      </c>
      <c r="C64" s="2">
        <v>27</v>
      </c>
      <c r="D64" s="2">
        <v>1</v>
      </c>
      <c r="E64" s="2">
        <v>1</v>
      </c>
      <c r="F64" s="2">
        <v>4</v>
      </c>
      <c r="G64" s="2">
        <v>5.4</v>
      </c>
      <c r="H64" s="2">
        <v>30</v>
      </c>
      <c r="I64" s="2">
        <v>18.899999999999999</v>
      </c>
      <c r="J64" s="2">
        <v>26</v>
      </c>
      <c r="K64" s="2">
        <v>1870</v>
      </c>
      <c r="L64" s="5" t="s">
        <v>11</v>
      </c>
      <c r="M64" s="5">
        <v>20</v>
      </c>
    </row>
    <row r="65" spans="1:13" x14ac:dyDescent="0.3">
      <c r="A65" s="3" t="s">
        <v>18</v>
      </c>
      <c r="B65" s="4" t="s">
        <v>43</v>
      </c>
      <c r="C65" s="2">
        <v>32</v>
      </c>
      <c r="D65" s="2">
        <v>1</v>
      </c>
      <c r="E65" s="2">
        <v>2</v>
      </c>
      <c r="F65" s="2">
        <v>5</v>
      </c>
      <c r="G65" s="2">
        <v>5.4</v>
      </c>
      <c r="H65" s="2">
        <v>25.8</v>
      </c>
      <c r="I65" s="2">
        <v>19.100000000000001</v>
      </c>
      <c r="J65" s="2">
        <v>26</v>
      </c>
      <c r="K65" s="2">
        <v>1870</v>
      </c>
      <c r="L65" s="5" t="s">
        <v>11</v>
      </c>
      <c r="M65" s="5">
        <v>20</v>
      </c>
    </row>
    <row r="66" spans="1:13" x14ac:dyDescent="0.3">
      <c r="A66" s="4" t="s">
        <v>19</v>
      </c>
      <c r="B66" s="4" t="s">
        <v>44</v>
      </c>
      <c r="C66" s="2">
        <v>19</v>
      </c>
      <c r="D66" s="2">
        <v>1</v>
      </c>
      <c r="E66" s="2">
        <v>30</v>
      </c>
      <c r="F66" s="2">
        <v>2</v>
      </c>
      <c r="G66" s="2">
        <v>6.3</v>
      </c>
      <c r="H66" s="2">
        <v>15.2</v>
      </c>
      <c r="I66" s="2">
        <v>34.1</v>
      </c>
      <c r="J66" s="2">
        <v>32.6</v>
      </c>
      <c r="K66" s="2">
        <v>1763</v>
      </c>
      <c r="L66" s="5" t="s">
        <v>11</v>
      </c>
      <c r="M66" s="5">
        <v>7</v>
      </c>
    </row>
    <row r="67" spans="1:13" x14ac:dyDescent="0.3">
      <c r="A67" s="4" t="s">
        <v>19</v>
      </c>
      <c r="B67" s="4" t="s">
        <v>44</v>
      </c>
      <c r="C67" s="2">
        <v>0</v>
      </c>
      <c r="D67" s="2">
        <v>0</v>
      </c>
      <c r="E67" s="2">
        <v>0</v>
      </c>
      <c r="F67" s="2">
        <v>0</v>
      </c>
      <c r="G67" s="2">
        <v>7</v>
      </c>
      <c r="H67" s="2">
        <v>13.9</v>
      </c>
      <c r="I67" s="2">
        <v>37.799999999999997</v>
      </c>
      <c r="J67" s="2">
        <v>32.6</v>
      </c>
      <c r="K67" s="2">
        <v>1763</v>
      </c>
      <c r="L67" s="5" t="s">
        <v>11</v>
      </c>
      <c r="M67" s="5">
        <v>7</v>
      </c>
    </row>
    <row r="68" spans="1:13" x14ac:dyDescent="0.3">
      <c r="A68" s="4" t="s">
        <v>19</v>
      </c>
      <c r="B68" s="4" t="s">
        <v>44</v>
      </c>
      <c r="C68" s="2">
        <v>0</v>
      </c>
      <c r="D68" s="2">
        <v>0</v>
      </c>
      <c r="E68" s="2">
        <v>0</v>
      </c>
      <c r="F68" s="2">
        <v>0</v>
      </c>
      <c r="G68" s="2">
        <v>6.2</v>
      </c>
      <c r="H68" s="2">
        <v>22.3</v>
      </c>
      <c r="I68" s="2">
        <v>30.3</v>
      </c>
      <c r="J68" s="2">
        <v>34.5</v>
      </c>
      <c r="K68" s="2">
        <v>1816</v>
      </c>
      <c r="L68" s="5" t="s">
        <v>11</v>
      </c>
      <c r="M68" s="5">
        <v>26</v>
      </c>
    </row>
    <row r="69" spans="1:13" x14ac:dyDescent="0.3">
      <c r="A69" s="4" t="s">
        <v>19</v>
      </c>
      <c r="B69" s="4" t="s">
        <v>44</v>
      </c>
      <c r="C69" s="2">
        <v>6</v>
      </c>
      <c r="D69" s="2">
        <v>0</v>
      </c>
      <c r="E69" s="2">
        <v>0</v>
      </c>
      <c r="F69" s="2">
        <v>0</v>
      </c>
      <c r="G69" s="2">
        <v>6.3</v>
      </c>
      <c r="H69" s="2">
        <v>23.4</v>
      </c>
      <c r="I69" s="2">
        <v>28.4</v>
      </c>
      <c r="J69" s="2">
        <v>34.5</v>
      </c>
      <c r="K69" s="2">
        <v>1816</v>
      </c>
      <c r="L69" s="5" t="s">
        <v>11</v>
      </c>
      <c r="M69" s="5">
        <v>26</v>
      </c>
    </row>
    <row r="70" spans="1:13" x14ac:dyDescent="0.3">
      <c r="A70" s="4" t="s">
        <v>19</v>
      </c>
      <c r="B70" s="4" t="s">
        <v>44</v>
      </c>
      <c r="C70" s="2">
        <v>12</v>
      </c>
      <c r="D70" s="2">
        <v>0</v>
      </c>
      <c r="E70" s="2">
        <v>0</v>
      </c>
      <c r="F70" s="2">
        <v>1</v>
      </c>
      <c r="G70" s="2">
        <v>6</v>
      </c>
      <c r="H70" s="2">
        <v>18.8</v>
      </c>
      <c r="I70" s="2">
        <v>18.7</v>
      </c>
      <c r="J70" s="2">
        <v>19.2</v>
      </c>
      <c r="K70" s="2">
        <v>1839</v>
      </c>
      <c r="L70" s="5" t="s">
        <v>11</v>
      </c>
      <c r="M70" s="5">
        <v>40</v>
      </c>
    </row>
    <row r="71" spans="1:13" x14ac:dyDescent="0.3">
      <c r="A71" s="4" t="s">
        <v>19</v>
      </c>
      <c r="B71" s="4" t="s">
        <v>44</v>
      </c>
      <c r="C71" s="2">
        <v>30</v>
      </c>
      <c r="D71" s="2">
        <v>1</v>
      </c>
      <c r="E71" s="2">
        <v>2</v>
      </c>
      <c r="F71" s="2">
        <v>4</v>
      </c>
      <c r="G71" s="2">
        <v>5.8</v>
      </c>
      <c r="H71" s="2">
        <v>31.6</v>
      </c>
      <c r="I71" s="2">
        <v>27.7</v>
      </c>
      <c r="J71" s="2">
        <v>19.2</v>
      </c>
      <c r="K71" s="2">
        <v>1839</v>
      </c>
      <c r="L71" s="5" t="s">
        <v>11</v>
      </c>
      <c r="M71" s="5">
        <v>40</v>
      </c>
    </row>
    <row r="72" spans="1:13" x14ac:dyDescent="0.3">
      <c r="A72" s="4" t="s">
        <v>19</v>
      </c>
      <c r="B72" s="4" t="s">
        <v>44</v>
      </c>
      <c r="C72" s="2">
        <v>32</v>
      </c>
      <c r="D72" s="2">
        <v>1</v>
      </c>
      <c r="E72" s="2">
        <v>2</v>
      </c>
      <c r="F72" s="2">
        <v>4</v>
      </c>
      <c r="G72" s="2">
        <v>6.2</v>
      </c>
      <c r="H72" s="2">
        <v>23.5</v>
      </c>
      <c r="I72" s="2">
        <v>23.1</v>
      </c>
      <c r="J72" s="2">
        <v>19.2</v>
      </c>
      <c r="K72" s="2">
        <v>1839</v>
      </c>
      <c r="L72" s="5" t="s">
        <v>11</v>
      </c>
      <c r="M72" s="5">
        <v>40</v>
      </c>
    </row>
    <row r="73" spans="1:13" x14ac:dyDescent="0.3">
      <c r="A73" s="4" t="s">
        <v>19</v>
      </c>
      <c r="B73" s="4" t="s">
        <v>44</v>
      </c>
      <c r="C73" s="2">
        <v>25</v>
      </c>
      <c r="D73" s="2">
        <v>1</v>
      </c>
      <c r="E73" s="2">
        <v>1</v>
      </c>
      <c r="F73" s="2">
        <v>4</v>
      </c>
      <c r="G73" s="2">
        <v>6.3</v>
      </c>
      <c r="H73" s="2">
        <v>25.9</v>
      </c>
      <c r="I73" s="2">
        <v>25.1</v>
      </c>
      <c r="J73" s="2">
        <v>19.2</v>
      </c>
      <c r="K73" s="2">
        <v>1839</v>
      </c>
      <c r="L73" s="5" t="s">
        <v>11</v>
      </c>
      <c r="M73" s="5">
        <v>40</v>
      </c>
    </row>
    <row r="74" spans="1:13" x14ac:dyDescent="0.3">
      <c r="A74" s="4" t="s">
        <v>19</v>
      </c>
      <c r="B74" s="4" t="s">
        <v>44</v>
      </c>
      <c r="C74" s="2">
        <v>58</v>
      </c>
      <c r="D74" s="2">
        <v>2</v>
      </c>
      <c r="E74" s="2">
        <v>3</v>
      </c>
      <c r="F74" s="2">
        <v>8</v>
      </c>
      <c r="G74" s="2">
        <v>5.8</v>
      </c>
      <c r="H74" s="2">
        <v>57</v>
      </c>
      <c r="I74" s="2">
        <v>22.1</v>
      </c>
      <c r="J74" s="2">
        <v>19.2</v>
      </c>
      <c r="K74" s="2">
        <v>1941</v>
      </c>
      <c r="L74" s="5" t="s">
        <v>11</v>
      </c>
      <c r="M74" s="5">
        <v>40</v>
      </c>
    </row>
    <row r="75" spans="1:13" x14ac:dyDescent="0.3">
      <c r="A75" s="4" t="s">
        <v>19</v>
      </c>
      <c r="B75" s="4" t="s">
        <v>44</v>
      </c>
      <c r="C75" s="2">
        <v>30</v>
      </c>
      <c r="D75" s="2">
        <v>1</v>
      </c>
      <c r="E75" s="2">
        <v>1</v>
      </c>
      <c r="F75" s="2">
        <v>4</v>
      </c>
      <c r="G75" s="2">
        <v>5.9</v>
      </c>
      <c r="H75" s="2">
        <v>34.1</v>
      </c>
      <c r="I75" s="2">
        <v>20.3</v>
      </c>
      <c r="J75" s="2">
        <v>19.2</v>
      </c>
      <c r="K75" s="2">
        <v>1941</v>
      </c>
      <c r="L75" s="5" t="s">
        <v>11</v>
      </c>
      <c r="M75" s="5">
        <v>40</v>
      </c>
    </row>
    <row r="76" spans="1:13" x14ac:dyDescent="0.3">
      <c r="A76" s="4" t="s">
        <v>19</v>
      </c>
      <c r="B76" s="4" t="s">
        <v>44</v>
      </c>
      <c r="C76" s="2">
        <v>41</v>
      </c>
      <c r="D76" s="2">
        <v>1</v>
      </c>
      <c r="E76" s="2">
        <v>2</v>
      </c>
      <c r="F76" s="2">
        <v>5</v>
      </c>
      <c r="G76" s="2">
        <v>5.5</v>
      </c>
      <c r="H76" s="2">
        <v>37</v>
      </c>
      <c r="I76" s="2">
        <v>26.1</v>
      </c>
      <c r="J76" s="2">
        <v>19.2</v>
      </c>
      <c r="K76" s="2">
        <v>1941</v>
      </c>
      <c r="L76" s="5" t="s">
        <v>11</v>
      </c>
      <c r="M76" s="5">
        <v>40</v>
      </c>
    </row>
    <row r="77" spans="1:13" x14ac:dyDescent="0.3">
      <c r="A77" s="4" t="s">
        <v>19</v>
      </c>
      <c r="B77" s="4" t="s">
        <v>44</v>
      </c>
      <c r="C77" s="2">
        <v>15</v>
      </c>
      <c r="D77" s="2">
        <v>0</v>
      </c>
      <c r="E77" s="2">
        <v>1</v>
      </c>
      <c r="F77" s="2">
        <v>2</v>
      </c>
      <c r="G77" s="2">
        <v>6.1</v>
      </c>
      <c r="H77" s="2">
        <v>43</v>
      </c>
      <c r="I77" s="2">
        <v>20.3</v>
      </c>
      <c r="J77" s="2">
        <v>19.2</v>
      </c>
      <c r="K77" s="2">
        <v>1941</v>
      </c>
      <c r="L77" s="5" t="s">
        <v>11</v>
      </c>
      <c r="M77" s="5">
        <v>40</v>
      </c>
    </row>
    <row r="78" spans="1:13" x14ac:dyDescent="0.3">
      <c r="A78" s="4" t="s">
        <v>19</v>
      </c>
      <c r="B78" s="4" t="s">
        <v>44</v>
      </c>
      <c r="C78" s="2">
        <v>43</v>
      </c>
      <c r="D78" s="2">
        <v>2</v>
      </c>
      <c r="E78" s="2">
        <v>2</v>
      </c>
      <c r="F78" s="2">
        <v>6</v>
      </c>
      <c r="G78" s="2">
        <v>4.8</v>
      </c>
      <c r="H78" s="2">
        <v>34.5</v>
      </c>
      <c r="I78" s="2">
        <v>18.399999999999999</v>
      </c>
      <c r="J78" s="2">
        <v>19.2</v>
      </c>
      <c r="K78" s="2">
        <v>1960</v>
      </c>
      <c r="L78" s="5" t="s">
        <v>11</v>
      </c>
      <c r="M78" s="5">
        <v>40</v>
      </c>
    </row>
    <row r="79" spans="1:13" x14ac:dyDescent="0.3">
      <c r="A79" s="4" t="s">
        <v>19</v>
      </c>
      <c r="B79" s="4" t="s">
        <v>44</v>
      </c>
      <c r="C79" s="2">
        <v>40</v>
      </c>
      <c r="D79" s="2">
        <v>1</v>
      </c>
      <c r="E79" s="2">
        <v>2</v>
      </c>
      <c r="F79" s="2">
        <v>6</v>
      </c>
      <c r="G79" s="2">
        <v>6</v>
      </c>
      <c r="H79" s="2">
        <v>25.6</v>
      </c>
      <c r="I79" s="2">
        <v>20.3</v>
      </c>
      <c r="J79" s="2">
        <v>19.2</v>
      </c>
      <c r="K79" s="2">
        <v>1960</v>
      </c>
      <c r="L79" s="5" t="s">
        <v>11</v>
      </c>
      <c r="M79" s="5">
        <v>40</v>
      </c>
    </row>
    <row r="80" spans="1:13" x14ac:dyDescent="0.3">
      <c r="A80" s="4" t="s">
        <v>19</v>
      </c>
      <c r="B80" s="4" t="s">
        <v>44</v>
      </c>
      <c r="C80" s="2">
        <v>21</v>
      </c>
      <c r="D80" s="2">
        <v>1</v>
      </c>
      <c r="E80" s="2">
        <v>1</v>
      </c>
      <c r="F80" s="2">
        <v>3</v>
      </c>
      <c r="G80" s="2">
        <v>6</v>
      </c>
      <c r="H80" s="2">
        <v>20.100000000000001</v>
      </c>
      <c r="I80" s="2">
        <v>20.3</v>
      </c>
      <c r="J80" s="2">
        <v>19.2</v>
      </c>
      <c r="K80" s="2">
        <v>1960</v>
      </c>
      <c r="L80" s="5" t="s">
        <v>11</v>
      </c>
      <c r="M80" s="5">
        <v>40</v>
      </c>
    </row>
    <row r="81" spans="1:13" x14ac:dyDescent="0.3">
      <c r="A81" s="4" t="s">
        <v>19</v>
      </c>
      <c r="B81" s="4" t="s">
        <v>44</v>
      </c>
      <c r="C81" s="2">
        <v>30</v>
      </c>
      <c r="D81" s="2">
        <v>1</v>
      </c>
      <c r="E81" s="2">
        <v>2</v>
      </c>
      <c r="F81" s="2">
        <v>4</v>
      </c>
      <c r="G81" s="2">
        <v>6</v>
      </c>
      <c r="H81" s="2">
        <v>20.9</v>
      </c>
      <c r="I81" s="2">
        <v>20</v>
      </c>
      <c r="J81" s="2">
        <v>19.2</v>
      </c>
      <c r="K81" s="2">
        <v>1960</v>
      </c>
      <c r="L81" s="5" t="s">
        <v>11</v>
      </c>
      <c r="M81" s="5">
        <v>40</v>
      </c>
    </row>
    <row r="82" spans="1:13" x14ac:dyDescent="0.3">
      <c r="A82" s="4" t="s">
        <v>19</v>
      </c>
      <c r="B82" s="4" t="s">
        <v>45</v>
      </c>
      <c r="C82" s="2">
        <v>38</v>
      </c>
      <c r="D82" s="2">
        <v>1</v>
      </c>
      <c r="E82" s="2">
        <v>2</v>
      </c>
      <c r="F82" s="2">
        <v>6</v>
      </c>
      <c r="G82" s="2">
        <v>6.2</v>
      </c>
      <c r="H82" s="2">
        <v>18.7</v>
      </c>
      <c r="I82" s="2">
        <v>18.2</v>
      </c>
      <c r="J82" s="2">
        <v>30</v>
      </c>
      <c r="K82" s="2">
        <v>2257</v>
      </c>
      <c r="L82" s="5" t="s">
        <v>11</v>
      </c>
      <c r="M82" s="5">
        <v>15</v>
      </c>
    </row>
    <row r="83" spans="1:13" x14ac:dyDescent="0.3">
      <c r="A83" s="4" t="s">
        <v>19</v>
      </c>
      <c r="B83" s="4" t="s">
        <v>45</v>
      </c>
      <c r="C83" s="2">
        <v>12</v>
      </c>
      <c r="D83" s="2">
        <v>0</v>
      </c>
      <c r="E83" s="2">
        <v>0</v>
      </c>
      <c r="F83" s="2">
        <v>1</v>
      </c>
      <c r="G83" s="2">
        <v>6.4</v>
      </c>
      <c r="H83" s="2">
        <v>25.9</v>
      </c>
      <c r="I83" s="2">
        <v>18.8</v>
      </c>
      <c r="J83" s="2">
        <v>30</v>
      </c>
      <c r="K83" s="2">
        <v>2257</v>
      </c>
      <c r="L83" s="5" t="s">
        <v>11</v>
      </c>
      <c r="M83" s="5">
        <v>15</v>
      </c>
    </row>
    <row r="84" spans="1:13" x14ac:dyDescent="0.3">
      <c r="A84" s="4" t="s">
        <v>19</v>
      </c>
      <c r="B84" s="4" t="s">
        <v>45</v>
      </c>
      <c r="C84" s="2">
        <v>54</v>
      </c>
      <c r="D84" s="2">
        <v>2</v>
      </c>
      <c r="E84" s="2">
        <v>3</v>
      </c>
      <c r="F84" s="2">
        <v>8</v>
      </c>
      <c r="G84" s="2">
        <v>6.2</v>
      </c>
      <c r="H84" s="2">
        <v>24.4</v>
      </c>
      <c r="I84" s="2">
        <v>19</v>
      </c>
      <c r="J84" s="2">
        <v>30</v>
      </c>
      <c r="K84" s="2">
        <v>2239</v>
      </c>
      <c r="L84" s="5" t="s">
        <v>11</v>
      </c>
      <c r="M84" s="5">
        <v>15</v>
      </c>
    </row>
    <row r="85" spans="1:13" x14ac:dyDescent="0.3">
      <c r="A85" s="4" t="s">
        <v>19</v>
      </c>
      <c r="B85" s="4" t="s">
        <v>45</v>
      </c>
      <c r="C85" s="2">
        <v>46</v>
      </c>
      <c r="D85" s="2">
        <v>2</v>
      </c>
      <c r="E85" s="2">
        <v>3</v>
      </c>
      <c r="F85" s="2">
        <v>7</v>
      </c>
      <c r="G85" s="2">
        <v>6.1</v>
      </c>
      <c r="H85" s="2">
        <v>23.5</v>
      </c>
      <c r="I85" s="2">
        <v>19.5</v>
      </c>
      <c r="J85" s="2">
        <v>30</v>
      </c>
      <c r="K85" s="2">
        <v>2239</v>
      </c>
      <c r="L85" s="5" t="s">
        <v>11</v>
      </c>
      <c r="M85" s="5">
        <v>15</v>
      </c>
    </row>
    <row r="86" spans="1:13" x14ac:dyDescent="0.3">
      <c r="A86" s="4" t="s">
        <v>19</v>
      </c>
      <c r="B86" s="4" t="s">
        <v>46</v>
      </c>
      <c r="C86" s="2">
        <v>29</v>
      </c>
      <c r="D86" s="2">
        <v>1</v>
      </c>
      <c r="E86" s="2">
        <v>2</v>
      </c>
      <c r="F86" s="2">
        <v>4</v>
      </c>
      <c r="G86" s="2">
        <v>5.9</v>
      </c>
      <c r="H86" s="2">
        <v>22.1</v>
      </c>
      <c r="I86" s="2">
        <v>16.899999999999999</v>
      </c>
      <c r="J86" s="2">
        <v>21</v>
      </c>
      <c r="K86" s="2">
        <v>1751</v>
      </c>
      <c r="L86" s="5" t="s">
        <v>11</v>
      </c>
      <c r="M86" s="5">
        <v>35</v>
      </c>
    </row>
    <row r="87" spans="1:13" x14ac:dyDescent="0.3">
      <c r="A87" s="4" t="s">
        <v>19</v>
      </c>
      <c r="B87" s="4" t="s">
        <v>46</v>
      </c>
      <c r="C87" s="2">
        <v>36</v>
      </c>
      <c r="D87" s="2">
        <v>1</v>
      </c>
      <c r="E87" s="2">
        <v>2</v>
      </c>
      <c r="F87" s="2">
        <v>5</v>
      </c>
      <c r="G87" s="2">
        <v>5.9</v>
      </c>
      <c r="H87" s="2">
        <v>26.9</v>
      </c>
      <c r="I87" s="2">
        <v>17</v>
      </c>
      <c r="J87" s="2">
        <v>21</v>
      </c>
      <c r="K87" s="2">
        <v>1751</v>
      </c>
      <c r="L87" s="5" t="s">
        <v>11</v>
      </c>
      <c r="M87" s="5">
        <v>35</v>
      </c>
    </row>
    <row r="88" spans="1:13" x14ac:dyDescent="0.3">
      <c r="A88" s="4" t="s">
        <v>19</v>
      </c>
      <c r="B88" s="4" t="s">
        <v>46</v>
      </c>
      <c r="C88" s="2">
        <v>40</v>
      </c>
      <c r="D88" s="2">
        <v>1</v>
      </c>
      <c r="E88" s="2">
        <v>2</v>
      </c>
      <c r="F88" s="2">
        <v>6</v>
      </c>
      <c r="G88" s="2">
        <v>5.5</v>
      </c>
      <c r="H88" s="2">
        <v>29.3</v>
      </c>
      <c r="I88" s="2">
        <v>17</v>
      </c>
      <c r="J88" s="2">
        <v>21</v>
      </c>
      <c r="K88" s="2">
        <v>1751</v>
      </c>
      <c r="L88" s="5" t="s">
        <v>11</v>
      </c>
      <c r="M88" s="5">
        <v>35</v>
      </c>
    </row>
    <row r="89" spans="1:13" x14ac:dyDescent="0.3">
      <c r="A89" s="4" t="s">
        <v>19</v>
      </c>
      <c r="B89" s="4" t="s">
        <v>46</v>
      </c>
      <c r="C89" s="2">
        <v>30</v>
      </c>
      <c r="D89" s="2">
        <v>1</v>
      </c>
      <c r="E89" s="2">
        <v>2</v>
      </c>
      <c r="F89" s="2">
        <v>4</v>
      </c>
      <c r="G89" s="2">
        <v>5.4</v>
      </c>
      <c r="H89" s="2">
        <v>33.4</v>
      </c>
      <c r="I89" s="2">
        <v>17.399999999999999</v>
      </c>
      <c r="J89" s="2">
        <v>21</v>
      </c>
      <c r="K89" s="2">
        <v>1751</v>
      </c>
      <c r="L89" s="5" t="s">
        <v>11</v>
      </c>
      <c r="M89" s="5">
        <v>35</v>
      </c>
    </row>
    <row r="90" spans="1:13" x14ac:dyDescent="0.3">
      <c r="A90" s="4" t="s">
        <v>19</v>
      </c>
      <c r="B90" s="4" t="s">
        <v>48</v>
      </c>
      <c r="C90" s="2">
        <v>55</v>
      </c>
      <c r="D90" s="2">
        <v>2</v>
      </c>
      <c r="E90" s="2">
        <v>3</v>
      </c>
      <c r="F90" s="2">
        <v>8</v>
      </c>
      <c r="G90" s="2">
        <v>6.1</v>
      </c>
      <c r="H90" s="2">
        <v>38.4</v>
      </c>
      <c r="I90" s="2">
        <v>26.3</v>
      </c>
      <c r="J90" s="2">
        <v>27.1</v>
      </c>
      <c r="K90" s="2">
        <v>1485</v>
      </c>
      <c r="L90" s="5" t="s">
        <v>11</v>
      </c>
      <c r="M90" s="5">
        <v>18</v>
      </c>
    </row>
    <row r="91" spans="1:13" x14ac:dyDescent="0.3">
      <c r="A91" s="4" t="s">
        <v>19</v>
      </c>
      <c r="B91" s="4" t="s">
        <v>48</v>
      </c>
      <c r="C91" s="2">
        <v>15</v>
      </c>
      <c r="D91" s="2">
        <v>0</v>
      </c>
      <c r="E91" s="2">
        <v>1</v>
      </c>
      <c r="F91" s="2">
        <v>2</v>
      </c>
      <c r="G91" s="2">
        <v>6.1</v>
      </c>
      <c r="H91" s="2">
        <v>36.6</v>
      </c>
      <c r="I91" s="2">
        <v>23.6</v>
      </c>
      <c r="J91" s="2">
        <v>27.1</v>
      </c>
      <c r="K91" s="2">
        <v>1485</v>
      </c>
      <c r="L91" s="5" t="s">
        <v>11</v>
      </c>
      <c r="M91" s="5">
        <v>18</v>
      </c>
    </row>
    <row r="92" spans="1:13" x14ac:dyDescent="0.3">
      <c r="A92" s="4" t="s">
        <v>19</v>
      </c>
      <c r="B92" s="4" t="s">
        <v>48</v>
      </c>
      <c r="C92" s="2">
        <v>45</v>
      </c>
      <c r="D92" s="2">
        <v>2</v>
      </c>
      <c r="E92" s="2">
        <v>3</v>
      </c>
      <c r="F92" s="2">
        <v>7</v>
      </c>
      <c r="G92" s="2">
        <v>6.2</v>
      </c>
      <c r="H92" s="2">
        <v>31.3</v>
      </c>
      <c r="I92" s="2">
        <v>22.3</v>
      </c>
      <c r="J92" s="2">
        <v>26.8</v>
      </c>
      <c r="K92" s="2">
        <v>1406</v>
      </c>
      <c r="L92" s="5" t="s">
        <v>11</v>
      </c>
      <c r="M92" s="5">
        <v>18</v>
      </c>
    </row>
    <row r="93" spans="1:13" x14ac:dyDescent="0.3">
      <c r="A93" s="4" t="s">
        <v>19</v>
      </c>
      <c r="B93" s="4" t="s">
        <v>48</v>
      </c>
      <c r="C93" s="2">
        <v>81</v>
      </c>
      <c r="D93" s="2">
        <v>4</v>
      </c>
      <c r="E93" s="2">
        <v>5</v>
      </c>
      <c r="F93" s="2">
        <v>12</v>
      </c>
      <c r="G93" s="2">
        <v>5.8</v>
      </c>
      <c r="H93" s="2">
        <v>30</v>
      </c>
      <c r="I93" s="2">
        <v>25.2</v>
      </c>
      <c r="J93" s="2">
        <v>26.8</v>
      </c>
      <c r="K93" s="2">
        <v>1406</v>
      </c>
      <c r="L93" s="5" t="s">
        <v>11</v>
      </c>
      <c r="M93" s="5">
        <v>18</v>
      </c>
    </row>
    <row r="94" spans="1:13" x14ac:dyDescent="0.3">
      <c r="A94" s="4" t="s">
        <v>19</v>
      </c>
      <c r="B94" s="4" t="s">
        <v>48</v>
      </c>
      <c r="C94" s="2">
        <v>18</v>
      </c>
      <c r="D94" s="2">
        <v>0</v>
      </c>
      <c r="E94" s="2">
        <v>1</v>
      </c>
      <c r="F94" s="2">
        <v>2</v>
      </c>
      <c r="G94" s="2">
        <v>6.2</v>
      </c>
      <c r="H94" s="2">
        <v>32.5</v>
      </c>
      <c r="I94" s="2">
        <v>24.1</v>
      </c>
      <c r="J94" s="2">
        <v>26.2</v>
      </c>
      <c r="K94" s="2">
        <v>1382</v>
      </c>
      <c r="L94" s="5" t="s">
        <v>11</v>
      </c>
      <c r="M94" s="5">
        <v>7</v>
      </c>
    </row>
    <row r="95" spans="1:13" x14ac:dyDescent="0.3">
      <c r="A95" s="4" t="s">
        <v>19</v>
      </c>
      <c r="B95" s="4" t="s">
        <v>48</v>
      </c>
      <c r="C95" s="2">
        <v>24</v>
      </c>
      <c r="D95" s="2">
        <v>1</v>
      </c>
      <c r="E95" s="2">
        <v>1</v>
      </c>
      <c r="F95" s="2">
        <v>3</v>
      </c>
      <c r="G95" s="2">
        <v>6.1</v>
      </c>
      <c r="H95" s="2">
        <v>30.3</v>
      </c>
      <c r="I95" s="2">
        <v>24.8</v>
      </c>
      <c r="J95" s="2">
        <v>26.2</v>
      </c>
      <c r="K95" s="2">
        <v>1382</v>
      </c>
      <c r="L95" s="5" t="s">
        <v>11</v>
      </c>
      <c r="M95" s="5">
        <v>7</v>
      </c>
    </row>
    <row r="96" spans="1:13" x14ac:dyDescent="0.3">
      <c r="A96" s="3" t="s">
        <v>20</v>
      </c>
      <c r="B96" s="4" t="s">
        <v>50</v>
      </c>
      <c r="C96" s="2">
        <v>75</v>
      </c>
      <c r="D96" s="2">
        <v>3</v>
      </c>
      <c r="E96" s="2">
        <v>5</v>
      </c>
      <c r="F96" s="2">
        <v>12</v>
      </c>
      <c r="G96" s="2">
        <v>6.6</v>
      </c>
      <c r="H96" s="2">
        <v>15.7</v>
      </c>
      <c r="I96" s="2">
        <v>26.3</v>
      </c>
      <c r="J96" s="2">
        <v>25.1</v>
      </c>
      <c r="K96" s="2">
        <v>682</v>
      </c>
      <c r="L96" s="5" t="s">
        <v>11</v>
      </c>
      <c r="M96" s="5">
        <v>25</v>
      </c>
    </row>
    <row r="97" spans="1:13" x14ac:dyDescent="0.3">
      <c r="A97" s="3" t="s">
        <v>20</v>
      </c>
      <c r="B97" s="4" t="s">
        <v>50</v>
      </c>
      <c r="C97" s="2">
        <v>128</v>
      </c>
      <c r="D97" s="2">
        <v>6</v>
      </c>
      <c r="E97" s="2">
        <v>8</v>
      </c>
      <c r="F97" s="2">
        <v>20</v>
      </c>
      <c r="G97" s="2">
        <v>6.1</v>
      </c>
      <c r="H97" s="2">
        <v>18.3</v>
      </c>
      <c r="I97" s="2">
        <v>24.7</v>
      </c>
      <c r="J97" s="2">
        <v>25.1</v>
      </c>
      <c r="K97" s="2">
        <v>682</v>
      </c>
      <c r="L97" s="5" t="s">
        <v>11</v>
      </c>
      <c r="M97" s="5">
        <v>25</v>
      </c>
    </row>
    <row r="98" spans="1:13" x14ac:dyDescent="0.3">
      <c r="A98" s="3" t="s">
        <v>20</v>
      </c>
      <c r="B98" s="4" t="s">
        <v>50</v>
      </c>
      <c r="C98" s="2">
        <v>10.199999999999999</v>
      </c>
      <c r="D98" s="2">
        <v>5</v>
      </c>
      <c r="E98" s="2">
        <v>7</v>
      </c>
      <c r="F98" s="2">
        <v>16</v>
      </c>
      <c r="G98" s="2">
        <v>6.3</v>
      </c>
      <c r="H98" s="2">
        <v>29.6</v>
      </c>
      <c r="I98" s="2">
        <v>24.5</v>
      </c>
      <c r="J98" s="2">
        <v>25.1</v>
      </c>
      <c r="K98" s="2">
        <v>682</v>
      </c>
      <c r="L98" s="5" t="s">
        <v>11</v>
      </c>
      <c r="M98" s="5">
        <v>25</v>
      </c>
    </row>
    <row r="99" spans="1:13" x14ac:dyDescent="0.3">
      <c r="A99" s="3" t="s">
        <v>20</v>
      </c>
      <c r="B99" s="4" t="s">
        <v>50</v>
      </c>
      <c r="C99" s="2">
        <v>97</v>
      </c>
      <c r="D99" s="2">
        <v>4</v>
      </c>
      <c r="E99" s="2">
        <v>6</v>
      </c>
      <c r="F99" s="2">
        <v>15</v>
      </c>
      <c r="G99" s="2">
        <v>5.8</v>
      </c>
      <c r="H99" s="2">
        <v>35.1</v>
      </c>
      <c r="I99" s="2">
        <v>24.5</v>
      </c>
      <c r="J99" s="2">
        <v>25.1</v>
      </c>
      <c r="K99" s="2">
        <v>682</v>
      </c>
      <c r="L99" s="5" t="s">
        <v>11</v>
      </c>
      <c r="M99" s="5">
        <v>25</v>
      </c>
    </row>
    <row r="100" spans="1:13" x14ac:dyDescent="0.3">
      <c r="A100" s="4" t="s">
        <v>21</v>
      </c>
      <c r="B100" s="4" t="s">
        <v>52</v>
      </c>
      <c r="C100" s="6">
        <v>93</v>
      </c>
      <c r="D100" s="6">
        <v>4</v>
      </c>
      <c r="E100" s="6">
        <v>6</v>
      </c>
      <c r="F100" s="6">
        <v>14</v>
      </c>
      <c r="G100" s="6">
        <v>5.5</v>
      </c>
      <c r="H100" s="6">
        <v>28.5</v>
      </c>
      <c r="I100" s="6">
        <v>21.3</v>
      </c>
      <c r="J100" s="2">
        <v>21</v>
      </c>
      <c r="K100" s="2">
        <v>1731</v>
      </c>
      <c r="L100" s="5" t="s">
        <v>11</v>
      </c>
      <c r="M100" s="5">
        <v>25</v>
      </c>
    </row>
    <row r="101" spans="1:13" x14ac:dyDescent="0.3">
      <c r="A101" s="4" t="s">
        <v>21</v>
      </c>
      <c r="B101" s="4" t="s">
        <v>52</v>
      </c>
      <c r="C101" s="6">
        <v>69</v>
      </c>
      <c r="D101" s="6">
        <v>3</v>
      </c>
      <c r="E101" s="6">
        <v>4</v>
      </c>
      <c r="F101" s="6">
        <v>11</v>
      </c>
      <c r="G101" s="6">
        <v>5.5</v>
      </c>
      <c r="H101" s="6">
        <v>26.9</v>
      </c>
      <c r="I101" s="6">
        <v>18.100000000000001</v>
      </c>
      <c r="J101" s="2">
        <v>21</v>
      </c>
      <c r="K101" s="2">
        <v>1731</v>
      </c>
      <c r="L101" s="5" t="s">
        <v>11</v>
      </c>
      <c r="M101" s="5">
        <v>25</v>
      </c>
    </row>
    <row r="102" spans="1:13" x14ac:dyDescent="0.3">
      <c r="A102" s="4" t="s">
        <v>21</v>
      </c>
      <c r="B102" s="4" t="s">
        <v>52</v>
      </c>
      <c r="C102" s="6">
        <v>54</v>
      </c>
      <c r="D102" s="6">
        <v>2</v>
      </c>
      <c r="E102" s="6">
        <v>3</v>
      </c>
      <c r="F102" s="6">
        <v>7</v>
      </c>
      <c r="G102" s="6">
        <v>6.1</v>
      </c>
      <c r="H102" s="6">
        <v>26</v>
      </c>
      <c r="I102" s="6">
        <v>17.600000000000001</v>
      </c>
      <c r="J102" s="2">
        <v>21</v>
      </c>
      <c r="K102" s="2">
        <v>1731</v>
      </c>
      <c r="L102" s="5" t="s">
        <v>11</v>
      </c>
      <c r="M102" s="5">
        <v>25</v>
      </c>
    </row>
    <row r="103" spans="1:13" x14ac:dyDescent="0.3">
      <c r="A103" s="4" t="s">
        <v>21</v>
      </c>
      <c r="B103" s="4" t="s">
        <v>52</v>
      </c>
      <c r="C103" s="6">
        <v>52</v>
      </c>
      <c r="D103" s="6">
        <v>2</v>
      </c>
      <c r="E103" s="6">
        <v>3</v>
      </c>
      <c r="F103" s="6">
        <v>8</v>
      </c>
      <c r="G103" s="6">
        <v>6.6</v>
      </c>
      <c r="H103" s="6">
        <v>21</v>
      </c>
      <c r="I103" s="6">
        <v>22.9</v>
      </c>
      <c r="J103" s="2">
        <v>21</v>
      </c>
      <c r="K103" s="2">
        <v>1731</v>
      </c>
      <c r="L103" s="5" t="s">
        <v>11</v>
      </c>
      <c r="M103" s="5">
        <v>25</v>
      </c>
    </row>
    <row r="104" spans="1:13" x14ac:dyDescent="0.3">
      <c r="A104" s="4" t="s">
        <v>21</v>
      </c>
      <c r="B104" s="4" t="s">
        <v>52</v>
      </c>
      <c r="C104" s="6">
        <v>46</v>
      </c>
      <c r="D104" s="6">
        <v>2</v>
      </c>
      <c r="E104" s="6">
        <v>3</v>
      </c>
      <c r="F104" s="6">
        <v>7</v>
      </c>
      <c r="G104" s="6">
        <v>6.1</v>
      </c>
      <c r="H104" s="6">
        <v>39</v>
      </c>
      <c r="I104" s="6">
        <v>24</v>
      </c>
      <c r="J104" s="2">
        <v>21</v>
      </c>
      <c r="K104" s="2">
        <v>1628</v>
      </c>
      <c r="L104" s="5" t="s">
        <v>11</v>
      </c>
      <c r="M104" s="5">
        <v>25</v>
      </c>
    </row>
    <row r="105" spans="1:13" x14ac:dyDescent="0.3">
      <c r="A105" s="4" t="s">
        <v>21</v>
      </c>
      <c r="B105" s="4" t="s">
        <v>52</v>
      </c>
      <c r="C105" s="6">
        <v>40</v>
      </c>
      <c r="D105" s="6">
        <v>2</v>
      </c>
      <c r="E105" s="6">
        <v>2</v>
      </c>
      <c r="F105" s="6">
        <v>6</v>
      </c>
      <c r="G105" s="6">
        <v>5.7</v>
      </c>
      <c r="H105" s="6">
        <v>43.5</v>
      </c>
      <c r="I105" s="6">
        <v>24.3</v>
      </c>
      <c r="J105" s="2">
        <v>21</v>
      </c>
      <c r="K105" s="2">
        <v>1628</v>
      </c>
      <c r="L105" s="5" t="s">
        <v>11</v>
      </c>
      <c r="M105" s="5">
        <v>25</v>
      </c>
    </row>
    <row r="106" spans="1:13" x14ac:dyDescent="0.3">
      <c r="A106" s="4" t="s">
        <v>21</v>
      </c>
      <c r="B106" s="4" t="s">
        <v>52</v>
      </c>
      <c r="C106" s="6">
        <v>24</v>
      </c>
      <c r="D106" s="6">
        <v>1</v>
      </c>
      <c r="E106" s="6">
        <v>1</v>
      </c>
      <c r="F106" s="6">
        <v>3</v>
      </c>
      <c r="G106" s="6">
        <v>6</v>
      </c>
      <c r="H106" s="6">
        <v>37.4</v>
      </c>
      <c r="I106" s="6">
        <v>23</v>
      </c>
      <c r="J106" s="2">
        <v>21</v>
      </c>
      <c r="K106" s="2">
        <v>1628</v>
      </c>
      <c r="L106" s="5" t="s">
        <v>11</v>
      </c>
      <c r="M106" s="5">
        <v>25</v>
      </c>
    </row>
    <row r="107" spans="1:13" x14ac:dyDescent="0.3">
      <c r="A107" s="4" t="s">
        <v>21</v>
      </c>
      <c r="B107" s="4" t="s">
        <v>52</v>
      </c>
      <c r="C107" s="6">
        <v>25</v>
      </c>
      <c r="D107" s="6">
        <v>1</v>
      </c>
      <c r="E107" s="6">
        <v>1</v>
      </c>
      <c r="F107" s="6">
        <v>4</v>
      </c>
      <c r="G107" s="6">
        <v>6.1</v>
      </c>
      <c r="H107" s="6">
        <v>42.2</v>
      </c>
      <c r="I107" s="6">
        <v>23.5</v>
      </c>
      <c r="J107" s="2">
        <v>21</v>
      </c>
      <c r="K107" s="2">
        <v>1628</v>
      </c>
      <c r="L107" s="5" t="s">
        <v>11</v>
      </c>
      <c r="M107" s="5">
        <v>25</v>
      </c>
    </row>
    <row r="108" spans="1:13" x14ac:dyDescent="0.3">
      <c r="A108" s="4" t="s">
        <v>22</v>
      </c>
      <c r="B108" s="4" t="s">
        <v>53</v>
      </c>
      <c r="C108" s="2">
        <v>73</v>
      </c>
      <c r="D108" s="2">
        <v>3</v>
      </c>
      <c r="E108" s="2">
        <v>5</v>
      </c>
      <c r="F108" s="2">
        <v>11</v>
      </c>
      <c r="G108" s="2">
        <v>6.3</v>
      </c>
      <c r="H108" s="2">
        <v>65.099999999999994</v>
      </c>
      <c r="I108" s="2">
        <v>20.399999999999999</v>
      </c>
      <c r="J108" s="2">
        <v>20.9</v>
      </c>
      <c r="K108" s="2">
        <v>1519</v>
      </c>
      <c r="L108" s="5" t="s">
        <v>11</v>
      </c>
      <c r="M108" s="5">
        <v>18</v>
      </c>
    </row>
    <row r="109" spans="1:13" x14ac:dyDescent="0.3">
      <c r="A109" s="4" t="s">
        <v>22</v>
      </c>
      <c r="B109" s="4" t="s">
        <v>53</v>
      </c>
      <c r="C109" s="2">
        <v>44</v>
      </c>
      <c r="D109" s="2">
        <v>2</v>
      </c>
      <c r="E109" s="2">
        <v>3</v>
      </c>
      <c r="F109" s="2">
        <v>7</v>
      </c>
      <c r="G109" s="2">
        <v>5.9</v>
      </c>
      <c r="H109" s="2">
        <v>22.7</v>
      </c>
      <c r="I109" s="2">
        <v>20.9</v>
      </c>
      <c r="J109" s="2">
        <v>20.9</v>
      </c>
      <c r="K109" s="2">
        <v>1518</v>
      </c>
      <c r="L109" s="5" t="s">
        <v>11</v>
      </c>
      <c r="M109" s="5">
        <v>18</v>
      </c>
    </row>
    <row r="110" spans="1:13" x14ac:dyDescent="0.3">
      <c r="A110" s="4" t="s">
        <v>22</v>
      </c>
      <c r="B110" s="4" t="s">
        <v>53</v>
      </c>
      <c r="C110" s="2">
        <v>252</v>
      </c>
      <c r="D110" s="2">
        <v>12</v>
      </c>
      <c r="E110" s="2">
        <v>17</v>
      </c>
      <c r="F110" s="2">
        <v>40</v>
      </c>
      <c r="G110" s="2">
        <v>5.4</v>
      </c>
      <c r="H110" s="2">
        <v>29.4</v>
      </c>
      <c r="I110" s="2">
        <v>20.3</v>
      </c>
      <c r="J110" s="2">
        <v>18.5</v>
      </c>
      <c r="K110" s="2">
        <v>1551</v>
      </c>
      <c r="L110" s="5" t="s">
        <v>11</v>
      </c>
      <c r="M110" s="5">
        <v>25</v>
      </c>
    </row>
    <row r="111" spans="1:13" x14ac:dyDescent="0.3">
      <c r="A111" s="4" t="s">
        <v>22</v>
      </c>
      <c r="B111" s="4" t="s">
        <v>53</v>
      </c>
      <c r="C111" s="2">
        <v>256</v>
      </c>
      <c r="D111" s="2">
        <v>12</v>
      </c>
      <c r="E111" s="2">
        <v>18</v>
      </c>
      <c r="F111" s="2">
        <v>41</v>
      </c>
      <c r="G111" s="2">
        <v>5.2</v>
      </c>
      <c r="H111" s="2">
        <v>28.6</v>
      </c>
      <c r="I111" s="2">
        <v>20.2</v>
      </c>
      <c r="J111" s="2">
        <v>18.5</v>
      </c>
      <c r="K111" s="2">
        <v>1551</v>
      </c>
      <c r="L111" s="5" t="s">
        <v>11</v>
      </c>
      <c r="M111" s="5">
        <v>25</v>
      </c>
    </row>
    <row r="112" spans="1:13" x14ac:dyDescent="0.3">
      <c r="A112" s="4" t="s">
        <v>22</v>
      </c>
      <c r="B112" s="4" t="s">
        <v>53</v>
      </c>
      <c r="C112" s="2">
        <v>84</v>
      </c>
      <c r="D112" s="2">
        <v>4</v>
      </c>
      <c r="E112" s="2">
        <v>5</v>
      </c>
      <c r="F112" s="2">
        <v>13</v>
      </c>
      <c r="G112" s="2">
        <v>5.4</v>
      </c>
      <c r="H112" s="2">
        <v>57</v>
      </c>
      <c r="I112" s="2">
        <v>19.100000000000001</v>
      </c>
      <c r="J112" s="2">
        <v>20.6</v>
      </c>
      <c r="K112" s="2">
        <v>1618</v>
      </c>
      <c r="L112" s="5" t="s">
        <v>11</v>
      </c>
      <c r="M112" s="5">
        <v>8</v>
      </c>
    </row>
    <row r="113" spans="1:13" x14ac:dyDescent="0.3">
      <c r="A113" s="4" t="s">
        <v>22</v>
      </c>
      <c r="B113" s="4" t="s">
        <v>53</v>
      </c>
      <c r="C113" s="2">
        <v>371</v>
      </c>
      <c r="D113" s="2">
        <v>18</v>
      </c>
      <c r="E113" s="2">
        <v>26</v>
      </c>
      <c r="F113" s="2">
        <v>60</v>
      </c>
      <c r="G113" s="2">
        <v>4.5999999999999996</v>
      </c>
      <c r="H113" s="2">
        <v>48.6</v>
      </c>
      <c r="I113" s="2">
        <v>19.899999999999999</v>
      </c>
      <c r="J113" s="2">
        <v>20.6</v>
      </c>
      <c r="K113" s="2">
        <v>1618</v>
      </c>
      <c r="L113" s="5" t="s">
        <v>11</v>
      </c>
      <c r="M113" s="5">
        <v>8</v>
      </c>
    </row>
    <row r="114" spans="1:13" x14ac:dyDescent="0.3">
      <c r="A114" s="4" t="s">
        <v>22</v>
      </c>
      <c r="B114" s="4" t="s">
        <v>53</v>
      </c>
      <c r="C114" s="2">
        <v>91</v>
      </c>
      <c r="D114" s="2">
        <v>4</v>
      </c>
      <c r="E114" s="2">
        <v>6</v>
      </c>
      <c r="F114" s="2">
        <v>14</v>
      </c>
      <c r="G114" s="2">
        <v>6.2</v>
      </c>
      <c r="H114" s="2">
        <v>34.799999999999997</v>
      </c>
      <c r="I114" s="2">
        <v>21.5</v>
      </c>
      <c r="J114" s="2">
        <v>20</v>
      </c>
      <c r="K114" s="2">
        <v>1558</v>
      </c>
      <c r="L114" s="5" t="s">
        <v>11</v>
      </c>
      <c r="M114" s="5">
        <v>40</v>
      </c>
    </row>
    <row r="115" spans="1:13" x14ac:dyDescent="0.3">
      <c r="A115" s="4" t="s">
        <v>22</v>
      </c>
      <c r="B115" s="4" t="s">
        <v>53</v>
      </c>
      <c r="C115" s="2">
        <v>72</v>
      </c>
      <c r="D115" s="2">
        <v>3</v>
      </c>
      <c r="E115" s="2">
        <v>5</v>
      </c>
      <c r="F115" s="2">
        <v>11</v>
      </c>
      <c r="G115" s="2">
        <v>6.6</v>
      </c>
      <c r="H115" s="2">
        <v>27.4</v>
      </c>
      <c r="I115" s="2">
        <v>21.2</v>
      </c>
      <c r="J115" s="2">
        <v>20</v>
      </c>
      <c r="K115" s="2">
        <v>1558</v>
      </c>
      <c r="L115" s="5" t="s">
        <v>11</v>
      </c>
      <c r="M115" s="5">
        <v>40</v>
      </c>
    </row>
    <row r="116" spans="1:13" x14ac:dyDescent="0.3">
      <c r="A116" s="4" t="s">
        <v>22</v>
      </c>
      <c r="B116" s="4" t="s">
        <v>54</v>
      </c>
      <c r="C116" s="2">
        <v>67</v>
      </c>
      <c r="D116" s="2">
        <v>3</v>
      </c>
      <c r="E116" s="2">
        <v>4</v>
      </c>
      <c r="F116" s="2">
        <v>10</v>
      </c>
      <c r="G116" s="2">
        <v>5.8</v>
      </c>
      <c r="H116" s="2">
        <v>31.2</v>
      </c>
      <c r="I116" s="2">
        <v>20</v>
      </c>
      <c r="J116" s="2">
        <v>20</v>
      </c>
      <c r="K116" s="2">
        <v>1535</v>
      </c>
      <c r="L116" s="5" t="s">
        <v>11</v>
      </c>
      <c r="M116" s="5">
        <v>25</v>
      </c>
    </row>
    <row r="117" spans="1:13" x14ac:dyDescent="0.3">
      <c r="A117" s="4" t="s">
        <v>22</v>
      </c>
      <c r="B117" s="4" t="s">
        <v>54</v>
      </c>
      <c r="C117" s="2">
        <v>33</v>
      </c>
      <c r="D117" s="2">
        <v>1</v>
      </c>
      <c r="E117" s="2">
        <v>2</v>
      </c>
      <c r="F117" s="2">
        <v>5</v>
      </c>
      <c r="G117" s="2">
        <v>6.1</v>
      </c>
      <c r="H117" s="2">
        <v>32.4</v>
      </c>
      <c r="I117" s="2">
        <v>20.5</v>
      </c>
      <c r="J117" s="2">
        <v>20</v>
      </c>
      <c r="K117" s="2">
        <v>1535</v>
      </c>
      <c r="L117" s="5" t="s">
        <v>11</v>
      </c>
      <c r="M117" s="5">
        <v>25</v>
      </c>
    </row>
    <row r="118" spans="1:13" x14ac:dyDescent="0.3">
      <c r="A118" s="4" t="s">
        <v>23</v>
      </c>
      <c r="B118" s="4" t="s">
        <v>56</v>
      </c>
      <c r="C118" s="2">
        <v>31</v>
      </c>
      <c r="D118" s="2">
        <v>1</v>
      </c>
      <c r="E118" s="2">
        <v>2</v>
      </c>
      <c r="F118" s="2">
        <v>5</v>
      </c>
      <c r="G118" s="2">
        <v>6.1</v>
      </c>
      <c r="H118" s="2">
        <v>28.1</v>
      </c>
      <c r="I118" s="2">
        <v>26.5</v>
      </c>
      <c r="J118" s="2">
        <v>22</v>
      </c>
      <c r="K118" s="2">
        <v>1213</v>
      </c>
      <c r="L118" s="5" t="s">
        <v>11</v>
      </c>
      <c r="M118" s="5">
        <v>18</v>
      </c>
    </row>
    <row r="119" spans="1:13" x14ac:dyDescent="0.3">
      <c r="A119" s="4" t="s">
        <v>23</v>
      </c>
      <c r="B119" s="4" t="s">
        <v>56</v>
      </c>
      <c r="C119" s="2">
        <v>22</v>
      </c>
      <c r="D119" s="2">
        <v>1</v>
      </c>
      <c r="E119" s="2">
        <v>1</v>
      </c>
      <c r="F119" s="2">
        <v>3</v>
      </c>
      <c r="G119" s="2">
        <v>6.3</v>
      </c>
      <c r="H119" s="2">
        <v>25.5</v>
      </c>
      <c r="I119" s="2">
        <v>26.2</v>
      </c>
      <c r="J119" s="2">
        <v>22</v>
      </c>
      <c r="K119" s="2">
        <v>1203</v>
      </c>
      <c r="L119" s="5" t="s">
        <v>11</v>
      </c>
      <c r="M119" s="5">
        <v>18</v>
      </c>
    </row>
    <row r="120" spans="1:13" x14ac:dyDescent="0.3">
      <c r="A120" s="3" t="s">
        <v>24</v>
      </c>
      <c r="B120" s="4" t="s">
        <v>57</v>
      </c>
      <c r="C120" s="2">
        <v>54</v>
      </c>
      <c r="D120" s="2">
        <v>2</v>
      </c>
      <c r="E120" s="2">
        <v>3</v>
      </c>
      <c r="F120" s="2">
        <v>8</v>
      </c>
      <c r="G120" s="2">
        <v>6.4</v>
      </c>
      <c r="H120" s="2">
        <v>33.5</v>
      </c>
      <c r="I120" s="2">
        <v>21.7</v>
      </c>
      <c r="J120" s="2">
        <v>20</v>
      </c>
      <c r="K120" s="2">
        <v>1251</v>
      </c>
      <c r="L120" s="5" t="s">
        <v>11</v>
      </c>
      <c r="M120" s="5">
        <v>18</v>
      </c>
    </row>
    <row r="121" spans="1:13" x14ac:dyDescent="0.3">
      <c r="A121" s="3" t="s">
        <v>24</v>
      </c>
      <c r="B121" s="4" t="s">
        <v>57</v>
      </c>
      <c r="C121" s="2">
        <v>21</v>
      </c>
      <c r="D121" s="2">
        <v>1</v>
      </c>
      <c r="E121" s="2">
        <v>1</v>
      </c>
      <c r="F121" s="2">
        <v>3</v>
      </c>
      <c r="G121" s="2">
        <v>6.2</v>
      </c>
      <c r="H121" s="2">
        <v>29.5</v>
      </c>
      <c r="I121" s="2">
        <v>22.5</v>
      </c>
      <c r="J121" s="2">
        <v>20</v>
      </c>
      <c r="K121" s="2">
        <v>1251</v>
      </c>
      <c r="L121" s="5" t="s">
        <v>11</v>
      </c>
      <c r="M121" s="5">
        <v>30</v>
      </c>
    </row>
    <row r="122" spans="1:13" x14ac:dyDescent="0.3">
      <c r="A122" s="3" t="s">
        <v>24</v>
      </c>
      <c r="B122" s="4" t="s">
        <v>57</v>
      </c>
      <c r="C122" s="2">
        <v>21</v>
      </c>
      <c r="D122" s="2">
        <v>1</v>
      </c>
      <c r="E122" s="2">
        <v>1</v>
      </c>
      <c r="F122" s="2">
        <v>3</v>
      </c>
      <c r="G122" s="2">
        <v>6.3</v>
      </c>
      <c r="H122" s="2">
        <v>49.2</v>
      </c>
      <c r="I122" s="2">
        <v>22.4</v>
      </c>
      <c r="J122" s="2">
        <v>21</v>
      </c>
      <c r="K122" s="2">
        <v>1284</v>
      </c>
      <c r="L122" s="5" t="s">
        <v>11</v>
      </c>
      <c r="M122" s="5">
        <v>30</v>
      </c>
    </row>
    <row r="123" spans="1:13" x14ac:dyDescent="0.3">
      <c r="A123" s="3" t="s">
        <v>24</v>
      </c>
      <c r="B123" s="4" t="s">
        <v>57</v>
      </c>
      <c r="C123" s="2">
        <v>26</v>
      </c>
      <c r="D123" s="2">
        <v>1</v>
      </c>
      <c r="E123" s="2">
        <v>1</v>
      </c>
      <c r="F123" s="2">
        <v>4</v>
      </c>
      <c r="G123" s="2">
        <v>6.9</v>
      </c>
      <c r="H123" s="2">
        <v>54.2</v>
      </c>
      <c r="I123" s="2">
        <v>21.1</v>
      </c>
      <c r="J123" s="2">
        <v>21</v>
      </c>
      <c r="K123" s="2">
        <v>1284</v>
      </c>
      <c r="L123" s="5" t="s">
        <v>11</v>
      </c>
      <c r="M123" s="5">
        <v>18</v>
      </c>
    </row>
    <row r="124" spans="1:13" x14ac:dyDescent="0.3">
      <c r="A124" s="3" t="s">
        <v>24</v>
      </c>
      <c r="B124" s="4" t="s">
        <v>58</v>
      </c>
      <c r="C124" s="2">
        <v>346</v>
      </c>
      <c r="D124" s="2">
        <v>17</v>
      </c>
      <c r="E124" s="2">
        <v>24</v>
      </c>
      <c r="F124" s="2">
        <v>55</v>
      </c>
      <c r="G124" s="2">
        <v>6.3</v>
      </c>
      <c r="H124" s="2">
        <v>34</v>
      </c>
      <c r="I124" s="2">
        <v>25.6</v>
      </c>
      <c r="J124" s="2">
        <v>22</v>
      </c>
      <c r="K124" s="2">
        <v>1340</v>
      </c>
      <c r="L124" s="5" t="s">
        <v>11</v>
      </c>
      <c r="M124" s="5">
        <v>20</v>
      </c>
    </row>
    <row r="125" spans="1:13" x14ac:dyDescent="0.3">
      <c r="A125" s="3" t="s">
        <v>24</v>
      </c>
      <c r="B125" s="4" t="s">
        <v>58</v>
      </c>
      <c r="C125" s="2">
        <v>182</v>
      </c>
      <c r="D125" s="2">
        <v>9</v>
      </c>
      <c r="E125" s="2">
        <v>12</v>
      </c>
      <c r="F125" s="2">
        <v>29</v>
      </c>
      <c r="G125" s="2">
        <v>6.2</v>
      </c>
      <c r="H125" s="2">
        <v>37</v>
      </c>
      <c r="I125" s="2">
        <v>24.4</v>
      </c>
      <c r="J125" s="2">
        <v>22</v>
      </c>
      <c r="K125" s="2">
        <v>1340</v>
      </c>
      <c r="L125" s="5" t="s">
        <v>11</v>
      </c>
      <c r="M125" s="5">
        <v>20</v>
      </c>
    </row>
    <row r="126" spans="1:13" x14ac:dyDescent="0.3">
      <c r="A126" s="3" t="s">
        <v>24</v>
      </c>
      <c r="B126" s="4" t="s">
        <v>58</v>
      </c>
      <c r="C126" s="2">
        <v>52</v>
      </c>
      <c r="D126" s="2">
        <v>2</v>
      </c>
      <c r="E126" s="2">
        <v>3</v>
      </c>
      <c r="F126" s="2">
        <v>8</v>
      </c>
      <c r="G126" s="2">
        <v>6</v>
      </c>
      <c r="H126" s="2">
        <v>27.1</v>
      </c>
      <c r="I126" s="2">
        <v>24.4</v>
      </c>
      <c r="J126" s="2">
        <v>23</v>
      </c>
      <c r="K126" s="2">
        <v>1466</v>
      </c>
      <c r="L126" s="5" t="s">
        <v>11</v>
      </c>
      <c r="M126" s="5">
        <v>30</v>
      </c>
    </row>
    <row r="127" spans="1:13" x14ac:dyDescent="0.3">
      <c r="A127" s="3" t="s">
        <v>24</v>
      </c>
      <c r="B127" s="4" t="s">
        <v>58</v>
      </c>
      <c r="C127" s="2">
        <v>75</v>
      </c>
      <c r="D127" s="2">
        <v>3</v>
      </c>
      <c r="E127" s="2">
        <v>5</v>
      </c>
      <c r="F127" s="2">
        <v>12</v>
      </c>
      <c r="G127" s="2">
        <v>6.1</v>
      </c>
      <c r="H127" s="2">
        <v>45.8</v>
      </c>
      <c r="I127" s="2">
        <v>24.9</v>
      </c>
      <c r="J127" s="2">
        <v>23</v>
      </c>
      <c r="K127" s="2">
        <v>1466</v>
      </c>
      <c r="L127" s="5" t="s">
        <v>11</v>
      </c>
      <c r="M127" s="5">
        <v>30</v>
      </c>
    </row>
    <row r="128" spans="1:13" x14ac:dyDescent="0.3">
      <c r="A128" s="3" t="s">
        <v>24</v>
      </c>
      <c r="B128" s="4" t="s">
        <v>59</v>
      </c>
      <c r="C128" s="2">
        <v>34</v>
      </c>
      <c r="D128" s="2">
        <v>1</v>
      </c>
      <c r="E128" s="2">
        <v>2</v>
      </c>
      <c r="F128" s="2">
        <v>5</v>
      </c>
      <c r="G128" s="2">
        <v>6.3</v>
      </c>
      <c r="H128" s="2">
        <v>21.8</v>
      </c>
      <c r="I128" s="2">
        <v>24.6</v>
      </c>
      <c r="J128" s="2">
        <v>20</v>
      </c>
      <c r="K128" s="2">
        <v>1265</v>
      </c>
      <c r="L128" s="5" t="s">
        <v>11</v>
      </c>
      <c r="M128" s="5">
        <v>45</v>
      </c>
    </row>
    <row r="129" spans="1:13" x14ac:dyDescent="0.3">
      <c r="A129" s="3" t="s">
        <v>24</v>
      </c>
      <c r="B129" s="4" t="s">
        <v>59</v>
      </c>
      <c r="C129" s="2">
        <v>32</v>
      </c>
      <c r="D129" s="2">
        <v>1</v>
      </c>
      <c r="E129" s="2">
        <v>2</v>
      </c>
      <c r="F129" s="2">
        <v>5</v>
      </c>
      <c r="G129" s="2">
        <v>6.2</v>
      </c>
      <c r="H129" s="2">
        <v>20.3</v>
      </c>
      <c r="I129" s="2">
        <v>24.6</v>
      </c>
      <c r="J129" s="2">
        <v>20</v>
      </c>
      <c r="K129" s="2">
        <v>1265</v>
      </c>
      <c r="L129" s="5" t="s">
        <v>11</v>
      </c>
      <c r="M129" s="5">
        <v>45</v>
      </c>
    </row>
    <row r="130" spans="1:13" x14ac:dyDescent="0.3">
      <c r="A130" s="3" t="s">
        <v>24</v>
      </c>
      <c r="B130" s="4" t="s">
        <v>60</v>
      </c>
      <c r="C130" s="2">
        <v>74</v>
      </c>
      <c r="D130" s="2">
        <v>3</v>
      </c>
      <c r="E130" s="2">
        <v>5</v>
      </c>
      <c r="F130" s="2">
        <v>12</v>
      </c>
      <c r="G130" s="2">
        <v>6.2</v>
      </c>
      <c r="H130" s="2">
        <v>34.5</v>
      </c>
      <c r="I130" s="2">
        <v>26.2</v>
      </c>
      <c r="J130" s="2">
        <v>22</v>
      </c>
      <c r="K130" s="2">
        <v>1349</v>
      </c>
      <c r="L130" s="5" t="s">
        <v>11</v>
      </c>
      <c r="M130" s="5">
        <v>25</v>
      </c>
    </row>
    <row r="131" spans="1:13" x14ac:dyDescent="0.3">
      <c r="A131" s="3" t="s">
        <v>24</v>
      </c>
      <c r="B131" s="4" t="s">
        <v>60</v>
      </c>
      <c r="C131" s="2">
        <v>48</v>
      </c>
      <c r="D131" s="2">
        <v>2</v>
      </c>
      <c r="E131" s="2">
        <v>3</v>
      </c>
      <c r="F131" s="2">
        <v>7</v>
      </c>
      <c r="G131" s="2">
        <v>7.5</v>
      </c>
      <c r="H131" s="2">
        <v>44.9</v>
      </c>
      <c r="I131" s="2">
        <v>30.5</v>
      </c>
      <c r="J131" s="2">
        <v>22</v>
      </c>
      <c r="K131" s="2">
        <v>1349</v>
      </c>
      <c r="L131" s="5" t="s">
        <v>11</v>
      </c>
      <c r="M131" s="5">
        <v>25</v>
      </c>
    </row>
    <row r="132" spans="1:13" x14ac:dyDescent="0.3">
      <c r="A132" s="3" t="s">
        <v>24</v>
      </c>
      <c r="B132" s="4" t="s">
        <v>61</v>
      </c>
      <c r="C132" s="2">
        <v>23</v>
      </c>
      <c r="D132" s="2">
        <v>1</v>
      </c>
      <c r="E132" s="2">
        <v>1</v>
      </c>
      <c r="F132" s="2">
        <v>3</v>
      </c>
      <c r="G132" s="2">
        <v>6.3</v>
      </c>
      <c r="H132" s="2">
        <v>33.700000000000003</v>
      </c>
      <c r="I132" s="2">
        <v>18.3</v>
      </c>
      <c r="J132" s="2">
        <v>16</v>
      </c>
      <c r="K132" s="2">
        <v>1753</v>
      </c>
      <c r="L132" s="5" t="s">
        <v>11</v>
      </c>
      <c r="M132" s="5">
        <v>30</v>
      </c>
    </row>
    <row r="133" spans="1:13" x14ac:dyDescent="0.3">
      <c r="A133" s="3" t="s">
        <v>24</v>
      </c>
      <c r="B133" s="4" t="s">
        <v>61</v>
      </c>
      <c r="C133" s="2">
        <v>7</v>
      </c>
      <c r="D133" s="2">
        <v>0</v>
      </c>
      <c r="E133" s="2">
        <v>0</v>
      </c>
      <c r="F133" s="2">
        <v>1</v>
      </c>
      <c r="G133" s="2">
        <v>6.2</v>
      </c>
      <c r="H133" s="2">
        <v>22.5</v>
      </c>
      <c r="I133" s="2">
        <v>18.8</v>
      </c>
      <c r="J133" s="2">
        <v>16</v>
      </c>
      <c r="K133" s="2">
        <v>1753</v>
      </c>
      <c r="L133" s="5" t="s">
        <v>11</v>
      </c>
      <c r="M133" s="5">
        <v>30</v>
      </c>
    </row>
    <row r="134" spans="1:13" x14ac:dyDescent="0.3">
      <c r="A134" s="3" t="s">
        <v>24</v>
      </c>
      <c r="B134" s="4" t="s">
        <v>61</v>
      </c>
      <c r="C134" s="2">
        <v>84</v>
      </c>
      <c r="D134" s="2">
        <v>4</v>
      </c>
      <c r="E134" s="2">
        <v>5</v>
      </c>
      <c r="F134" s="2">
        <v>13</v>
      </c>
      <c r="G134" s="2">
        <v>6.2</v>
      </c>
      <c r="H134" s="2">
        <v>22.2</v>
      </c>
      <c r="I134" s="2">
        <v>20</v>
      </c>
      <c r="J134" s="2">
        <v>19</v>
      </c>
      <c r="K134" s="2">
        <v>1638.91</v>
      </c>
      <c r="L134" s="5" t="s">
        <v>11</v>
      </c>
      <c r="M134" s="5">
        <v>30</v>
      </c>
    </row>
    <row r="135" spans="1:13" x14ac:dyDescent="0.3">
      <c r="A135" s="3" t="s">
        <v>24</v>
      </c>
      <c r="B135" s="4" t="s">
        <v>61</v>
      </c>
      <c r="C135" s="2">
        <v>72</v>
      </c>
      <c r="D135" s="2">
        <v>3</v>
      </c>
      <c r="E135" s="2">
        <v>5</v>
      </c>
      <c r="F135" s="2">
        <v>11</v>
      </c>
      <c r="G135" s="2">
        <v>6.3</v>
      </c>
      <c r="H135" s="2">
        <v>16.7</v>
      </c>
      <c r="I135" s="2">
        <v>20</v>
      </c>
      <c r="J135" s="2">
        <v>19</v>
      </c>
      <c r="K135" s="2">
        <v>1638.91</v>
      </c>
      <c r="L135" s="5" t="s">
        <v>11</v>
      </c>
      <c r="M135" s="5">
        <v>30</v>
      </c>
    </row>
    <row r="136" spans="1:13" x14ac:dyDescent="0.3">
      <c r="A136" s="3" t="s">
        <v>24</v>
      </c>
      <c r="B136" s="4" t="s">
        <v>61</v>
      </c>
      <c r="C136" s="2">
        <v>11</v>
      </c>
      <c r="D136" s="2">
        <v>0</v>
      </c>
      <c r="E136" s="2">
        <v>0</v>
      </c>
      <c r="F136" s="2">
        <v>1</v>
      </c>
      <c r="G136" s="2">
        <v>6.4</v>
      </c>
      <c r="H136" s="2">
        <v>16</v>
      </c>
      <c r="I136" s="2">
        <v>22.1</v>
      </c>
      <c r="J136" s="2">
        <v>21</v>
      </c>
      <c r="K136" s="2">
        <v>1567.28</v>
      </c>
      <c r="L136" s="5" t="s">
        <v>11</v>
      </c>
      <c r="M136" s="5">
        <v>30</v>
      </c>
    </row>
    <row r="137" spans="1:13" x14ac:dyDescent="0.3">
      <c r="A137" s="3" t="s">
        <v>24</v>
      </c>
      <c r="B137" s="4" t="s">
        <v>61</v>
      </c>
      <c r="C137" s="2">
        <v>62</v>
      </c>
      <c r="D137" s="2">
        <v>3</v>
      </c>
      <c r="E137" s="2">
        <v>4</v>
      </c>
      <c r="F137" s="2">
        <v>10</v>
      </c>
      <c r="G137" s="2">
        <v>6.2</v>
      </c>
      <c r="H137" s="2">
        <v>18.899999999999999</v>
      </c>
      <c r="I137" s="2">
        <v>22.9</v>
      </c>
      <c r="J137" s="2">
        <v>21</v>
      </c>
      <c r="K137" s="2">
        <v>1567.28</v>
      </c>
      <c r="L137" s="5" t="s">
        <v>11</v>
      </c>
      <c r="M137" s="5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2CEC-6649-4217-BF62-D684D9501B88}">
  <dimension ref="A1:M204"/>
  <sheetViews>
    <sheetView workbookViewId="0">
      <selection activeCell="Q27" sqref="Q27"/>
    </sheetView>
  </sheetViews>
  <sheetFormatPr defaultRowHeight="14.4" x14ac:dyDescent="0.3"/>
  <cols>
    <col min="1" max="1" width="14.6640625" style="7" customWidth="1"/>
    <col min="2" max="2" width="13.33203125" style="7" customWidth="1"/>
    <col min="3" max="3" width="9.109375" style="7"/>
    <col min="4" max="6" width="12.44140625" style="11" customWidth="1"/>
    <col min="7" max="8" width="9.109375" style="7"/>
    <col min="9" max="9" width="11.6640625" style="7" customWidth="1"/>
    <col min="10" max="11" width="9.109375" style="7"/>
    <col min="12" max="12" width="10.33203125" style="8" customWidth="1"/>
    <col min="13" max="13" width="14.44140625" style="8" customWidth="1"/>
  </cols>
  <sheetData>
    <row r="1" spans="1:13" x14ac:dyDescent="0.3">
      <c r="A1" s="1" t="s">
        <v>14</v>
      </c>
      <c r="B1" s="1" t="s">
        <v>29</v>
      </c>
      <c r="C1" s="2" t="s">
        <v>0</v>
      </c>
      <c r="D1" s="25" t="s">
        <v>102</v>
      </c>
      <c r="E1" s="25" t="s">
        <v>103</v>
      </c>
      <c r="F1" s="25" t="s">
        <v>104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3">
      <c r="A2" s="3" t="s">
        <v>15</v>
      </c>
      <c r="B2" s="4" t="s">
        <v>30</v>
      </c>
      <c r="C2" s="2">
        <v>101</v>
      </c>
      <c r="D2" s="27">
        <v>6200</v>
      </c>
      <c r="E2" s="29">
        <v>312.3</v>
      </c>
      <c r="F2" s="29">
        <v>338.5</v>
      </c>
      <c r="G2" s="2">
        <v>6.2</v>
      </c>
      <c r="H2" s="2">
        <v>26.9</v>
      </c>
      <c r="I2" s="2">
        <v>20.8</v>
      </c>
      <c r="J2" s="2">
        <v>28.1</v>
      </c>
      <c r="K2" s="2">
        <v>2002</v>
      </c>
      <c r="L2" s="5" t="s">
        <v>11</v>
      </c>
      <c r="M2" s="5">
        <v>30</v>
      </c>
    </row>
    <row r="3" spans="1:13" x14ac:dyDescent="0.3">
      <c r="A3" s="3" t="s">
        <v>15</v>
      </c>
      <c r="B3" s="4" t="s">
        <v>30</v>
      </c>
      <c r="C3" s="2">
        <v>41</v>
      </c>
      <c r="D3" s="31">
        <v>6500</v>
      </c>
      <c r="E3" s="30">
        <v>874.1</v>
      </c>
      <c r="F3" s="30">
        <v>240.2</v>
      </c>
      <c r="G3" s="2">
        <v>6.3</v>
      </c>
      <c r="H3" s="2">
        <v>26.4</v>
      </c>
      <c r="I3" s="2">
        <v>19.899999999999999</v>
      </c>
      <c r="J3" s="2">
        <v>28.1</v>
      </c>
      <c r="K3" s="2">
        <v>2002</v>
      </c>
      <c r="L3" s="5" t="s">
        <v>11</v>
      </c>
      <c r="M3" s="5">
        <v>30</v>
      </c>
    </row>
    <row r="4" spans="1:13" x14ac:dyDescent="0.3">
      <c r="A4" s="3" t="s">
        <v>15</v>
      </c>
      <c r="B4" s="4" t="s">
        <v>31</v>
      </c>
      <c r="C4" s="2">
        <v>101</v>
      </c>
      <c r="D4" s="31">
        <v>5800</v>
      </c>
      <c r="E4" s="30">
        <v>165.9</v>
      </c>
      <c r="F4" s="30">
        <v>272.2</v>
      </c>
      <c r="G4" s="2">
        <v>5.9</v>
      </c>
      <c r="H4" s="2">
        <v>53.7</v>
      </c>
      <c r="I4" s="2">
        <v>23.1</v>
      </c>
      <c r="J4" s="2">
        <v>27</v>
      </c>
      <c r="K4" s="2">
        <v>1823</v>
      </c>
      <c r="L4" s="5" t="s">
        <v>11</v>
      </c>
      <c r="M4" s="5">
        <v>25</v>
      </c>
    </row>
    <row r="5" spans="1:13" x14ac:dyDescent="0.3">
      <c r="A5" s="3" t="s">
        <v>15</v>
      </c>
      <c r="B5" s="4" t="s">
        <v>31</v>
      </c>
      <c r="C5" s="2">
        <v>118</v>
      </c>
      <c r="D5" s="31">
        <v>7300</v>
      </c>
      <c r="E5" s="30">
        <v>217.8</v>
      </c>
      <c r="F5" s="30">
        <v>369.1</v>
      </c>
      <c r="G5" s="2">
        <v>5.5</v>
      </c>
      <c r="H5" s="2">
        <v>44.9</v>
      </c>
      <c r="I5" s="2">
        <v>21.8</v>
      </c>
      <c r="J5" s="2">
        <v>27</v>
      </c>
      <c r="K5" s="2">
        <v>1823</v>
      </c>
      <c r="L5" s="5" t="s">
        <v>11</v>
      </c>
      <c r="M5" s="5">
        <v>25</v>
      </c>
    </row>
    <row r="6" spans="1:13" x14ac:dyDescent="0.3">
      <c r="A6" s="3" t="s">
        <v>15</v>
      </c>
      <c r="B6" s="4" t="s">
        <v>32</v>
      </c>
      <c r="C6" s="2">
        <v>22</v>
      </c>
      <c r="D6" s="31">
        <v>6000</v>
      </c>
      <c r="E6" s="30">
        <v>432.2</v>
      </c>
      <c r="F6" s="30">
        <v>167.2</v>
      </c>
      <c r="G6" s="2">
        <v>6.5</v>
      </c>
      <c r="H6" s="2">
        <v>37.799999999999997</v>
      </c>
      <c r="I6" s="2">
        <v>25.2</v>
      </c>
      <c r="J6" s="2">
        <v>20</v>
      </c>
      <c r="K6" s="2">
        <v>1612</v>
      </c>
      <c r="L6" s="5" t="s">
        <v>11</v>
      </c>
      <c r="M6" s="5">
        <v>25</v>
      </c>
    </row>
    <row r="7" spans="1:13" x14ac:dyDescent="0.3">
      <c r="A7" s="3" t="s">
        <v>15</v>
      </c>
      <c r="B7" s="4" t="s">
        <v>32</v>
      </c>
      <c r="C7" s="2">
        <v>7</v>
      </c>
      <c r="D7" s="31">
        <v>5900</v>
      </c>
      <c r="E7" s="30">
        <v>463.2</v>
      </c>
      <c r="F7" s="30">
        <v>106.3</v>
      </c>
      <c r="G7" s="2">
        <v>6.6</v>
      </c>
      <c r="H7" s="2">
        <v>27.2</v>
      </c>
      <c r="I7" s="2">
        <v>22.6</v>
      </c>
      <c r="J7" s="2">
        <v>20</v>
      </c>
      <c r="K7" s="2">
        <v>1612</v>
      </c>
      <c r="L7" s="5" t="s">
        <v>11</v>
      </c>
      <c r="M7" s="5">
        <v>25</v>
      </c>
    </row>
    <row r="8" spans="1:13" x14ac:dyDescent="0.3">
      <c r="A8" s="3" t="s">
        <v>16</v>
      </c>
      <c r="B8" s="4" t="s">
        <v>35</v>
      </c>
      <c r="C8" s="2">
        <v>29</v>
      </c>
      <c r="D8" s="27">
        <v>2700</v>
      </c>
      <c r="E8" s="29">
        <v>380</v>
      </c>
      <c r="F8" s="29">
        <v>612</v>
      </c>
      <c r="G8" s="2">
        <v>6.3</v>
      </c>
      <c r="H8" s="2">
        <v>22.9</v>
      </c>
      <c r="I8" s="2">
        <v>17.399999999999999</v>
      </c>
      <c r="J8" s="2">
        <v>26.7</v>
      </c>
      <c r="K8" s="2">
        <v>1635</v>
      </c>
      <c r="L8" s="5" t="s">
        <v>11</v>
      </c>
      <c r="M8" s="5">
        <v>20</v>
      </c>
    </row>
    <row r="9" spans="1:13" x14ac:dyDescent="0.3">
      <c r="A9" s="3" t="s">
        <v>16</v>
      </c>
      <c r="B9" s="4" t="s">
        <v>35</v>
      </c>
      <c r="C9" s="2">
        <v>47</v>
      </c>
      <c r="D9" s="31">
        <v>2800</v>
      </c>
      <c r="E9" s="30">
        <v>377.4</v>
      </c>
      <c r="F9" s="30">
        <v>627.4</v>
      </c>
      <c r="G9" s="2">
        <v>6.3</v>
      </c>
      <c r="H9" s="2">
        <v>30.4</v>
      </c>
      <c r="I9" s="2">
        <v>17.600000000000001</v>
      </c>
      <c r="J9" s="2">
        <v>26.7</v>
      </c>
      <c r="K9" s="2">
        <v>1635</v>
      </c>
      <c r="L9" s="5" t="s">
        <v>11</v>
      </c>
      <c r="M9" s="5">
        <v>20</v>
      </c>
    </row>
    <row r="10" spans="1:13" x14ac:dyDescent="0.3">
      <c r="A10" s="3" t="s">
        <v>16</v>
      </c>
      <c r="B10" s="4" t="s">
        <v>35</v>
      </c>
      <c r="C10" s="2">
        <v>110</v>
      </c>
      <c r="D10" s="31">
        <v>2700</v>
      </c>
      <c r="E10" s="30">
        <v>592.4</v>
      </c>
      <c r="F10" s="30">
        <v>573.29999999999995</v>
      </c>
      <c r="G10" s="2">
        <v>5.9</v>
      </c>
      <c r="H10" s="2">
        <v>43.3</v>
      </c>
      <c r="I10" s="2">
        <v>16.7</v>
      </c>
      <c r="J10" s="2">
        <v>28.5</v>
      </c>
      <c r="K10" s="2">
        <v>1647</v>
      </c>
      <c r="L10" s="5" t="s">
        <v>11</v>
      </c>
      <c r="M10" s="5">
        <v>20</v>
      </c>
    </row>
    <row r="11" spans="1:13" x14ac:dyDescent="0.3">
      <c r="A11" s="3" t="s">
        <v>16</v>
      </c>
      <c r="B11" s="4" t="s">
        <v>35</v>
      </c>
      <c r="C11" s="2">
        <v>73</v>
      </c>
      <c r="D11" s="31">
        <v>2800</v>
      </c>
      <c r="E11" s="30">
        <v>632.79999999999995</v>
      </c>
      <c r="F11" s="30">
        <v>631.1</v>
      </c>
      <c r="G11" s="2">
        <v>5.9</v>
      </c>
      <c r="H11" s="2">
        <v>31.2</v>
      </c>
      <c r="I11" s="2">
        <v>18.3</v>
      </c>
      <c r="J11" s="2">
        <v>28.5</v>
      </c>
      <c r="K11" s="2">
        <v>1647</v>
      </c>
      <c r="L11" s="5" t="s">
        <v>11</v>
      </c>
      <c r="M11" s="5">
        <v>20</v>
      </c>
    </row>
    <row r="12" spans="1:13" x14ac:dyDescent="0.3">
      <c r="A12" s="3" t="s">
        <v>16</v>
      </c>
      <c r="B12" s="4" t="s">
        <v>36</v>
      </c>
      <c r="C12" s="2">
        <v>18</v>
      </c>
      <c r="D12" s="31">
        <v>6000</v>
      </c>
      <c r="E12" s="30">
        <v>618.6</v>
      </c>
      <c r="F12" s="30">
        <v>228</v>
      </c>
      <c r="G12" s="2">
        <v>6.2</v>
      </c>
      <c r="H12" s="2">
        <v>22.2</v>
      </c>
      <c r="I12" s="2">
        <v>22.8</v>
      </c>
      <c r="J12" s="2">
        <v>28.7</v>
      </c>
      <c r="K12" s="2">
        <v>2074</v>
      </c>
      <c r="L12" s="5" t="s">
        <v>11</v>
      </c>
      <c r="M12" s="5">
        <v>25</v>
      </c>
    </row>
    <row r="13" spans="1:13" x14ac:dyDescent="0.3">
      <c r="A13" s="3" t="s">
        <v>16</v>
      </c>
      <c r="B13" s="4" t="s">
        <v>36</v>
      </c>
      <c r="C13" s="2">
        <v>71</v>
      </c>
      <c r="D13" s="31">
        <v>3500</v>
      </c>
      <c r="E13" s="30">
        <v>81.2</v>
      </c>
      <c r="F13" s="30">
        <v>179.6</v>
      </c>
      <c r="G13" s="2">
        <v>6.2</v>
      </c>
      <c r="H13" s="2">
        <v>34.299999999999997</v>
      </c>
      <c r="I13" s="2">
        <v>23.6</v>
      </c>
      <c r="J13" s="2">
        <v>28.7</v>
      </c>
      <c r="K13" s="2">
        <v>2074</v>
      </c>
      <c r="L13" s="5" t="s">
        <v>11</v>
      </c>
      <c r="M13" s="5">
        <v>25</v>
      </c>
    </row>
    <row r="14" spans="1:13" x14ac:dyDescent="0.3">
      <c r="A14" s="3" t="s">
        <v>16</v>
      </c>
      <c r="B14" s="4" t="s">
        <v>36</v>
      </c>
      <c r="C14" s="2">
        <v>87</v>
      </c>
      <c r="D14" s="31">
        <v>6100</v>
      </c>
      <c r="E14" s="30">
        <v>823.9</v>
      </c>
      <c r="F14" s="30">
        <v>353.1</v>
      </c>
      <c r="G14" s="2">
        <v>6.3</v>
      </c>
      <c r="H14" s="2">
        <v>37.4</v>
      </c>
      <c r="I14" s="2">
        <v>20.7</v>
      </c>
      <c r="J14" s="2">
        <v>28.7</v>
      </c>
      <c r="K14" s="2">
        <v>2074</v>
      </c>
      <c r="L14" s="5" t="s">
        <v>11</v>
      </c>
      <c r="M14" s="5">
        <v>25</v>
      </c>
    </row>
    <row r="15" spans="1:13" x14ac:dyDescent="0.3">
      <c r="A15" s="3" t="s">
        <v>16</v>
      </c>
      <c r="B15" s="4" t="s">
        <v>36</v>
      </c>
      <c r="C15" s="2">
        <v>66</v>
      </c>
      <c r="D15" s="31">
        <v>6000</v>
      </c>
      <c r="E15" s="30">
        <v>728.9</v>
      </c>
      <c r="F15" s="30">
        <v>265.10000000000002</v>
      </c>
      <c r="G15" s="2">
        <v>6.1</v>
      </c>
      <c r="H15" s="2">
        <v>36.700000000000003</v>
      </c>
      <c r="I15" s="2">
        <v>20.5</v>
      </c>
      <c r="J15" s="2">
        <v>28.7</v>
      </c>
      <c r="K15" s="2">
        <v>2074</v>
      </c>
      <c r="L15" s="5" t="s">
        <v>11</v>
      </c>
      <c r="M15" s="5">
        <v>25</v>
      </c>
    </row>
    <row r="16" spans="1:13" x14ac:dyDescent="0.3">
      <c r="A16" s="3" t="s">
        <v>16</v>
      </c>
      <c r="B16" s="4" t="s">
        <v>37</v>
      </c>
      <c r="C16" s="2">
        <v>16</v>
      </c>
      <c r="D16" s="31">
        <v>5000</v>
      </c>
      <c r="E16" s="30">
        <v>338.1</v>
      </c>
      <c r="F16" s="30">
        <v>316.2</v>
      </c>
      <c r="G16" s="2">
        <v>5.5</v>
      </c>
      <c r="H16" s="2">
        <v>27.1</v>
      </c>
      <c r="I16" s="2">
        <v>23.2</v>
      </c>
      <c r="J16" s="2">
        <v>26.8</v>
      </c>
      <c r="K16" s="2">
        <v>1987</v>
      </c>
      <c r="L16" s="5" t="s">
        <v>11</v>
      </c>
      <c r="M16" s="5">
        <v>20</v>
      </c>
    </row>
    <row r="17" spans="1:13" x14ac:dyDescent="0.3">
      <c r="A17" s="3" t="s">
        <v>16</v>
      </c>
      <c r="B17" s="4" t="s">
        <v>37</v>
      </c>
      <c r="C17" s="2">
        <v>54</v>
      </c>
      <c r="D17" s="31">
        <v>5000</v>
      </c>
      <c r="E17" s="30">
        <v>301.39999999999998</v>
      </c>
      <c r="F17" s="30">
        <v>219.4</v>
      </c>
      <c r="G17" s="2">
        <v>5</v>
      </c>
      <c r="H17" s="2">
        <v>33.5</v>
      </c>
      <c r="I17" s="2">
        <v>24.1</v>
      </c>
      <c r="J17" s="2">
        <v>26.8</v>
      </c>
      <c r="K17" s="2">
        <v>1987</v>
      </c>
      <c r="L17" s="5" t="s">
        <v>11</v>
      </c>
      <c r="M17" s="5">
        <v>20</v>
      </c>
    </row>
    <row r="18" spans="1:13" x14ac:dyDescent="0.3">
      <c r="A18" s="3" t="s">
        <v>16</v>
      </c>
      <c r="B18" s="4" t="s">
        <v>38</v>
      </c>
      <c r="C18" s="2">
        <v>26</v>
      </c>
      <c r="D18" s="31">
        <v>4600</v>
      </c>
      <c r="E18" s="30">
        <v>85.6</v>
      </c>
      <c r="F18" s="30">
        <v>109.5</v>
      </c>
      <c r="G18" s="2">
        <v>6.2</v>
      </c>
      <c r="H18" s="2">
        <v>18.399999999999999</v>
      </c>
      <c r="I18" s="2">
        <v>22.3</v>
      </c>
      <c r="J18" s="2">
        <v>22.4</v>
      </c>
      <c r="K18" s="2">
        <v>1720</v>
      </c>
      <c r="L18" s="5" t="s">
        <v>11</v>
      </c>
      <c r="M18" s="5">
        <v>17</v>
      </c>
    </row>
    <row r="19" spans="1:13" x14ac:dyDescent="0.3">
      <c r="A19" s="3" t="s">
        <v>16</v>
      </c>
      <c r="B19" s="4" t="s">
        <v>38</v>
      </c>
      <c r="C19" s="2">
        <v>22</v>
      </c>
      <c r="D19" s="31">
        <v>4200</v>
      </c>
      <c r="E19" s="30">
        <v>84</v>
      </c>
      <c r="F19" s="30">
        <v>105.3</v>
      </c>
      <c r="G19" s="2">
        <v>6.2</v>
      </c>
      <c r="H19" s="2">
        <v>27.7</v>
      </c>
      <c r="I19" s="2">
        <v>23.3</v>
      </c>
      <c r="J19" s="2">
        <v>22.4</v>
      </c>
      <c r="K19" s="2">
        <v>1720</v>
      </c>
      <c r="L19" s="5" t="s">
        <v>11</v>
      </c>
      <c r="M19" s="5">
        <v>17</v>
      </c>
    </row>
    <row r="20" spans="1:13" x14ac:dyDescent="0.3">
      <c r="A20" s="3" t="s">
        <v>17</v>
      </c>
      <c r="B20" s="4" t="s">
        <v>39</v>
      </c>
      <c r="C20" s="2">
        <v>10</v>
      </c>
      <c r="D20" s="27">
        <v>5200</v>
      </c>
      <c r="E20" s="29">
        <v>214.5</v>
      </c>
      <c r="F20" s="29">
        <v>104.6</v>
      </c>
      <c r="G20" s="2">
        <v>6.2</v>
      </c>
      <c r="H20" s="2">
        <v>29.5</v>
      </c>
      <c r="I20" s="2">
        <v>15.9</v>
      </c>
      <c r="J20" s="2">
        <v>23.3</v>
      </c>
      <c r="K20" s="2">
        <v>1467</v>
      </c>
      <c r="L20" s="5" t="s">
        <v>11</v>
      </c>
      <c r="M20" s="5">
        <v>30</v>
      </c>
    </row>
    <row r="21" spans="1:13" x14ac:dyDescent="0.3">
      <c r="A21" s="3" t="s">
        <v>17</v>
      </c>
      <c r="B21" s="4" t="s">
        <v>39</v>
      </c>
      <c r="C21" s="2">
        <v>70</v>
      </c>
      <c r="D21" s="31">
        <v>5200</v>
      </c>
      <c r="E21" s="30">
        <v>116.7</v>
      </c>
      <c r="F21" s="30">
        <v>101.5</v>
      </c>
      <c r="G21" s="2">
        <v>6.2</v>
      </c>
      <c r="H21" s="2">
        <v>43.5</v>
      </c>
      <c r="I21" s="2">
        <v>15</v>
      </c>
      <c r="J21" s="2">
        <v>23.3</v>
      </c>
      <c r="K21" s="2">
        <v>1467</v>
      </c>
      <c r="L21" s="5" t="s">
        <v>11</v>
      </c>
      <c r="M21" s="5">
        <v>30</v>
      </c>
    </row>
    <row r="22" spans="1:13" x14ac:dyDescent="0.3">
      <c r="A22" s="3" t="s">
        <v>17</v>
      </c>
      <c r="B22" s="4" t="s">
        <v>39</v>
      </c>
      <c r="C22" s="2">
        <v>5</v>
      </c>
      <c r="D22" s="31">
        <v>4500</v>
      </c>
      <c r="E22" s="30">
        <v>293.2</v>
      </c>
      <c r="F22" s="30">
        <v>106.7</v>
      </c>
      <c r="G22" s="2">
        <v>6.3</v>
      </c>
      <c r="H22" s="2">
        <v>20</v>
      </c>
      <c r="I22" s="2">
        <v>17.7</v>
      </c>
      <c r="J22" s="2">
        <v>22.2</v>
      </c>
      <c r="K22" s="2">
        <v>1471</v>
      </c>
      <c r="L22" s="5" t="s">
        <v>11</v>
      </c>
      <c r="M22" s="5">
        <v>30</v>
      </c>
    </row>
    <row r="23" spans="1:13" x14ac:dyDescent="0.3">
      <c r="A23" s="3" t="s">
        <v>17</v>
      </c>
      <c r="B23" s="4" t="s">
        <v>39</v>
      </c>
      <c r="C23" s="2">
        <v>12</v>
      </c>
      <c r="D23" s="31">
        <v>4800</v>
      </c>
      <c r="E23" s="30">
        <v>339.3</v>
      </c>
      <c r="F23" s="30">
        <v>51.6</v>
      </c>
      <c r="G23" s="2">
        <v>6.6</v>
      </c>
      <c r="H23" s="2">
        <v>35.9</v>
      </c>
      <c r="I23" s="2">
        <v>17.399999999999999</v>
      </c>
      <c r="J23" s="2">
        <v>22.2</v>
      </c>
      <c r="K23" s="2">
        <v>1471</v>
      </c>
      <c r="L23" s="5" t="s">
        <v>11</v>
      </c>
      <c r="M23" s="5">
        <v>30</v>
      </c>
    </row>
    <row r="24" spans="1:13" x14ac:dyDescent="0.3">
      <c r="A24" s="3" t="s">
        <v>17</v>
      </c>
      <c r="B24" s="4" t="s">
        <v>39</v>
      </c>
      <c r="C24" s="2">
        <v>960</v>
      </c>
      <c r="D24" s="31">
        <v>5000</v>
      </c>
      <c r="E24" s="30">
        <v>420.7</v>
      </c>
      <c r="F24" s="30">
        <v>1078.4000000000001</v>
      </c>
      <c r="G24" s="2">
        <v>5.3</v>
      </c>
      <c r="H24" s="2">
        <v>25.6</v>
      </c>
      <c r="I24" s="2">
        <v>19.399999999999999</v>
      </c>
      <c r="J24" s="2">
        <v>22.2</v>
      </c>
      <c r="K24" s="2">
        <v>1471</v>
      </c>
      <c r="L24" s="5" t="s">
        <v>11</v>
      </c>
      <c r="M24" s="5">
        <v>30</v>
      </c>
    </row>
    <row r="25" spans="1:13" x14ac:dyDescent="0.3">
      <c r="A25" s="3" t="s">
        <v>17</v>
      </c>
      <c r="B25" s="4" t="s">
        <v>39</v>
      </c>
      <c r="C25" s="2">
        <v>768</v>
      </c>
      <c r="D25" s="31">
        <v>5700</v>
      </c>
      <c r="E25" s="30">
        <v>553.6</v>
      </c>
      <c r="F25" s="30">
        <v>1391.8</v>
      </c>
      <c r="G25" s="2">
        <v>5.5</v>
      </c>
      <c r="H25" s="2">
        <v>47.6</v>
      </c>
      <c r="I25" s="2">
        <v>19.2</v>
      </c>
      <c r="J25" s="2">
        <v>22.2</v>
      </c>
      <c r="K25" s="2">
        <v>1471</v>
      </c>
      <c r="L25" s="5" t="s">
        <v>11</v>
      </c>
      <c r="M25" s="5">
        <v>30</v>
      </c>
    </row>
    <row r="26" spans="1:13" x14ac:dyDescent="0.3">
      <c r="A26" s="3" t="s">
        <v>17</v>
      </c>
      <c r="B26" s="4" t="s">
        <v>39</v>
      </c>
      <c r="C26" s="2">
        <v>39</v>
      </c>
      <c r="D26" s="31">
        <v>4800</v>
      </c>
      <c r="E26" s="30">
        <v>26.7</v>
      </c>
      <c r="F26" s="30">
        <v>77</v>
      </c>
      <c r="G26" s="2">
        <v>6.3</v>
      </c>
      <c r="H26" s="2">
        <v>27.1</v>
      </c>
      <c r="I26" s="2">
        <v>17.399999999999999</v>
      </c>
      <c r="J26" s="2">
        <v>24.1</v>
      </c>
      <c r="K26" s="2">
        <v>1434</v>
      </c>
      <c r="L26" s="5" t="s">
        <v>11</v>
      </c>
      <c r="M26" s="5">
        <v>30</v>
      </c>
    </row>
    <row r="27" spans="1:13" x14ac:dyDescent="0.3">
      <c r="A27" s="3" t="s">
        <v>17</v>
      </c>
      <c r="B27" s="4" t="s">
        <v>39</v>
      </c>
      <c r="C27" s="2">
        <v>4</v>
      </c>
      <c r="D27" s="31">
        <v>4500</v>
      </c>
      <c r="E27" s="30">
        <v>26.7</v>
      </c>
      <c r="F27" s="30">
        <v>106.4</v>
      </c>
      <c r="G27" s="2">
        <v>6.3</v>
      </c>
      <c r="H27" s="2">
        <v>22.8</v>
      </c>
      <c r="I27" s="2">
        <v>17.899999999999999</v>
      </c>
      <c r="J27" s="2">
        <v>24.1</v>
      </c>
      <c r="K27" s="2">
        <v>1434</v>
      </c>
      <c r="L27" s="5" t="s">
        <v>11</v>
      </c>
      <c r="M27" s="5">
        <v>30</v>
      </c>
    </row>
    <row r="28" spans="1:13" x14ac:dyDescent="0.3">
      <c r="A28" s="4" t="s">
        <v>18</v>
      </c>
      <c r="B28" s="4" t="s">
        <v>40</v>
      </c>
      <c r="C28" s="2">
        <v>18</v>
      </c>
      <c r="D28" s="26">
        <v>1700</v>
      </c>
      <c r="E28" s="26">
        <v>226.4</v>
      </c>
      <c r="F28" s="26">
        <v>55.7</v>
      </c>
      <c r="G28" s="2">
        <v>5.5</v>
      </c>
      <c r="H28" s="2">
        <v>22.7</v>
      </c>
      <c r="I28" s="2">
        <v>20.8</v>
      </c>
      <c r="J28" s="2">
        <v>27.1</v>
      </c>
      <c r="K28" s="2">
        <v>2176</v>
      </c>
      <c r="L28" s="5" t="s">
        <v>11</v>
      </c>
      <c r="M28" s="5">
        <v>10</v>
      </c>
    </row>
    <row r="29" spans="1:13" x14ac:dyDescent="0.3">
      <c r="A29" s="4" t="s">
        <v>18</v>
      </c>
      <c r="B29" s="4" t="s">
        <v>40</v>
      </c>
      <c r="C29" s="2">
        <v>27</v>
      </c>
      <c r="D29" s="26">
        <v>1600</v>
      </c>
      <c r="E29" s="26">
        <v>371.8</v>
      </c>
      <c r="F29" s="26">
        <v>40.299999999999997</v>
      </c>
      <c r="G29" s="2">
        <v>5.9</v>
      </c>
      <c r="H29" s="2">
        <v>20.399999999999999</v>
      </c>
      <c r="I29" s="2">
        <v>20.8</v>
      </c>
      <c r="J29" s="2">
        <v>27.1</v>
      </c>
      <c r="K29" s="2">
        <v>2176</v>
      </c>
      <c r="L29" s="5" t="s">
        <v>11</v>
      </c>
      <c r="M29" s="5">
        <v>10</v>
      </c>
    </row>
    <row r="30" spans="1:13" x14ac:dyDescent="0.3">
      <c r="A30" s="4" t="s">
        <v>18</v>
      </c>
      <c r="B30" s="4" t="s">
        <v>40</v>
      </c>
      <c r="C30" s="2">
        <v>13</v>
      </c>
      <c r="D30" s="26">
        <v>1600</v>
      </c>
      <c r="E30" s="26">
        <v>413.8</v>
      </c>
      <c r="F30" s="26">
        <v>40.299999999999997</v>
      </c>
      <c r="G30" s="2">
        <v>5.4</v>
      </c>
      <c r="H30" s="2">
        <v>28</v>
      </c>
      <c r="I30" s="2">
        <v>19.899999999999999</v>
      </c>
      <c r="J30" s="2">
        <v>25.9</v>
      </c>
      <c r="K30" s="2">
        <v>2193</v>
      </c>
      <c r="L30" s="5" t="s">
        <v>11</v>
      </c>
      <c r="M30" s="5">
        <v>10</v>
      </c>
    </row>
    <row r="31" spans="1:13" x14ac:dyDescent="0.3">
      <c r="A31" s="4" t="s">
        <v>18</v>
      </c>
      <c r="B31" s="4" t="s">
        <v>40</v>
      </c>
      <c r="C31" s="2">
        <v>44</v>
      </c>
      <c r="D31" s="26">
        <v>1800</v>
      </c>
      <c r="E31" s="26">
        <v>165.7</v>
      </c>
      <c r="F31" s="26">
        <v>58.5</v>
      </c>
      <c r="G31" s="2">
        <v>5.0999999999999996</v>
      </c>
      <c r="H31" s="2">
        <v>24.6</v>
      </c>
      <c r="I31" s="2">
        <v>19.600000000000001</v>
      </c>
      <c r="J31" s="2">
        <v>25.9</v>
      </c>
      <c r="K31" s="2">
        <v>2193</v>
      </c>
      <c r="L31" s="5" t="s">
        <v>11</v>
      </c>
      <c r="M31" s="5">
        <v>10</v>
      </c>
    </row>
    <row r="32" spans="1:13" x14ac:dyDescent="0.3">
      <c r="A32" s="4" t="s">
        <v>18</v>
      </c>
      <c r="B32" s="4" t="s">
        <v>41</v>
      </c>
      <c r="C32" s="2">
        <v>19</v>
      </c>
      <c r="D32" s="26">
        <v>2100</v>
      </c>
      <c r="E32" s="26">
        <v>262</v>
      </c>
      <c r="F32" s="26">
        <v>243</v>
      </c>
      <c r="G32" s="2">
        <v>5.4</v>
      </c>
      <c r="H32" s="2">
        <v>25.8</v>
      </c>
      <c r="I32" s="2">
        <v>20.2</v>
      </c>
      <c r="J32" s="2">
        <v>22.1</v>
      </c>
      <c r="K32" s="2">
        <v>2088</v>
      </c>
      <c r="L32" s="5" t="s">
        <v>11</v>
      </c>
      <c r="M32" s="5">
        <v>13</v>
      </c>
    </row>
    <row r="33" spans="1:13" x14ac:dyDescent="0.3">
      <c r="A33" s="4" t="s">
        <v>18</v>
      </c>
      <c r="B33" s="4" t="s">
        <v>41</v>
      </c>
      <c r="C33" s="2">
        <v>13</v>
      </c>
      <c r="D33" s="26">
        <v>2000</v>
      </c>
      <c r="E33" s="26">
        <v>89.9</v>
      </c>
      <c r="F33" s="26">
        <v>199.8</v>
      </c>
      <c r="G33" s="2">
        <v>5.0999999999999996</v>
      </c>
      <c r="H33" s="2">
        <v>26.9</v>
      </c>
      <c r="I33" s="2">
        <v>20.7</v>
      </c>
      <c r="J33" s="2">
        <v>22.1</v>
      </c>
      <c r="K33" s="2">
        <v>2088</v>
      </c>
      <c r="L33" s="5" t="s">
        <v>11</v>
      </c>
      <c r="M33" s="5">
        <v>13</v>
      </c>
    </row>
    <row r="34" spans="1:13" x14ac:dyDescent="0.3">
      <c r="A34" s="4" t="s">
        <v>18</v>
      </c>
      <c r="B34" s="4" t="s">
        <v>42</v>
      </c>
      <c r="C34" s="2">
        <v>130</v>
      </c>
      <c r="D34" s="26">
        <v>2900</v>
      </c>
      <c r="E34" s="26">
        <v>478.3</v>
      </c>
      <c r="F34" s="26">
        <v>288</v>
      </c>
      <c r="G34" s="2">
        <v>5.2</v>
      </c>
      <c r="H34" s="2">
        <v>19.7</v>
      </c>
      <c r="I34" s="2">
        <v>19.3</v>
      </c>
      <c r="J34" s="2">
        <v>20.3</v>
      </c>
      <c r="K34" s="2">
        <v>1894</v>
      </c>
      <c r="L34" s="5" t="s">
        <v>11</v>
      </c>
      <c r="M34" s="5">
        <v>12</v>
      </c>
    </row>
    <row r="35" spans="1:13" x14ac:dyDescent="0.3">
      <c r="A35" s="4" t="s">
        <v>18</v>
      </c>
      <c r="B35" s="4" t="s">
        <v>42</v>
      </c>
      <c r="C35" s="2">
        <v>24</v>
      </c>
      <c r="D35" s="26">
        <v>2900</v>
      </c>
      <c r="E35" s="26">
        <v>444.7</v>
      </c>
      <c r="F35" s="26">
        <v>272</v>
      </c>
      <c r="G35" s="2">
        <v>5.7</v>
      </c>
      <c r="H35" s="2">
        <v>23.2</v>
      </c>
      <c r="I35" s="2">
        <v>20.100000000000001</v>
      </c>
      <c r="J35" s="2">
        <v>20.3</v>
      </c>
      <c r="K35" s="2">
        <v>1894</v>
      </c>
      <c r="L35" s="5" t="s">
        <v>11</v>
      </c>
      <c r="M35" s="5">
        <v>12</v>
      </c>
    </row>
    <row r="36" spans="1:13" x14ac:dyDescent="0.3">
      <c r="A36" s="4" t="s">
        <v>18</v>
      </c>
      <c r="B36" s="4" t="s">
        <v>42</v>
      </c>
      <c r="C36" s="2">
        <v>125</v>
      </c>
      <c r="D36" s="26">
        <v>2300</v>
      </c>
      <c r="E36" s="26">
        <v>75.099999999999994</v>
      </c>
      <c r="F36" s="26">
        <v>808</v>
      </c>
      <c r="G36" s="2">
        <v>6.2</v>
      </c>
      <c r="H36" s="2">
        <v>30.9</v>
      </c>
      <c r="I36" s="2">
        <v>20.9</v>
      </c>
      <c r="J36" s="2">
        <v>20.9</v>
      </c>
      <c r="K36" s="2">
        <v>1681</v>
      </c>
      <c r="L36" s="5" t="s">
        <v>11</v>
      </c>
      <c r="M36" s="5">
        <v>12</v>
      </c>
    </row>
    <row r="37" spans="1:13" x14ac:dyDescent="0.3">
      <c r="A37" s="4" t="s">
        <v>18</v>
      </c>
      <c r="B37" s="4" t="s">
        <v>42</v>
      </c>
      <c r="C37" s="2">
        <v>135</v>
      </c>
      <c r="D37" s="26">
        <v>2400</v>
      </c>
      <c r="E37" s="26">
        <v>36.4</v>
      </c>
      <c r="F37" s="26">
        <v>890.1</v>
      </c>
      <c r="G37" s="2">
        <v>6.1</v>
      </c>
      <c r="H37" s="2">
        <v>27.6</v>
      </c>
      <c r="I37" s="2">
        <v>21.5</v>
      </c>
      <c r="J37" s="2">
        <v>20.9</v>
      </c>
      <c r="K37" s="2">
        <v>1681</v>
      </c>
      <c r="L37" s="5" t="s">
        <v>11</v>
      </c>
      <c r="M37" s="5">
        <v>12</v>
      </c>
    </row>
    <row r="38" spans="1:13" x14ac:dyDescent="0.3">
      <c r="A38" s="4" t="s">
        <v>18</v>
      </c>
      <c r="B38" s="4" t="s">
        <v>42</v>
      </c>
      <c r="C38" s="2">
        <v>126</v>
      </c>
      <c r="D38" s="26">
        <v>1800</v>
      </c>
      <c r="E38" s="26">
        <v>33.700000000000003</v>
      </c>
      <c r="F38" s="26">
        <v>1168.5999999999999</v>
      </c>
      <c r="G38" s="2">
        <v>4.9000000000000004</v>
      </c>
      <c r="H38" s="2">
        <v>54.4</v>
      </c>
      <c r="I38" s="2">
        <v>20</v>
      </c>
      <c r="J38" s="2">
        <v>20.9</v>
      </c>
      <c r="K38" s="2">
        <v>1675</v>
      </c>
      <c r="L38" s="5" t="s">
        <v>11</v>
      </c>
      <c r="M38" s="5">
        <v>12</v>
      </c>
    </row>
    <row r="39" spans="1:13" x14ac:dyDescent="0.3">
      <c r="A39" s="4" t="s">
        <v>18</v>
      </c>
      <c r="B39" s="4" t="s">
        <v>42</v>
      </c>
      <c r="C39" s="2">
        <v>120</v>
      </c>
      <c r="D39" s="28">
        <v>1700</v>
      </c>
      <c r="E39" s="28">
        <v>104.6</v>
      </c>
      <c r="F39" s="28">
        <v>1371.4</v>
      </c>
      <c r="G39" s="2">
        <v>4.3</v>
      </c>
      <c r="H39" s="2">
        <v>56.7</v>
      </c>
      <c r="I39" s="2">
        <v>19.899999999999999</v>
      </c>
      <c r="J39" s="2">
        <v>20.9</v>
      </c>
      <c r="K39" s="2">
        <v>1675</v>
      </c>
      <c r="L39" s="5" t="s">
        <v>11</v>
      </c>
      <c r="M39" s="5">
        <v>12</v>
      </c>
    </row>
    <row r="40" spans="1:13" x14ac:dyDescent="0.3">
      <c r="A40" s="4" t="s">
        <v>18</v>
      </c>
      <c r="B40" s="4" t="s">
        <v>42</v>
      </c>
      <c r="C40" s="2">
        <v>50</v>
      </c>
      <c r="D40" s="26">
        <v>3000</v>
      </c>
      <c r="E40" s="26">
        <v>123</v>
      </c>
      <c r="F40" s="26">
        <v>604.79999999999995</v>
      </c>
      <c r="G40" s="2">
        <v>5.8</v>
      </c>
      <c r="H40" s="2">
        <v>31</v>
      </c>
      <c r="I40" s="2">
        <v>19.7</v>
      </c>
      <c r="J40" s="2">
        <v>20.5</v>
      </c>
      <c r="K40" s="2">
        <v>1779</v>
      </c>
      <c r="L40" s="5" t="s">
        <v>11</v>
      </c>
      <c r="M40" s="5">
        <v>10</v>
      </c>
    </row>
    <row r="41" spans="1:13" x14ac:dyDescent="0.3">
      <c r="A41" s="4" t="s">
        <v>18</v>
      </c>
      <c r="B41" s="4" t="s">
        <v>42</v>
      </c>
      <c r="C41" s="2">
        <v>64</v>
      </c>
      <c r="D41" s="26">
        <v>3100</v>
      </c>
      <c r="E41" s="26">
        <v>125.1</v>
      </c>
      <c r="F41" s="26">
        <v>595.1</v>
      </c>
      <c r="G41" s="2">
        <v>5.8</v>
      </c>
      <c r="H41" s="2">
        <v>43</v>
      </c>
      <c r="I41" s="2">
        <v>20</v>
      </c>
      <c r="J41" s="2">
        <v>20.5</v>
      </c>
      <c r="K41" s="2">
        <v>1779</v>
      </c>
      <c r="L41" s="5" t="s">
        <v>11</v>
      </c>
      <c r="M41" s="5">
        <v>10</v>
      </c>
    </row>
    <row r="42" spans="1:13" x14ac:dyDescent="0.3">
      <c r="A42" s="3" t="s">
        <v>18</v>
      </c>
      <c r="B42" s="4" t="s">
        <v>41</v>
      </c>
      <c r="C42" s="2">
        <v>43</v>
      </c>
      <c r="D42" s="27">
        <v>2700</v>
      </c>
      <c r="E42" s="29">
        <v>46.4</v>
      </c>
      <c r="F42" s="29">
        <v>897.3</v>
      </c>
      <c r="G42" s="2">
        <v>6.3</v>
      </c>
      <c r="H42" s="2">
        <v>27.4</v>
      </c>
      <c r="I42" s="2">
        <v>20.100000000000001</v>
      </c>
      <c r="J42" s="2">
        <v>29.7</v>
      </c>
      <c r="K42" s="2">
        <v>1709</v>
      </c>
      <c r="L42" s="5" t="s">
        <v>11</v>
      </c>
      <c r="M42" s="5">
        <v>15</v>
      </c>
    </row>
    <row r="43" spans="1:13" x14ac:dyDescent="0.3">
      <c r="A43" s="3" t="s">
        <v>18</v>
      </c>
      <c r="B43" s="4" t="s">
        <v>41</v>
      </c>
      <c r="C43" s="2">
        <v>54</v>
      </c>
      <c r="D43" s="31">
        <v>2400</v>
      </c>
      <c r="E43" s="30">
        <v>44.9</v>
      </c>
      <c r="F43" s="30">
        <v>542.9</v>
      </c>
      <c r="G43" s="2">
        <v>5.5</v>
      </c>
      <c r="H43" s="2">
        <v>22.2</v>
      </c>
      <c r="I43" s="2">
        <v>21.4</v>
      </c>
      <c r="J43" s="2">
        <v>29.7</v>
      </c>
      <c r="K43" s="2">
        <v>1709</v>
      </c>
      <c r="L43" s="5" t="s">
        <v>11</v>
      </c>
      <c r="M43" s="5">
        <v>15</v>
      </c>
    </row>
    <row r="44" spans="1:13" x14ac:dyDescent="0.3">
      <c r="A44" s="3" t="s">
        <v>18</v>
      </c>
      <c r="B44" s="4" t="s">
        <v>41</v>
      </c>
      <c r="C44" s="2">
        <v>49</v>
      </c>
      <c r="D44" s="31">
        <v>3200</v>
      </c>
      <c r="E44" s="30">
        <v>80.599999999999994</v>
      </c>
      <c r="F44" s="30">
        <v>481.4</v>
      </c>
      <c r="G44" s="2">
        <v>5.5</v>
      </c>
      <c r="H44" s="2">
        <v>19.3</v>
      </c>
      <c r="I44" s="2">
        <v>23.5</v>
      </c>
      <c r="J44" s="2">
        <v>27</v>
      </c>
      <c r="K44" s="2">
        <v>1597</v>
      </c>
      <c r="L44" s="5" t="s">
        <v>11</v>
      </c>
      <c r="M44" s="5">
        <v>18</v>
      </c>
    </row>
    <row r="45" spans="1:13" x14ac:dyDescent="0.3">
      <c r="A45" s="3" t="s">
        <v>18</v>
      </c>
      <c r="B45" s="4" t="s">
        <v>41</v>
      </c>
      <c r="C45" s="2">
        <v>32</v>
      </c>
      <c r="D45" s="31">
        <v>2900</v>
      </c>
      <c r="E45" s="30">
        <v>16</v>
      </c>
      <c r="F45" s="30">
        <v>373.8</v>
      </c>
      <c r="G45" s="2">
        <v>5.8</v>
      </c>
      <c r="H45" s="2">
        <v>29.3</v>
      </c>
      <c r="I45" s="2">
        <v>22.7</v>
      </c>
      <c r="J45" s="2">
        <v>27</v>
      </c>
      <c r="K45" s="2">
        <v>1597</v>
      </c>
      <c r="L45" s="5" t="s">
        <v>11</v>
      </c>
      <c r="M45" s="5">
        <v>18</v>
      </c>
    </row>
    <row r="46" spans="1:13" x14ac:dyDescent="0.3">
      <c r="A46" s="3" t="s">
        <v>18</v>
      </c>
      <c r="B46" s="4" t="s">
        <v>43</v>
      </c>
      <c r="C46" s="2">
        <v>34</v>
      </c>
      <c r="D46" s="31">
        <v>2200</v>
      </c>
      <c r="E46" s="30">
        <v>112.7</v>
      </c>
      <c r="F46" s="30">
        <v>143.80000000000001</v>
      </c>
      <c r="G46" s="2">
        <v>5.5</v>
      </c>
      <c r="H46" s="2">
        <v>25.7</v>
      </c>
      <c r="I46" s="2">
        <v>20.6</v>
      </c>
      <c r="J46" s="2">
        <v>26</v>
      </c>
      <c r="K46" s="2">
        <v>1866</v>
      </c>
      <c r="L46" s="5" t="s">
        <v>11</v>
      </c>
      <c r="M46" s="5">
        <v>20</v>
      </c>
    </row>
    <row r="47" spans="1:13" x14ac:dyDescent="0.3">
      <c r="A47" s="3" t="s">
        <v>18</v>
      </c>
      <c r="B47" s="4" t="s">
        <v>43</v>
      </c>
      <c r="C47" s="2">
        <v>6</v>
      </c>
      <c r="D47" s="31">
        <v>1900</v>
      </c>
      <c r="E47" s="30">
        <v>115</v>
      </c>
      <c r="F47" s="30">
        <v>140</v>
      </c>
      <c r="G47" s="2">
        <v>5.9</v>
      </c>
      <c r="H47" s="2">
        <v>22.1</v>
      </c>
      <c r="I47" s="2">
        <v>21</v>
      </c>
      <c r="J47" s="2">
        <v>26</v>
      </c>
      <c r="K47" s="2">
        <v>1866</v>
      </c>
      <c r="L47" s="5" t="s">
        <v>11</v>
      </c>
      <c r="M47" s="5">
        <v>20</v>
      </c>
    </row>
    <row r="48" spans="1:13" x14ac:dyDescent="0.3">
      <c r="A48" s="3" t="s">
        <v>18</v>
      </c>
      <c r="B48" s="4" t="s">
        <v>43</v>
      </c>
      <c r="C48" s="2">
        <v>27</v>
      </c>
      <c r="D48" s="31">
        <v>2000</v>
      </c>
      <c r="E48" s="30">
        <v>101.7</v>
      </c>
      <c r="F48" s="30">
        <v>381.9</v>
      </c>
      <c r="G48" s="2">
        <v>5.4</v>
      </c>
      <c r="H48" s="2">
        <v>30</v>
      </c>
      <c r="I48" s="2">
        <v>18.899999999999999</v>
      </c>
      <c r="J48" s="2">
        <v>26</v>
      </c>
      <c r="K48" s="2">
        <v>1870</v>
      </c>
      <c r="L48" s="5" t="s">
        <v>11</v>
      </c>
      <c r="M48" s="5">
        <v>20</v>
      </c>
    </row>
    <row r="49" spans="1:13" x14ac:dyDescent="0.3">
      <c r="A49" s="3" t="s">
        <v>18</v>
      </c>
      <c r="B49" s="4" t="s">
        <v>43</v>
      </c>
      <c r="C49" s="2">
        <v>32</v>
      </c>
      <c r="D49" s="31">
        <v>2100</v>
      </c>
      <c r="E49" s="30">
        <v>66.3</v>
      </c>
      <c r="F49" s="30">
        <v>626.4</v>
      </c>
      <c r="G49" s="2">
        <v>5.4</v>
      </c>
      <c r="H49" s="2">
        <v>25.8</v>
      </c>
      <c r="I49" s="2">
        <v>19.100000000000001</v>
      </c>
      <c r="J49" s="2">
        <v>26</v>
      </c>
      <c r="K49" s="2">
        <v>1870</v>
      </c>
      <c r="L49" s="5" t="s">
        <v>11</v>
      </c>
      <c r="M49" s="5">
        <v>20</v>
      </c>
    </row>
    <row r="50" spans="1:13" x14ac:dyDescent="0.3">
      <c r="A50" s="4" t="s">
        <v>19</v>
      </c>
      <c r="B50" s="4" t="s">
        <v>44</v>
      </c>
      <c r="C50" s="2">
        <v>19</v>
      </c>
      <c r="D50" s="26">
        <v>700</v>
      </c>
      <c r="E50" s="26">
        <v>216.5</v>
      </c>
      <c r="F50" s="26">
        <v>58.5</v>
      </c>
      <c r="G50" s="2">
        <v>6.3</v>
      </c>
      <c r="H50" s="2">
        <v>15.2</v>
      </c>
      <c r="I50" s="2">
        <v>34.1</v>
      </c>
      <c r="J50" s="2">
        <v>32.6</v>
      </c>
      <c r="K50" s="2">
        <v>1763</v>
      </c>
      <c r="L50" s="5" t="s">
        <v>11</v>
      </c>
      <c r="M50" s="5">
        <v>7</v>
      </c>
    </row>
    <row r="51" spans="1:13" x14ac:dyDescent="0.3">
      <c r="A51" s="4" t="s">
        <v>19</v>
      </c>
      <c r="B51" s="4" t="s">
        <v>44</v>
      </c>
      <c r="C51" s="2">
        <v>0</v>
      </c>
      <c r="D51" s="26">
        <v>600</v>
      </c>
      <c r="E51" s="26">
        <v>227</v>
      </c>
      <c r="F51" s="26">
        <v>49.9</v>
      </c>
      <c r="G51" s="2">
        <v>7</v>
      </c>
      <c r="H51" s="2">
        <v>13.9</v>
      </c>
      <c r="I51" s="2">
        <v>37.799999999999997</v>
      </c>
      <c r="J51" s="2">
        <v>32.6</v>
      </c>
      <c r="K51" s="2">
        <v>1763</v>
      </c>
      <c r="L51" s="5" t="s">
        <v>11</v>
      </c>
      <c r="M51" s="5">
        <v>7</v>
      </c>
    </row>
    <row r="52" spans="1:13" x14ac:dyDescent="0.3">
      <c r="A52" s="4" t="s">
        <v>19</v>
      </c>
      <c r="B52" s="4" t="s">
        <v>44</v>
      </c>
      <c r="C52" s="2">
        <v>0</v>
      </c>
      <c r="D52" s="26">
        <v>1100</v>
      </c>
      <c r="E52" s="26">
        <v>215.6</v>
      </c>
      <c r="F52" s="26">
        <v>74.900000000000006</v>
      </c>
      <c r="G52" s="2">
        <v>6.2</v>
      </c>
      <c r="H52" s="2">
        <v>22.3</v>
      </c>
      <c r="I52" s="2">
        <v>30.3</v>
      </c>
      <c r="J52" s="2">
        <v>34.5</v>
      </c>
      <c r="K52" s="2">
        <v>1816</v>
      </c>
      <c r="L52" s="5" t="s">
        <v>11</v>
      </c>
      <c r="M52" s="5">
        <v>26</v>
      </c>
    </row>
    <row r="53" spans="1:13" x14ac:dyDescent="0.3">
      <c r="A53" s="4" t="s">
        <v>19</v>
      </c>
      <c r="B53" s="4" t="s">
        <v>44</v>
      </c>
      <c r="C53" s="2">
        <v>6</v>
      </c>
      <c r="D53" s="26">
        <v>1100</v>
      </c>
      <c r="E53" s="26">
        <v>53.3</v>
      </c>
      <c r="F53" s="26">
        <v>112.9</v>
      </c>
      <c r="G53" s="2">
        <v>6.3</v>
      </c>
      <c r="H53" s="2">
        <v>23.4</v>
      </c>
      <c r="I53" s="2">
        <v>28.4</v>
      </c>
      <c r="J53" s="2">
        <v>34.5</v>
      </c>
      <c r="K53" s="2">
        <v>1816</v>
      </c>
      <c r="L53" s="5" t="s">
        <v>11</v>
      </c>
      <c r="M53" s="5">
        <v>26</v>
      </c>
    </row>
    <row r="54" spans="1:13" x14ac:dyDescent="0.3">
      <c r="A54" s="4" t="s">
        <v>19</v>
      </c>
      <c r="B54" s="4" t="s">
        <v>45</v>
      </c>
      <c r="C54" s="2">
        <v>38</v>
      </c>
      <c r="D54" s="26">
        <v>1500</v>
      </c>
      <c r="E54" s="26">
        <v>233.9</v>
      </c>
      <c r="F54" s="26">
        <v>206.1</v>
      </c>
      <c r="G54" s="2">
        <v>6.2</v>
      </c>
      <c r="H54" s="2">
        <v>18.7</v>
      </c>
      <c r="I54" s="2">
        <v>18.2</v>
      </c>
      <c r="J54" s="2">
        <v>30</v>
      </c>
      <c r="K54" s="2">
        <v>2257</v>
      </c>
      <c r="L54" s="5" t="s">
        <v>11</v>
      </c>
      <c r="M54" s="5">
        <v>15</v>
      </c>
    </row>
    <row r="55" spans="1:13" x14ac:dyDescent="0.3">
      <c r="A55" s="4" t="s">
        <v>19</v>
      </c>
      <c r="B55" s="4" t="s">
        <v>45</v>
      </c>
      <c r="C55" s="2">
        <v>12</v>
      </c>
      <c r="D55" s="26">
        <v>1400</v>
      </c>
      <c r="E55" s="26">
        <v>263.39999999999998</v>
      </c>
      <c r="F55" s="26">
        <v>175.2</v>
      </c>
      <c r="G55" s="2">
        <v>6.4</v>
      </c>
      <c r="H55" s="2">
        <v>25.9</v>
      </c>
      <c r="I55" s="2">
        <v>18.8</v>
      </c>
      <c r="J55" s="2">
        <v>30</v>
      </c>
      <c r="K55" s="2">
        <v>2257</v>
      </c>
      <c r="L55" s="5" t="s">
        <v>11</v>
      </c>
      <c r="M55" s="5">
        <v>15</v>
      </c>
    </row>
    <row r="56" spans="1:13" x14ac:dyDescent="0.3">
      <c r="A56" s="4" t="s">
        <v>19</v>
      </c>
      <c r="B56" s="4" t="s">
        <v>45</v>
      </c>
      <c r="C56" s="2">
        <v>54</v>
      </c>
      <c r="D56" s="26">
        <v>1800</v>
      </c>
      <c r="E56" s="26">
        <v>260.89999999999998</v>
      </c>
      <c r="F56" s="26">
        <v>268</v>
      </c>
      <c r="G56" s="2">
        <v>6.2</v>
      </c>
      <c r="H56" s="2">
        <v>24.4</v>
      </c>
      <c r="I56" s="2">
        <v>19</v>
      </c>
      <c r="J56" s="2">
        <v>30</v>
      </c>
      <c r="K56" s="2">
        <v>2239</v>
      </c>
      <c r="L56" s="5" t="s">
        <v>11</v>
      </c>
      <c r="M56" s="5">
        <v>15</v>
      </c>
    </row>
    <row r="57" spans="1:13" x14ac:dyDescent="0.3">
      <c r="A57" s="4" t="s">
        <v>19</v>
      </c>
      <c r="B57" s="4" t="s">
        <v>45</v>
      </c>
      <c r="C57" s="2">
        <v>46</v>
      </c>
      <c r="D57" s="26">
        <v>1600</v>
      </c>
      <c r="E57" s="26">
        <v>250.7</v>
      </c>
      <c r="F57" s="26">
        <v>240.2</v>
      </c>
      <c r="G57" s="2">
        <v>6.1</v>
      </c>
      <c r="H57" s="2">
        <v>23.5</v>
      </c>
      <c r="I57" s="2">
        <v>19.5</v>
      </c>
      <c r="J57" s="2">
        <v>30</v>
      </c>
      <c r="K57" s="2">
        <v>2239</v>
      </c>
      <c r="L57" s="5" t="s">
        <v>11</v>
      </c>
      <c r="M57" s="5">
        <v>15</v>
      </c>
    </row>
    <row r="58" spans="1:13" x14ac:dyDescent="0.3">
      <c r="A58" s="4" t="s">
        <v>19</v>
      </c>
      <c r="B58" s="4" t="s">
        <v>48</v>
      </c>
      <c r="C58" s="2">
        <v>55</v>
      </c>
      <c r="D58" s="26">
        <v>2800</v>
      </c>
      <c r="E58" s="26">
        <v>260.8</v>
      </c>
      <c r="F58" s="26">
        <v>534</v>
      </c>
      <c r="G58" s="2">
        <v>6.1</v>
      </c>
      <c r="H58" s="2">
        <v>38.4</v>
      </c>
      <c r="I58" s="2">
        <v>26.3</v>
      </c>
      <c r="J58" s="2">
        <v>27.1</v>
      </c>
      <c r="K58" s="2">
        <v>1485</v>
      </c>
      <c r="L58" s="5" t="s">
        <v>11</v>
      </c>
      <c r="M58" s="5">
        <v>18</v>
      </c>
    </row>
    <row r="59" spans="1:13" x14ac:dyDescent="0.3">
      <c r="A59" s="4" t="s">
        <v>19</v>
      </c>
      <c r="B59" s="4" t="s">
        <v>48</v>
      </c>
      <c r="C59" s="2">
        <v>15</v>
      </c>
      <c r="D59" s="26">
        <v>2800</v>
      </c>
      <c r="E59" s="26">
        <v>64.3</v>
      </c>
      <c r="F59" s="26">
        <v>522.4</v>
      </c>
      <c r="G59" s="2">
        <v>6.1</v>
      </c>
      <c r="H59" s="2">
        <v>36.6</v>
      </c>
      <c r="I59" s="2">
        <v>23.6</v>
      </c>
      <c r="J59" s="2">
        <v>27.1</v>
      </c>
      <c r="K59" s="2">
        <v>1485</v>
      </c>
      <c r="L59" s="5" t="s">
        <v>11</v>
      </c>
      <c r="M59" s="5">
        <v>18</v>
      </c>
    </row>
    <row r="60" spans="1:13" x14ac:dyDescent="0.3">
      <c r="A60" s="4" t="s">
        <v>19</v>
      </c>
      <c r="B60" s="4" t="s">
        <v>48</v>
      </c>
      <c r="C60" s="2">
        <v>45</v>
      </c>
      <c r="D60" s="26">
        <v>2900</v>
      </c>
      <c r="E60" s="26">
        <v>58.3</v>
      </c>
      <c r="F60" s="26">
        <v>848.4</v>
      </c>
      <c r="G60" s="2">
        <v>6.2</v>
      </c>
      <c r="H60" s="2">
        <v>31.3</v>
      </c>
      <c r="I60" s="2">
        <v>22.3</v>
      </c>
      <c r="J60" s="2">
        <v>26.8</v>
      </c>
      <c r="K60" s="2">
        <v>1406</v>
      </c>
      <c r="L60" s="5" t="s">
        <v>11</v>
      </c>
      <c r="M60" s="5">
        <v>18</v>
      </c>
    </row>
    <row r="61" spans="1:13" x14ac:dyDescent="0.3">
      <c r="A61" s="4" t="s">
        <v>19</v>
      </c>
      <c r="B61" s="4" t="s">
        <v>48</v>
      </c>
      <c r="C61" s="2">
        <v>81</v>
      </c>
      <c r="D61" s="26">
        <v>3000</v>
      </c>
      <c r="E61" s="26">
        <v>35.700000000000003</v>
      </c>
      <c r="F61" s="26">
        <v>580.70000000000005</v>
      </c>
      <c r="G61" s="2">
        <v>5.8</v>
      </c>
      <c r="H61" s="2">
        <v>30</v>
      </c>
      <c r="I61" s="2">
        <v>25.2</v>
      </c>
      <c r="J61" s="2">
        <v>26.8</v>
      </c>
      <c r="K61" s="2">
        <v>1406</v>
      </c>
      <c r="L61" s="5" t="s">
        <v>11</v>
      </c>
      <c r="M61" s="5">
        <v>18</v>
      </c>
    </row>
    <row r="62" spans="1:13" x14ac:dyDescent="0.3">
      <c r="A62" s="4" t="s">
        <v>19</v>
      </c>
      <c r="B62" s="4" t="s">
        <v>48</v>
      </c>
      <c r="C62" s="2">
        <v>18</v>
      </c>
      <c r="D62" s="26">
        <v>2500</v>
      </c>
      <c r="E62" s="26">
        <v>48.1</v>
      </c>
      <c r="F62" s="26">
        <v>379.2</v>
      </c>
      <c r="G62" s="2">
        <v>6.2</v>
      </c>
      <c r="H62" s="2">
        <v>32.5</v>
      </c>
      <c r="I62" s="2">
        <v>24.1</v>
      </c>
      <c r="J62" s="2">
        <v>26.2</v>
      </c>
      <c r="K62" s="2">
        <v>1382</v>
      </c>
      <c r="L62" s="5" t="s">
        <v>11</v>
      </c>
      <c r="M62" s="5">
        <v>7</v>
      </c>
    </row>
    <row r="63" spans="1:13" x14ac:dyDescent="0.3">
      <c r="A63" s="4" t="s">
        <v>19</v>
      </c>
      <c r="B63" s="4" t="s">
        <v>48</v>
      </c>
      <c r="C63" s="2">
        <v>24</v>
      </c>
      <c r="D63" s="26">
        <v>2500</v>
      </c>
      <c r="E63" s="26">
        <v>57.4</v>
      </c>
      <c r="F63" s="26">
        <v>405.9</v>
      </c>
      <c r="G63" s="2">
        <v>6.1</v>
      </c>
      <c r="H63" s="2">
        <v>30.3</v>
      </c>
      <c r="I63" s="2">
        <v>24.8</v>
      </c>
      <c r="J63" s="2">
        <v>26.2</v>
      </c>
      <c r="K63" s="2">
        <v>1382</v>
      </c>
      <c r="L63" s="5" t="s">
        <v>11</v>
      </c>
      <c r="M63" s="5">
        <v>7</v>
      </c>
    </row>
    <row r="64" spans="1:13" x14ac:dyDescent="0.3">
      <c r="A64" s="3" t="s">
        <v>20</v>
      </c>
      <c r="B64" s="4" t="s">
        <v>50</v>
      </c>
      <c r="C64" s="2">
        <v>75</v>
      </c>
      <c r="D64" s="27">
        <v>1900</v>
      </c>
      <c r="E64" s="29">
        <v>553.1</v>
      </c>
      <c r="F64" s="29">
        <v>395.2</v>
      </c>
      <c r="G64" s="2">
        <v>6.6</v>
      </c>
      <c r="H64" s="2">
        <v>15.7</v>
      </c>
      <c r="I64" s="2">
        <v>26.3</v>
      </c>
      <c r="J64" s="2">
        <v>25.1</v>
      </c>
      <c r="K64" s="2">
        <v>682</v>
      </c>
      <c r="L64" s="5" t="s">
        <v>11</v>
      </c>
      <c r="M64" s="5">
        <v>25</v>
      </c>
    </row>
    <row r="65" spans="1:13" x14ac:dyDescent="0.3">
      <c r="A65" s="3" t="s">
        <v>20</v>
      </c>
      <c r="B65" s="4" t="s">
        <v>50</v>
      </c>
      <c r="C65" s="2">
        <v>128</v>
      </c>
      <c r="D65" s="31">
        <v>1900</v>
      </c>
      <c r="E65" s="30">
        <v>500</v>
      </c>
      <c r="F65" s="30">
        <v>385.1</v>
      </c>
      <c r="G65" s="2">
        <v>6.1</v>
      </c>
      <c r="H65" s="2">
        <v>18.3</v>
      </c>
      <c r="I65" s="2">
        <v>24.7</v>
      </c>
      <c r="J65" s="2">
        <v>25.1</v>
      </c>
      <c r="K65" s="2">
        <v>682</v>
      </c>
      <c r="L65" s="5" t="s">
        <v>11</v>
      </c>
      <c r="M65" s="5">
        <v>25</v>
      </c>
    </row>
    <row r="66" spans="1:13" x14ac:dyDescent="0.3">
      <c r="A66" s="3" t="s">
        <v>20</v>
      </c>
      <c r="B66" s="4" t="s">
        <v>50</v>
      </c>
      <c r="C66" s="2">
        <v>10.199999999999999</v>
      </c>
      <c r="D66" s="31">
        <v>1500</v>
      </c>
      <c r="E66" s="30">
        <v>518.4</v>
      </c>
      <c r="F66" s="30">
        <v>320.60000000000002</v>
      </c>
      <c r="G66" s="2">
        <v>6.3</v>
      </c>
      <c r="H66" s="2">
        <v>29.6</v>
      </c>
      <c r="I66" s="2">
        <v>24.5</v>
      </c>
      <c r="J66" s="2">
        <v>25.1</v>
      </c>
      <c r="K66" s="2">
        <v>682</v>
      </c>
      <c r="L66" s="5" t="s">
        <v>11</v>
      </c>
      <c r="M66" s="5">
        <v>25</v>
      </c>
    </row>
    <row r="67" spans="1:13" x14ac:dyDescent="0.3">
      <c r="A67" s="3" t="s">
        <v>20</v>
      </c>
      <c r="B67" s="4" t="s">
        <v>50</v>
      </c>
      <c r="C67" s="2">
        <v>97</v>
      </c>
      <c r="D67" s="31">
        <v>1500</v>
      </c>
      <c r="E67" s="30">
        <v>533</v>
      </c>
      <c r="F67" s="30">
        <v>294.60000000000002</v>
      </c>
      <c r="G67" s="2">
        <v>5.8</v>
      </c>
      <c r="H67" s="2">
        <v>35.1</v>
      </c>
      <c r="I67" s="2">
        <v>24.5</v>
      </c>
      <c r="J67" s="2">
        <v>25.1</v>
      </c>
      <c r="K67" s="2">
        <v>682</v>
      </c>
      <c r="L67" s="5" t="s">
        <v>11</v>
      </c>
      <c r="M67" s="5">
        <v>25</v>
      </c>
    </row>
    <row r="68" spans="1:13" x14ac:dyDescent="0.3">
      <c r="A68" s="4" t="s">
        <v>22</v>
      </c>
      <c r="B68" s="4" t="s">
        <v>53</v>
      </c>
      <c r="C68" s="2">
        <v>73</v>
      </c>
      <c r="D68" s="26">
        <v>6000</v>
      </c>
      <c r="E68" s="26">
        <v>132.80000000000001</v>
      </c>
      <c r="F68" s="26">
        <v>71.8</v>
      </c>
      <c r="G68" s="2">
        <v>6.3</v>
      </c>
      <c r="H68" s="2">
        <v>65.099999999999994</v>
      </c>
      <c r="I68" s="2">
        <v>20.399999999999999</v>
      </c>
      <c r="J68" s="2">
        <v>20.9</v>
      </c>
      <c r="K68" s="2">
        <v>1519</v>
      </c>
      <c r="L68" s="5" t="s">
        <v>11</v>
      </c>
      <c r="M68" s="5">
        <v>18</v>
      </c>
    </row>
    <row r="69" spans="1:13" x14ac:dyDescent="0.3">
      <c r="A69" s="4" t="s">
        <v>22</v>
      </c>
      <c r="B69" s="4" t="s">
        <v>53</v>
      </c>
      <c r="C69" s="2">
        <v>44</v>
      </c>
      <c r="D69" s="26">
        <v>6700</v>
      </c>
      <c r="E69" s="26">
        <v>81.599999999999994</v>
      </c>
      <c r="F69" s="26">
        <v>337.8</v>
      </c>
      <c r="G69" s="2">
        <v>5.9</v>
      </c>
      <c r="H69" s="2">
        <v>22.7</v>
      </c>
      <c r="I69" s="2">
        <v>20.9</v>
      </c>
      <c r="J69" s="2">
        <v>20.9</v>
      </c>
      <c r="K69" s="2">
        <v>1518</v>
      </c>
      <c r="L69" s="5" t="s">
        <v>11</v>
      </c>
      <c r="M69" s="5">
        <v>18</v>
      </c>
    </row>
    <row r="70" spans="1:13" x14ac:dyDescent="0.3">
      <c r="A70" s="4" t="s">
        <v>22</v>
      </c>
      <c r="B70" s="4" t="s">
        <v>53</v>
      </c>
      <c r="C70" s="2">
        <v>252</v>
      </c>
      <c r="D70" s="26">
        <v>6900</v>
      </c>
      <c r="E70" s="26">
        <v>37.6</v>
      </c>
      <c r="F70" s="26">
        <v>640.29999999999995</v>
      </c>
      <c r="G70" s="2">
        <v>5.4</v>
      </c>
      <c r="H70" s="2">
        <v>29.4</v>
      </c>
      <c r="I70" s="2">
        <v>20.3</v>
      </c>
      <c r="J70" s="2">
        <v>18.5</v>
      </c>
      <c r="K70" s="2">
        <v>1551</v>
      </c>
      <c r="L70" s="5" t="s">
        <v>11</v>
      </c>
      <c r="M70" s="5">
        <v>25</v>
      </c>
    </row>
    <row r="71" spans="1:13" x14ac:dyDescent="0.3">
      <c r="A71" s="4" t="s">
        <v>22</v>
      </c>
      <c r="B71" s="4" t="s">
        <v>53</v>
      </c>
      <c r="C71" s="2">
        <v>256</v>
      </c>
      <c r="D71" s="26">
        <v>6700</v>
      </c>
      <c r="E71" s="26">
        <v>4.0999999999999996</v>
      </c>
      <c r="F71" s="26">
        <v>395.6</v>
      </c>
      <c r="G71" s="2">
        <v>5.2</v>
      </c>
      <c r="H71" s="2">
        <v>28.6</v>
      </c>
      <c r="I71" s="2">
        <v>20.2</v>
      </c>
      <c r="J71" s="2">
        <v>18.5</v>
      </c>
      <c r="K71" s="2">
        <v>1551</v>
      </c>
      <c r="L71" s="5" t="s">
        <v>11</v>
      </c>
      <c r="M71" s="5">
        <v>25</v>
      </c>
    </row>
    <row r="72" spans="1:13" x14ac:dyDescent="0.3">
      <c r="A72" s="4" t="s">
        <v>22</v>
      </c>
      <c r="B72" s="4" t="s">
        <v>53</v>
      </c>
      <c r="C72" s="2">
        <v>84</v>
      </c>
      <c r="D72" s="26">
        <v>4300</v>
      </c>
      <c r="E72" s="26">
        <v>4.2</v>
      </c>
      <c r="F72" s="26">
        <v>153.4</v>
      </c>
      <c r="G72" s="2">
        <v>5.4</v>
      </c>
      <c r="H72" s="2">
        <v>57</v>
      </c>
      <c r="I72" s="2">
        <v>19.100000000000001</v>
      </c>
      <c r="J72" s="2">
        <v>20.6</v>
      </c>
      <c r="K72" s="2">
        <v>1618</v>
      </c>
      <c r="L72" s="5" t="s">
        <v>11</v>
      </c>
      <c r="M72" s="5">
        <v>8</v>
      </c>
    </row>
    <row r="73" spans="1:13" x14ac:dyDescent="0.3">
      <c r="A73" s="4" t="s">
        <v>22</v>
      </c>
      <c r="B73" s="4" t="s">
        <v>53</v>
      </c>
      <c r="C73" s="2">
        <v>371</v>
      </c>
      <c r="D73" s="26">
        <v>4500</v>
      </c>
      <c r="E73" s="26">
        <v>1.8</v>
      </c>
      <c r="F73" s="26">
        <v>186.7</v>
      </c>
      <c r="G73" s="2">
        <v>4.5999999999999996</v>
      </c>
      <c r="H73" s="2">
        <v>48.6</v>
      </c>
      <c r="I73" s="2">
        <v>19.899999999999999</v>
      </c>
      <c r="J73" s="2">
        <v>20.6</v>
      </c>
      <c r="K73" s="2">
        <v>1618</v>
      </c>
      <c r="L73" s="5" t="s">
        <v>11</v>
      </c>
      <c r="M73" s="5">
        <v>8</v>
      </c>
    </row>
    <row r="74" spans="1:13" x14ac:dyDescent="0.3">
      <c r="A74" s="4" t="s">
        <v>22</v>
      </c>
      <c r="B74" s="4" t="s">
        <v>53</v>
      </c>
      <c r="C74" s="2">
        <v>91</v>
      </c>
      <c r="D74" s="26">
        <v>7300</v>
      </c>
      <c r="E74" s="26">
        <v>569.79999999999995</v>
      </c>
      <c r="F74" s="26">
        <v>680.4</v>
      </c>
      <c r="G74" s="2">
        <v>6.2</v>
      </c>
      <c r="H74" s="2">
        <v>34.799999999999997</v>
      </c>
      <c r="I74" s="2">
        <v>21.5</v>
      </c>
      <c r="J74" s="2">
        <v>20</v>
      </c>
      <c r="K74" s="2">
        <v>1558</v>
      </c>
      <c r="L74" s="5" t="s">
        <v>11</v>
      </c>
      <c r="M74" s="5">
        <v>40</v>
      </c>
    </row>
    <row r="75" spans="1:13" x14ac:dyDescent="0.3">
      <c r="A75" s="4" t="s">
        <v>22</v>
      </c>
      <c r="B75" s="4" t="s">
        <v>53</v>
      </c>
      <c r="C75" s="2">
        <v>72</v>
      </c>
      <c r="D75" s="26">
        <v>7400</v>
      </c>
      <c r="E75" s="26">
        <v>625.4</v>
      </c>
      <c r="F75" s="26">
        <v>728</v>
      </c>
      <c r="G75" s="2">
        <v>6.6</v>
      </c>
      <c r="H75" s="2">
        <v>27.4</v>
      </c>
      <c r="I75" s="2">
        <v>21.2</v>
      </c>
      <c r="J75" s="2">
        <v>20</v>
      </c>
      <c r="K75" s="2">
        <v>1558</v>
      </c>
      <c r="L75" s="5" t="s">
        <v>11</v>
      </c>
      <c r="M75" s="5">
        <v>40</v>
      </c>
    </row>
    <row r="76" spans="1:13" x14ac:dyDescent="0.3">
      <c r="A76" s="4" t="s">
        <v>22</v>
      </c>
      <c r="B76" s="4" t="s">
        <v>54</v>
      </c>
      <c r="C76" s="2">
        <v>67</v>
      </c>
      <c r="D76" s="26">
        <v>6800</v>
      </c>
      <c r="E76" s="26">
        <v>103.9</v>
      </c>
      <c r="F76" s="26">
        <v>129.1</v>
      </c>
      <c r="G76" s="2">
        <v>5.8</v>
      </c>
      <c r="H76" s="2">
        <v>31.2</v>
      </c>
      <c r="I76" s="2">
        <v>20</v>
      </c>
      <c r="J76" s="2">
        <v>20</v>
      </c>
      <c r="K76" s="2">
        <v>1535</v>
      </c>
      <c r="L76" s="5" t="s">
        <v>11</v>
      </c>
      <c r="M76" s="5">
        <v>25</v>
      </c>
    </row>
    <row r="77" spans="1:13" x14ac:dyDescent="0.3">
      <c r="A77" s="4" t="s">
        <v>22</v>
      </c>
      <c r="B77" s="4" t="s">
        <v>54</v>
      </c>
      <c r="C77" s="2">
        <v>33</v>
      </c>
      <c r="D77" s="26">
        <v>7200</v>
      </c>
      <c r="E77" s="26">
        <v>133.1</v>
      </c>
      <c r="F77" s="26">
        <v>147</v>
      </c>
      <c r="G77" s="2">
        <v>6.1</v>
      </c>
      <c r="H77" s="2">
        <v>32.4</v>
      </c>
      <c r="I77" s="2">
        <v>20.5</v>
      </c>
      <c r="J77" s="2">
        <v>20</v>
      </c>
      <c r="K77" s="2">
        <v>1535</v>
      </c>
      <c r="L77" s="5" t="s">
        <v>11</v>
      </c>
      <c r="M77" s="5">
        <v>25</v>
      </c>
    </row>
    <row r="78" spans="1:13" x14ac:dyDescent="0.3">
      <c r="A78" s="3" t="s">
        <v>22</v>
      </c>
      <c r="B78" s="4" t="s">
        <v>55</v>
      </c>
      <c r="C78" s="2">
        <v>134</v>
      </c>
      <c r="D78" s="26">
        <v>3200</v>
      </c>
      <c r="E78" s="26">
        <v>144.80000000000001</v>
      </c>
      <c r="F78" s="26">
        <v>32.299999999999997</v>
      </c>
      <c r="G78" s="2">
        <v>5.5</v>
      </c>
      <c r="H78" s="2">
        <v>56</v>
      </c>
      <c r="I78" s="2">
        <v>28</v>
      </c>
      <c r="J78" s="2">
        <v>25</v>
      </c>
      <c r="K78" s="2">
        <v>749</v>
      </c>
      <c r="L78" s="5" t="s">
        <v>12</v>
      </c>
      <c r="M78" s="5"/>
    </row>
    <row r="79" spans="1:13" x14ac:dyDescent="0.3">
      <c r="A79" s="3" t="s">
        <v>24</v>
      </c>
      <c r="B79" s="4" t="s">
        <v>57</v>
      </c>
      <c r="C79" s="2">
        <v>54</v>
      </c>
      <c r="D79" s="26">
        <v>6400</v>
      </c>
      <c r="E79" s="26">
        <v>27.4</v>
      </c>
      <c r="F79" s="26">
        <v>218.5</v>
      </c>
      <c r="G79" s="2">
        <v>6.4</v>
      </c>
      <c r="H79" s="2">
        <v>33.5</v>
      </c>
      <c r="I79" s="2">
        <v>21.7</v>
      </c>
      <c r="J79" s="2">
        <v>20</v>
      </c>
      <c r="K79" s="2">
        <v>1251</v>
      </c>
      <c r="L79" s="5" t="s">
        <v>11</v>
      </c>
      <c r="M79" s="5">
        <v>18</v>
      </c>
    </row>
    <row r="80" spans="1:13" x14ac:dyDescent="0.3">
      <c r="A80" s="3" t="s">
        <v>24</v>
      </c>
      <c r="B80" s="4" t="s">
        <v>57</v>
      </c>
      <c r="C80" s="2">
        <v>21</v>
      </c>
      <c r="D80" s="26">
        <v>6100</v>
      </c>
      <c r="E80" s="26">
        <v>16.3</v>
      </c>
      <c r="F80" s="26">
        <v>197.2</v>
      </c>
      <c r="G80" s="2">
        <v>6.2</v>
      </c>
      <c r="H80" s="2">
        <v>29.5</v>
      </c>
      <c r="I80" s="2">
        <v>22.5</v>
      </c>
      <c r="J80" s="2">
        <v>20</v>
      </c>
      <c r="K80" s="2">
        <v>1251</v>
      </c>
      <c r="L80" s="5" t="s">
        <v>11</v>
      </c>
      <c r="M80" s="5">
        <v>30</v>
      </c>
    </row>
    <row r="81" spans="1:13" x14ac:dyDescent="0.3">
      <c r="A81" s="3" t="s">
        <v>24</v>
      </c>
      <c r="B81" s="4" t="s">
        <v>57</v>
      </c>
      <c r="C81" s="2">
        <v>21</v>
      </c>
      <c r="D81" s="26">
        <v>4300</v>
      </c>
      <c r="E81" s="26">
        <v>178.5</v>
      </c>
      <c r="F81" s="26">
        <v>334.1</v>
      </c>
      <c r="G81" s="2">
        <v>6.3</v>
      </c>
      <c r="H81" s="2">
        <v>49.2</v>
      </c>
      <c r="I81" s="2">
        <v>22.4</v>
      </c>
      <c r="J81" s="2">
        <v>21</v>
      </c>
      <c r="K81" s="2">
        <v>1284</v>
      </c>
      <c r="L81" s="5" t="s">
        <v>11</v>
      </c>
      <c r="M81" s="5">
        <v>30</v>
      </c>
    </row>
    <row r="82" spans="1:13" x14ac:dyDescent="0.3">
      <c r="A82" s="3" t="s">
        <v>24</v>
      </c>
      <c r="B82" s="4" t="s">
        <v>57</v>
      </c>
      <c r="C82" s="2">
        <v>26</v>
      </c>
      <c r="D82" s="26">
        <v>4300</v>
      </c>
      <c r="E82" s="26">
        <v>726.8</v>
      </c>
      <c r="F82" s="26">
        <v>255.7</v>
      </c>
      <c r="G82" s="2">
        <v>6.9</v>
      </c>
      <c r="H82" s="2">
        <v>54.2</v>
      </c>
      <c r="I82" s="2">
        <v>21.1</v>
      </c>
      <c r="J82" s="2">
        <v>21</v>
      </c>
      <c r="K82" s="2">
        <v>1284</v>
      </c>
      <c r="L82" s="5" t="s">
        <v>11</v>
      </c>
      <c r="M82" s="5">
        <v>18</v>
      </c>
    </row>
    <row r="83" spans="1:13" x14ac:dyDescent="0.3">
      <c r="A83" s="3" t="s">
        <v>24</v>
      </c>
      <c r="B83" s="4" t="s">
        <v>58</v>
      </c>
      <c r="C83" s="2">
        <v>346</v>
      </c>
      <c r="D83" s="26">
        <v>3000</v>
      </c>
      <c r="E83" s="26">
        <v>604.5</v>
      </c>
      <c r="F83" s="26">
        <v>534.5</v>
      </c>
      <c r="G83" s="2">
        <v>6.3</v>
      </c>
      <c r="H83" s="2">
        <v>34</v>
      </c>
      <c r="I83" s="2">
        <v>25.6</v>
      </c>
      <c r="J83" s="2">
        <v>22</v>
      </c>
      <c r="K83" s="2">
        <v>1340</v>
      </c>
      <c r="L83" s="5" t="s">
        <v>11</v>
      </c>
      <c r="M83" s="5">
        <v>20</v>
      </c>
    </row>
    <row r="84" spans="1:13" x14ac:dyDescent="0.3">
      <c r="A84" s="3" t="s">
        <v>24</v>
      </c>
      <c r="B84" s="4" t="s">
        <v>58</v>
      </c>
      <c r="C84" s="2">
        <v>182</v>
      </c>
      <c r="D84" s="26">
        <v>3000</v>
      </c>
      <c r="E84" s="26">
        <v>58.7</v>
      </c>
      <c r="F84" s="26">
        <v>216.8</v>
      </c>
      <c r="G84" s="2">
        <v>6.2</v>
      </c>
      <c r="H84" s="2">
        <v>37</v>
      </c>
      <c r="I84" s="2">
        <v>24.4</v>
      </c>
      <c r="J84" s="2">
        <v>22</v>
      </c>
      <c r="K84" s="2">
        <v>1340</v>
      </c>
      <c r="L84" s="5" t="s">
        <v>11</v>
      </c>
      <c r="M84" s="5">
        <v>20</v>
      </c>
    </row>
    <row r="85" spans="1:13" x14ac:dyDescent="0.3">
      <c r="A85" s="3" t="s">
        <v>24</v>
      </c>
      <c r="B85" s="4" t="s">
        <v>58</v>
      </c>
      <c r="C85" s="2">
        <v>52</v>
      </c>
      <c r="D85" s="26">
        <v>6500</v>
      </c>
      <c r="E85" s="26">
        <v>65.3</v>
      </c>
      <c r="F85" s="26">
        <v>183.2</v>
      </c>
      <c r="G85" s="2">
        <v>6</v>
      </c>
      <c r="H85" s="2">
        <v>27.1</v>
      </c>
      <c r="I85" s="2">
        <v>24.4</v>
      </c>
      <c r="J85" s="2">
        <v>23</v>
      </c>
      <c r="K85" s="2">
        <v>1466</v>
      </c>
      <c r="L85" s="5" t="s">
        <v>11</v>
      </c>
      <c r="M85" s="5">
        <v>30</v>
      </c>
    </row>
    <row r="86" spans="1:13" x14ac:dyDescent="0.3">
      <c r="A86" s="3" t="s">
        <v>24</v>
      </c>
      <c r="B86" s="4" t="s">
        <v>58</v>
      </c>
      <c r="C86" s="2">
        <v>75</v>
      </c>
      <c r="D86" s="26">
        <v>7100</v>
      </c>
      <c r="E86" s="26">
        <v>489.7</v>
      </c>
      <c r="F86" s="26">
        <v>190.2</v>
      </c>
      <c r="G86" s="2">
        <v>6.1</v>
      </c>
      <c r="H86" s="2">
        <v>45.8</v>
      </c>
      <c r="I86" s="2">
        <v>24.9</v>
      </c>
      <c r="J86" s="2">
        <v>23</v>
      </c>
      <c r="K86" s="2">
        <v>1466</v>
      </c>
      <c r="L86" s="5" t="s">
        <v>11</v>
      </c>
      <c r="M86" s="5">
        <v>30</v>
      </c>
    </row>
    <row r="87" spans="1:13" x14ac:dyDescent="0.3">
      <c r="A87" s="3" t="s">
        <v>24</v>
      </c>
      <c r="B87" s="4" t="s">
        <v>59</v>
      </c>
      <c r="C87" s="2">
        <v>34</v>
      </c>
      <c r="D87" s="26">
        <v>7300</v>
      </c>
      <c r="E87" s="26">
        <v>107.7</v>
      </c>
      <c r="F87" s="26">
        <v>165.4</v>
      </c>
      <c r="G87" s="2">
        <v>6.3</v>
      </c>
      <c r="H87" s="2">
        <v>21.8</v>
      </c>
      <c r="I87" s="2">
        <v>24.6</v>
      </c>
      <c r="J87" s="2">
        <v>20</v>
      </c>
      <c r="K87" s="2">
        <v>1265</v>
      </c>
      <c r="L87" s="5" t="s">
        <v>11</v>
      </c>
      <c r="M87" s="5">
        <v>45</v>
      </c>
    </row>
    <row r="88" spans="1:13" x14ac:dyDescent="0.3">
      <c r="A88" s="3" t="s">
        <v>24</v>
      </c>
      <c r="B88" s="4" t="s">
        <v>59</v>
      </c>
      <c r="C88" s="2">
        <v>32</v>
      </c>
      <c r="D88" s="26">
        <v>7700</v>
      </c>
      <c r="E88" s="26">
        <v>135.69999999999999</v>
      </c>
      <c r="F88" s="26">
        <v>148.80000000000001</v>
      </c>
      <c r="G88" s="2">
        <v>6.2</v>
      </c>
      <c r="H88" s="2">
        <v>20.3</v>
      </c>
      <c r="I88" s="2">
        <v>24.6</v>
      </c>
      <c r="J88" s="2">
        <v>20</v>
      </c>
      <c r="K88" s="2">
        <v>1265</v>
      </c>
      <c r="L88" s="5" t="s">
        <v>11</v>
      </c>
      <c r="M88" s="5">
        <v>45</v>
      </c>
    </row>
    <row r="89" spans="1:13" x14ac:dyDescent="0.3">
      <c r="A89" s="3" t="s">
        <v>24</v>
      </c>
      <c r="B89" s="4" t="s">
        <v>60</v>
      </c>
      <c r="C89" s="2">
        <v>74</v>
      </c>
      <c r="D89" s="26">
        <v>5600</v>
      </c>
      <c r="E89" s="26">
        <v>450.2</v>
      </c>
      <c r="F89" s="26">
        <v>177</v>
      </c>
      <c r="G89" s="2">
        <v>6.2</v>
      </c>
      <c r="H89" s="2">
        <v>34.5</v>
      </c>
      <c r="I89" s="2">
        <v>26.2</v>
      </c>
      <c r="J89" s="2">
        <v>22</v>
      </c>
      <c r="K89" s="2">
        <v>1349</v>
      </c>
      <c r="L89" s="5" t="s">
        <v>11</v>
      </c>
      <c r="M89" s="5">
        <v>25</v>
      </c>
    </row>
    <row r="90" spans="1:13" x14ac:dyDescent="0.3">
      <c r="A90" s="3" t="s">
        <v>24</v>
      </c>
      <c r="B90" s="4" t="s">
        <v>60</v>
      </c>
      <c r="C90" s="2">
        <v>48</v>
      </c>
      <c r="D90" s="26">
        <v>5800</v>
      </c>
      <c r="E90" s="26">
        <v>354.1</v>
      </c>
      <c r="F90" s="26">
        <v>191.9</v>
      </c>
      <c r="G90" s="2">
        <v>7.5</v>
      </c>
      <c r="H90" s="2">
        <v>44.9</v>
      </c>
      <c r="I90" s="2">
        <v>30.5</v>
      </c>
      <c r="J90" s="2">
        <v>22</v>
      </c>
      <c r="K90" s="2">
        <v>1349</v>
      </c>
      <c r="L90" s="5" t="s">
        <v>11</v>
      </c>
      <c r="M90" s="5">
        <v>25</v>
      </c>
    </row>
    <row r="91" spans="1:13" x14ac:dyDescent="0.3">
      <c r="A91" s="3" t="s">
        <v>24</v>
      </c>
      <c r="B91" s="4" t="s">
        <v>61</v>
      </c>
      <c r="C91" s="2">
        <v>23</v>
      </c>
      <c r="D91" s="26">
        <v>7000</v>
      </c>
      <c r="E91" s="26">
        <v>18.899999999999999</v>
      </c>
      <c r="F91" s="26">
        <v>198.5</v>
      </c>
      <c r="G91" s="2">
        <v>6.3</v>
      </c>
      <c r="H91" s="2">
        <v>33.700000000000003</v>
      </c>
      <c r="I91" s="2">
        <v>18.3</v>
      </c>
      <c r="J91" s="2">
        <v>16</v>
      </c>
      <c r="K91" s="2">
        <v>1753</v>
      </c>
      <c r="L91" s="5" t="s">
        <v>11</v>
      </c>
      <c r="M91" s="5">
        <v>30</v>
      </c>
    </row>
    <row r="92" spans="1:13" x14ac:dyDescent="0.3">
      <c r="A92" s="3" t="s">
        <v>24</v>
      </c>
      <c r="B92" s="4" t="s">
        <v>61</v>
      </c>
      <c r="C92" s="2">
        <v>7</v>
      </c>
      <c r="D92" s="26">
        <v>6900</v>
      </c>
      <c r="E92" s="26">
        <v>18</v>
      </c>
      <c r="F92" s="26">
        <v>88.5</v>
      </c>
      <c r="G92" s="2">
        <v>6.2</v>
      </c>
      <c r="H92" s="2">
        <v>22.5</v>
      </c>
      <c r="I92" s="2">
        <v>18.8</v>
      </c>
      <c r="J92" s="2">
        <v>16</v>
      </c>
      <c r="K92" s="2">
        <v>1753</v>
      </c>
      <c r="L92" s="5" t="s">
        <v>11</v>
      </c>
      <c r="M92" s="5">
        <v>30</v>
      </c>
    </row>
    <row r="93" spans="1:13" x14ac:dyDescent="0.3">
      <c r="A93" s="3" t="s">
        <v>24</v>
      </c>
      <c r="B93" s="4" t="s">
        <v>61</v>
      </c>
      <c r="C93" s="2">
        <v>84</v>
      </c>
      <c r="D93" s="26">
        <v>5600</v>
      </c>
      <c r="E93" s="26">
        <v>196.7</v>
      </c>
      <c r="F93" s="26">
        <v>300</v>
      </c>
      <c r="G93" s="2">
        <v>6.2</v>
      </c>
      <c r="H93" s="2">
        <v>22.2</v>
      </c>
      <c r="I93" s="2">
        <v>20</v>
      </c>
      <c r="J93" s="2">
        <v>19</v>
      </c>
      <c r="K93" s="2">
        <v>1638.91</v>
      </c>
      <c r="L93" s="5" t="s">
        <v>11</v>
      </c>
      <c r="M93" s="5">
        <v>30</v>
      </c>
    </row>
    <row r="94" spans="1:13" x14ac:dyDescent="0.3">
      <c r="A94" s="3" t="s">
        <v>24</v>
      </c>
      <c r="B94" s="4" t="s">
        <v>61</v>
      </c>
      <c r="C94" s="2">
        <v>72</v>
      </c>
      <c r="D94" s="26">
        <v>5000</v>
      </c>
      <c r="E94" s="26">
        <v>247.9</v>
      </c>
      <c r="F94" s="26">
        <v>250.6</v>
      </c>
      <c r="G94" s="2">
        <v>6.3</v>
      </c>
      <c r="H94" s="2">
        <v>16.7</v>
      </c>
      <c r="I94" s="2">
        <v>20</v>
      </c>
      <c r="J94" s="2">
        <v>19</v>
      </c>
      <c r="K94" s="2">
        <v>1638.91</v>
      </c>
      <c r="L94" s="5" t="s">
        <v>11</v>
      </c>
      <c r="M94" s="5">
        <v>30</v>
      </c>
    </row>
    <row r="95" spans="1:13" x14ac:dyDescent="0.3">
      <c r="A95" s="3" t="s">
        <v>24</v>
      </c>
      <c r="B95" s="4" t="s">
        <v>61</v>
      </c>
      <c r="C95" s="2">
        <v>11</v>
      </c>
      <c r="D95" s="26">
        <v>4900</v>
      </c>
      <c r="E95" s="26">
        <v>124.5</v>
      </c>
      <c r="F95" s="26">
        <v>189.1</v>
      </c>
      <c r="G95" s="2">
        <v>6.4</v>
      </c>
      <c r="H95" s="2">
        <v>16</v>
      </c>
      <c r="I95" s="2">
        <v>22.1</v>
      </c>
      <c r="J95" s="2">
        <v>21</v>
      </c>
      <c r="K95" s="2">
        <v>1567.28</v>
      </c>
      <c r="L95" s="5" t="s">
        <v>11</v>
      </c>
      <c r="M95" s="5">
        <v>30</v>
      </c>
    </row>
    <row r="96" spans="1:13" x14ac:dyDescent="0.3">
      <c r="A96" s="3" t="s">
        <v>24</v>
      </c>
      <c r="B96" s="4" t="s">
        <v>61</v>
      </c>
      <c r="C96" s="2">
        <v>62</v>
      </c>
      <c r="D96" s="26">
        <v>4600</v>
      </c>
      <c r="E96" s="26">
        <v>23.2</v>
      </c>
      <c r="F96" s="26">
        <v>135.80000000000001</v>
      </c>
      <c r="G96" s="2">
        <v>6.2</v>
      </c>
      <c r="H96" s="2">
        <v>18.899999999999999</v>
      </c>
      <c r="I96" s="2">
        <v>22.9</v>
      </c>
      <c r="J96" s="2">
        <v>21</v>
      </c>
      <c r="K96" s="2">
        <v>1567.28</v>
      </c>
      <c r="L96" s="5" t="s">
        <v>11</v>
      </c>
      <c r="M96" s="5">
        <v>30</v>
      </c>
    </row>
    <row r="97" spans="1:13" x14ac:dyDescent="0.3">
      <c r="A97" s="5"/>
      <c r="B97" s="5"/>
      <c r="D97" s="24"/>
      <c r="E97" s="24"/>
      <c r="F97" s="24"/>
      <c r="M97" s="5"/>
    </row>
    <row r="98" spans="1:13" x14ac:dyDescent="0.3">
      <c r="A98" s="5"/>
      <c r="B98" s="5"/>
      <c r="D98" s="24"/>
      <c r="E98" s="24"/>
      <c r="F98" s="24"/>
      <c r="M98" s="5"/>
    </row>
    <row r="99" spans="1:13" x14ac:dyDescent="0.3">
      <c r="A99" s="5"/>
      <c r="B99" s="5"/>
      <c r="D99" s="24"/>
      <c r="E99" s="24"/>
      <c r="F99" s="24"/>
      <c r="M99" s="5"/>
    </row>
    <row r="100" spans="1:13" x14ac:dyDescent="0.3">
      <c r="A100" s="5"/>
      <c r="B100" s="5"/>
      <c r="D100" s="24"/>
      <c r="E100" s="24"/>
      <c r="F100" s="24"/>
      <c r="M100" s="5"/>
    </row>
    <row r="101" spans="1:13" x14ac:dyDescent="0.3">
      <c r="A101" s="5"/>
      <c r="B101" s="5"/>
      <c r="D101" s="24"/>
      <c r="E101" s="24"/>
      <c r="F101" s="24"/>
      <c r="M101" s="5"/>
    </row>
    <row r="102" spans="1:13" x14ac:dyDescent="0.3">
      <c r="A102" s="5"/>
      <c r="B102" s="5"/>
      <c r="D102" s="24"/>
      <c r="E102" s="24"/>
      <c r="F102" s="24"/>
      <c r="M102" s="5"/>
    </row>
    <row r="103" spans="1:13" x14ac:dyDescent="0.3">
      <c r="A103" s="5"/>
      <c r="B103" s="5"/>
      <c r="D103" s="24"/>
      <c r="E103" s="24"/>
      <c r="F103" s="24"/>
      <c r="M103" s="5"/>
    </row>
    <row r="104" spans="1:13" x14ac:dyDescent="0.3">
      <c r="A104" s="5"/>
      <c r="B104" s="5"/>
      <c r="D104" s="24"/>
      <c r="E104" s="24"/>
      <c r="F104" s="24"/>
      <c r="M104" s="5"/>
    </row>
    <row r="105" spans="1:13" x14ac:dyDescent="0.3">
      <c r="A105" s="5"/>
      <c r="B105" s="5"/>
      <c r="D105" s="24"/>
      <c r="E105" s="24"/>
      <c r="F105" s="24"/>
      <c r="M105" s="5"/>
    </row>
    <row r="106" spans="1:13" x14ac:dyDescent="0.3">
      <c r="A106" s="5"/>
      <c r="B106" s="5"/>
      <c r="D106" s="24"/>
      <c r="E106" s="24"/>
      <c r="F106" s="24"/>
      <c r="M106" s="5"/>
    </row>
    <row r="107" spans="1:13" x14ac:dyDescent="0.3">
      <c r="A107" s="5"/>
      <c r="B107" s="5"/>
      <c r="D107" s="24"/>
      <c r="E107" s="24"/>
      <c r="F107" s="24"/>
      <c r="M107" s="5"/>
    </row>
    <row r="108" spans="1:13" x14ac:dyDescent="0.3">
      <c r="A108" s="5"/>
      <c r="B108" s="5"/>
      <c r="D108" s="24"/>
      <c r="E108" s="24"/>
      <c r="F108" s="24"/>
      <c r="M108" s="5"/>
    </row>
    <row r="109" spans="1:13" x14ac:dyDescent="0.3">
      <c r="A109" s="5"/>
      <c r="B109" s="5"/>
      <c r="D109" s="24"/>
      <c r="E109" s="24"/>
      <c r="F109" s="24"/>
      <c r="M109" s="5"/>
    </row>
    <row r="110" spans="1:13" x14ac:dyDescent="0.3">
      <c r="A110" s="5"/>
      <c r="B110" s="5"/>
      <c r="D110" s="24"/>
      <c r="E110" s="24"/>
      <c r="F110" s="24"/>
      <c r="M110" s="5"/>
    </row>
    <row r="111" spans="1:13" x14ac:dyDescent="0.3">
      <c r="A111" s="5"/>
      <c r="B111" s="5"/>
      <c r="D111" s="24"/>
      <c r="E111" s="24"/>
      <c r="F111" s="24"/>
      <c r="M111" s="5"/>
    </row>
    <row r="112" spans="1:13" x14ac:dyDescent="0.3">
      <c r="A112" s="5"/>
      <c r="B112" s="5"/>
      <c r="D112" s="24"/>
      <c r="E112" s="24"/>
      <c r="F112" s="24"/>
      <c r="M112" s="5"/>
    </row>
    <row r="113" spans="1:13" x14ac:dyDescent="0.3">
      <c r="A113" s="5"/>
      <c r="B113" s="5"/>
      <c r="D113" s="24"/>
      <c r="E113" s="24"/>
      <c r="F113" s="24"/>
      <c r="M113" s="5"/>
    </row>
    <row r="114" spans="1:13" x14ac:dyDescent="0.3">
      <c r="A114" s="5"/>
      <c r="B114" s="5"/>
      <c r="D114" s="24"/>
      <c r="E114" s="24"/>
      <c r="F114" s="24"/>
      <c r="M114" s="5"/>
    </row>
    <row r="115" spans="1:13" x14ac:dyDescent="0.3">
      <c r="A115" s="5"/>
      <c r="B115" s="5"/>
      <c r="D115" s="24"/>
      <c r="E115" s="24"/>
      <c r="F115" s="24"/>
      <c r="M115" s="5"/>
    </row>
    <row r="116" spans="1:13" x14ac:dyDescent="0.3">
      <c r="A116" s="5"/>
      <c r="B116" s="5"/>
      <c r="D116" s="24"/>
      <c r="E116" s="24"/>
      <c r="F116" s="24"/>
      <c r="M116" s="5"/>
    </row>
    <row r="117" spans="1:13" x14ac:dyDescent="0.3">
      <c r="A117" s="5"/>
      <c r="B117" s="5"/>
      <c r="D117" s="24"/>
      <c r="E117" s="24"/>
      <c r="F117" s="24"/>
      <c r="M117" s="5"/>
    </row>
    <row r="118" spans="1:13" x14ac:dyDescent="0.3">
      <c r="A118" s="5"/>
      <c r="B118" s="5"/>
      <c r="D118" s="24"/>
      <c r="E118" s="24"/>
      <c r="F118" s="24"/>
      <c r="M118" s="5"/>
    </row>
    <row r="119" spans="1:13" x14ac:dyDescent="0.3">
      <c r="A119" s="5"/>
      <c r="B119" s="5"/>
      <c r="D119" s="24"/>
      <c r="E119" s="24"/>
      <c r="F119" s="24"/>
      <c r="M119" s="5"/>
    </row>
    <row r="120" spans="1:13" x14ac:dyDescent="0.3">
      <c r="A120" s="5"/>
      <c r="B120" s="5"/>
      <c r="D120" s="24"/>
      <c r="E120" s="24"/>
      <c r="F120" s="24"/>
      <c r="M120" s="5"/>
    </row>
    <row r="121" spans="1:13" x14ac:dyDescent="0.3">
      <c r="A121" s="5"/>
      <c r="B121" s="5"/>
      <c r="D121" s="24"/>
      <c r="E121" s="24"/>
      <c r="F121" s="24"/>
      <c r="M121" s="5"/>
    </row>
    <row r="122" spans="1:13" x14ac:dyDescent="0.3">
      <c r="A122" s="5"/>
      <c r="B122" s="5"/>
      <c r="D122" s="24"/>
      <c r="E122" s="24"/>
      <c r="F122" s="24"/>
      <c r="M122" s="5"/>
    </row>
    <row r="123" spans="1:13" x14ac:dyDescent="0.3">
      <c r="A123" s="5"/>
      <c r="B123" s="5"/>
      <c r="D123" s="24"/>
      <c r="E123" s="24"/>
      <c r="F123" s="24"/>
      <c r="M123" s="5"/>
    </row>
    <row r="124" spans="1:13" x14ac:dyDescent="0.3">
      <c r="A124" s="5"/>
      <c r="B124" s="5"/>
      <c r="D124" s="24"/>
      <c r="E124" s="24"/>
      <c r="F124" s="24"/>
      <c r="M124" s="5"/>
    </row>
    <row r="125" spans="1:13" x14ac:dyDescent="0.3">
      <c r="A125" s="5"/>
      <c r="B125" s="5"/>
      <c r="D125" s="24"/>
      <c r="E125" s="24"/>
      <c r="F125" s="24"/>
      <c r="M125" s="5"/>
    </row>
    <row r="126" spans="1:13" x14ac:dyDescent="0.3">
      <c r="A126" s="5"/>
      <c r="B126" s="5"/>
      <c r="D126" s="24"/>
      <c r="E126" s="24"/>
      <c r="F126" s="24"/>
      <c r="M126" s="5"/>
    </row>
    <row r="127" spans="1:13" x14ac:dyDescent="0.3">
      <c r="A127" s="5"/>
      <c r="B127" s="5"/>
      <c r="D127" s="24"/>
      <c r="E127" s="24"/>
      <c r="F127" s="24"/>
      <c r="M127" s="5"/>
    </row>
    <row r="128" spans="1:13" x14ac:dyDescent="0.3">
      <c r="A128" s="5"/>
      <c r="B128" s="5"/>
      <c r="D128" s="24"/>
      <c r="E128" s="24"/>
      <c r="F128" s="24"/>
      <c r="M128" s="5"/>
    </row>
    <row r="129" spans="1:13" x14ac:dyDescent="0.3">
      <c r="A129" s="5"/>
      <c r="B129" s="5"/>
      <c r="D129" s="24"/>
      <c r="E129" s="24"/>
      <c r="F129" s="24"/>
      <c r="M129" s="5"/>
    </row>
    <row r="130" spans="1:13" x14ac:dyDescent="0.3">
      <c r="A130" s="5"/>
      <c r="B130" s="5"/>
      <c r="D130" s="24"/>
      <c r="E130" s="24"/>
      <c r="F130" s="24"/>
      <c r="M130" s="5"/>
    </row>
    <row r="131" spans="1:13" x14ac:dyDescent="0.3">
      <c r="A131" s="5"/>
      <c r="B131" s="5"/>
      <c r="D131" s="24"/>
      <c r="E131" s="24"/>
      <c r="F131" s="24"/>
      <c r="M131" s="5"/>
    </row>
    <row r="132" spans="1:13" x14ac:dyDescent="0.3">
      <c r="A132" s="5"/>
      <c r="B132" s="5"/>
      <c r="D132" s="24"/>
      <c r="E132" s="24"/>
      <c r="F132" s="24"/>
      <c r="M132" s="5"/>
    </row>
    <row r="133" spans="1:13" x14ac:dyDescent="0.3">
      <c r="A133" s="5"/>
      <c r="B133" s="5"/>
      <c r="D133" s="24"/>
      <c r="E133" s="24"/>
      <c r="F133" s="24"/>
      <c r="M133" s="5"/>
    </row>
    <row r="134" spans="1:13" x14ac:dyDescent="0.3">
      <c r="A134" s="5"/>
      <c r="B134" s="5"/>
      <c r="D134" s="24"/>
      <c r="E134" s="24"/>
      <c r="F134" s="24"/>
      <c r="M134" s="5"/>
    </row>
    <row r="135" spans="1:13" x14ac:dyDescent="0.3">
      <c r="A135" s="5"/>
      <c r="B135" s="5"/>
      <c r="D135" s="24"/>
      <c r="E135" s="24"/>
      <c r="F135" s="24"/>
      <c r="M135" s="5"/>
    </row>
    <row r="136" spans="1:13" x14ac:dyDescent="0.3">
      <c r="A136" s="5"/>
      <c r="B136" s="5"/>
      <c r="D136" s="24"/>
      <c r="E136" s="24"/>
      <c r="F136" s="24"/>
      <c r="M136" s="5"/>
    </row>
    <row r="137" spans="1:13" x14ac:dyDescent="0.3">
      <c r="A137" s="5"/>
      <c r="B137" s="5"/>
      <c r="D137" s="24"/>
      <c r="E137" s="24"/>
      <c r="F137" s="24"/>
      <c r="M137" s="5"/>
    </row>
    <row r="138" spans="1:13" x14ac:dyDescent="0.3">
      <c r="A138" s="5"/>
      <c r="B138" s="5"/>
      <c r="D138" s="24"/>
      <c r="E138" s="24"/>
      <c r="F138" s="24"/>
      <c r="M138" s="5"/>
    </row>
    <row r="139" spans="1:13" x14ac:dyDescent="0.3">
      <c r="A139" s="5"/>
      <c r="B139" s="5"/>
      <c r="D139" s="24"/>
      <c r="E139" s="24"/>
      <c r="F139" s="24"/>
      <c r="M139" s="5"/>
    </row>
    <row r="140" spans="1:13" x14ac:dyDescent="0.3">
      <c r="A140" s="5"/>
      <c r="B140" s="5"/>
      <c r="D140" s="24"/>
      <c r="E140" s="24"/>
      <c r="F140" s="24"/>
      <c r="M140" s="5"/>
    </row>
    <row r="141" spans="1:13" x14ac:dyDescent="0.3">
      <c r="A141" s="5"/>
      <c r="B141" s="5"/>
      <c r="D141" s="24"/>
      <c r="E141" s="24"/>
      <c r="F141" s="24"/>
      <c r="M141" s="5"/>
    </row>
    <row r="142" spans="1:13" x14ac:dyDescent="0.3">
      <c r="A142" s="5"/>
      <c r="B142" s="5"/>
      <c r="D142" s="24"/>
      <c r="E142" s="24"/>
      <c r="F142" s="24"/>
      <c r="M142" s="5"/>
    </row>
    <row r="143" spans="1:13" x14ac:dyDescent="0.3">
      <c r="A143" s="5"/>
      <c r="B143" s="5"/>
      <c r="D143" s="24"/>
      <c r="E143" s="24"/>
      <c r="F143" s="24"/>
      <c r="M143" s="5"/>
    </row>
    <row r="144" spans="1:13" x14ac:dyDescent="0.3">
      <c r="A144" s="5"/>
      <c r="B144" s="5"/>
      <c r="D144" s="24"/>
      <c r="E144" s="24"/>
      <c r="F144" s="24"/>
      <c r="M144" s="5"/>
    </row>
    <row r="145" spans="1:13" x14ac:dyDescent="0.3">
      <c r="A145" s="5"/>
      <c r="B145" s="5"/>
      <c r="D145" s="24"/>
      <c r="E145" s="24"/>
      <c r="F145" s="24"/>
      <c r="M145" s="5"/>
    </row>
    <row r="146" spans="1:13" x14ac:dyDescent="0.3">
      <c r="A146" s="5"/>
      <c r="B146" s="5"/>
      <c r="D146" s="24"/>
      <c r="E146" s="24"/>
      <c r="F146" s="24"/>
      <c r="M146" s="5"/>
    </row>
    <row r="147" spans="1:13" x14ac:dyDescent="0.3">
      <c r="A147" s="5"/>
      <c r="B147" s="5"/>
      <c r="D147" s="24"/>
      <c r="E147" s="24"/>
      <c r="F147" s="24"/>
      <c r="M147" s="5"/>
    </row>
    <row r="148" spans="1:13" x14ac:dyDescent="0.3">
      <c r="A148" s="5"/>
      <c r="B148" s="5"/>
      <c r="D148" s="24"/>
      <c r="E148" s="24"/>
      <c r="F148" s="24"/>
      <c r="M148" s="5"/>
    </row>
    <row r="149" spans="1:13" x14ac:dyDescent="0.3">
      <c r="A149" s="5"/>
      <c r="B149" s="5"/>
      <c r="D149" s="24"/>
      <c r="E149" s="24"/>
      <c r="F149" s="24"/>
      <c r="M149" s="5"/>
    </row>
    <row r="150" spans="1:13" x14ac:dyDescent="0.3">
      <c r="A150" s="5"/>
      <c r="B150" s="5"/>
      <c r="D150" s="24"/>
      <c r="E150" s="24"/>
      <c r="F150" s="24"/>
      <c r="M150" s="5"/>
    </row>
    <row r="151" spans="1:13" x14ac:dyDescent="0.3">
      <c r="A151" s="5"/>
      <c r="B151" s="5"/>
      <c r="D151" s="24"/>
      <c r="E151" s="24"/>
      <c r="F151" s="24"/>
      <c r="M151" s="5"/>
    </row>
    <row r="152" spans="1:13" x14ac:dyDescent="0.3">
      <c r="A152" s="5"/>
      <c r="B152" s="5"/>
      <c r="D152" s="24"/>
      <c r="E152" s="24"/>
      <c r="F152" s="24"/>
      <c r="M152" s="5"/>
    </row>
    <row r="153" spans="1:13" x14ac:dyDescent="0.3">
      <c r="A153" s="5"/>
      <c r="B153" s="5"/>
      <c r="D153" s="24"/>
      <c r="E153" s="24"/>
      <c r="F153" s="24"/>
      <c r="M153" s="5"/>
    </row>
    <row r="154" spans="1:13" x14ac:dyDescent="0.3">
      <c r="A154" s="5"/>
      <c r="B154" s="5"/>
      <c r="D154" s="24"/>
      <c r="E154" s="24"/>
      <c r="F154" s="24"/>
      <c r="M154" s="5"/>
    </row>
    <row r="155" spans="1:13" x14ac:dyDescent="0.3">
      <c r="A155" s="5"/>
      <c r="B155" s="5"/>
      <c r="D155" s="24"/>
      <c r="E155" s="24"/>
      <c r="F155" s="24"/>
      <c r="M155" s="5"/>
    </row>
    <row r="156" spans="1:13" x14ac:dyDescent="0.3">
      <c r="A156" s="5"/>
      <c r="B156" s="5"/>
      <c r="D156" s="24"/>
      <c r="E156" s="24"/>
      <c r="F156" s="24"/>
      <c r="M156" s="5"/>
    </row>
    <row r="157" spans="1:13" x14ac:dyDescent="0.3">
      <c r="A157" s="5"/>
      <c r="B157" s="5"/>
      <c r="D157" s="24"/>
      <c r="E157" s="24"/>
      <c r="F157" s="24"/>
      <c r="M157" s="5"/>
    </row>
    <row r="158" spans="1:13" x14ac:dyDescent="0.3">
      <c r="A158" s="5"/>
      <c r="B158" s="5"/>
      <c r="D158" s="24"/>
      <c r="E158" s="24"/>
      <c r="F158" s="24"/>
      <c r="M158" s="5"/>
    </row>
    <row r="159" spans="1:13" x14ac:dyDescent="0.3">
      <c r="A159" s="5"/>
      <c r="B159" s="5"/>
      <c r="D159" s="24"/>
      <c r="E159" s="24"/>
      <c r="F159" s="24"/>
      <c r="M159" s="5"/>
    </row>
    <row r="160" spans="1:13" x14ac:dyDescent="0.3">
      <c r="A160" s="5"/>
      <c r="B160" s="5"/>
      <c r="D160" s="24"/>
      <c r="E160" s="24"/>
      <c r="F160" s="24"/>
      <c r="M160" s="5"/>
    </row>
    <row r="161" spans="1:13" x14ac:dyDescent="0.3">
      <c r="A161" s="5"/>
      <c r="B161" s="5"/>
      <c r="D161" s="24"/>
      <c r="E161" s="24"/>
      <c r="F161" s="24"/>
      <c r="M161" s="5"/>
    </row>
    <row r="162" spans="1:13" x14ac:dyDescent="0.3">
      <c r="A162" s="5"/>
      <c r="B162" s="5"/>
      <c r="D162" s="24"/>
      <c r="E162" s="24"/>
      <c r="F162" s="24"/>
      <c r="M162" s="5"/>
    </row>
    <row r="163" spans="1:13" x14ac:dyDescent="0.3">
      <c r="A163" s="5"/>
      <c r="B163" s="5"/>
      <c r="D163" s="24"/>
      <c r="E163" s="24"/>
      <c r="F163" s="24"/>
      <c r="M163" s="5"/>
    </row>
    <row r="164" spans="1:13" x14ac:dyDescent="0.3">
      <c r="A164" s="5"/>
      <c r="B164" s="5"/>
      <c r="D164" s="24"/>
      <c r="E164" s="24"/>
      <c r="F164" s="24"/>
      <c r="M164" s="5"/>
    </row>
    <row r="165" spans="1:13" x14ac:dyDescent="0.3">
      <c r="A165" s="5"/>
      <c r="B165" s="5"/>
      <c r="D165" s="24"/>
      <c r="E165" s="24"/>
      <c r="F165" s="24"/>
      <c r="M165" s="5"/>
    </row>
    <row r="166" spans="1:13" x14ac:dyDescent="0.3">
      <c r="A166" s="5"/>
      <c r="B166" s="5"/>
      <c r="D166" s="24"/>
      <c r="E166" s="24"/>
      <c r="F166" s="24"/>
      <c r="M166" s="5"/>
    </row>
    <row r="167" spans="1:13" x14ac:dyDescent="0.3">
      <c r="A167" s="5"/>
      <c r="B167" s="5"/>
      <c r="D167" s="24"/>
      <c r="E167" s="24"/>
      <c r="F167" s="24"/>
      <c r="M167" s="5"/>
    </row>
    <row r="168" spans="1:13" x14ac:dyDescent="0.3">
      <c r="A168" s="5"/>
      <c r="B168" s="5"/>
      <c r="D168" s="24"/>
      <c r="E168" s="24"/>
      <c r="F168" s="24"/>
      <c r="M168" s="5"/>
    </row>
    <row r="169" spans="1:13" x14ac:dyDescent="0.3">
      <c r="A169" s="5"/>
      <c r="B169" s="5"/>
      <c r="D169" s="24"/>
      <c r="E169" s="24"/>
      <c r="F169" s="24"/>
      <c r="M169" s="5"/>
    </row>
    <row r="170" spans="1:13" x14ac:dyDescent="0.3">
      <c r="A170" s="5"/>
      <c r="B170" s="5"/>
      <c r="D170" s="24"/>
      <c r="E170" s="24"/>
      <c r="F170" s="24"/>
      <c r="M170" s="5"/>
    </row>
    <row r="171" spans="1:13" x14ac:dyDescent="0.3">
      <c r="A171" s="5"/>
      <c r="B171" s="5"/>
      <c r="D171" s="24"/>
      <c r="E171" s="24"/>
      <c r="F171" s="24"/>
      <c r="M171" s="5"/>
    </row>
    <row r="172" spans="1:13" x14ac:dyDescent="0.3">
      <c r="A172" s="5"/>
      <c r="B172" s="5"/>
      <c r="D172" s="24"/>
      <c r="E172" s="24"/>
      <c r="F172" s="24"/>
      <c r="M172" s="5"/>
    </row>
    <row r="173" spans="1:13" x14ac:dyDescent="0.3">
      <c r="A173" s="5"/>
      <c r="B173" s="5"/>
      <c r="D173" s="24"/>
      <c r="E173" s="24"/>
      <c r="F173" s="24"/>
      <c r="M173" s="5"/>
    </row>
    <row r="174" spans="1:13" x14ac:dyDescent="0.3">
      <c r="A174" s="5"/>
      <c r="B174" s="5"/>
      <c r="D174" s="24"/>
      <c r="E174" s="24"/>
      <c r="F174" s="24"/>
      <c r="M174" s="5"/>
    </row>
    <row r="175" spans="1:13" x14ac:dyDescent="0.3">
      <c r="A175" s="5"/>
      <c r="B175" s="5"/>
      <c r="D175" s="24"/>
      <c r="E175" s="24"/>
      <c r="F175" s="24"/>
      <c r="M175" s="5"/>
    </row>
    <row r="176" spans="1:13" x14ac:dyDescent="0.3">
      <c r="A176" s="5"/>
      <c r="B176" s="5"/>
      <c r="D176" s="24"/>
      <c r="E176" s="24"/>
      <c r="F176" s="24"/>
      <c r="M176" s="5"/>
    </row>
    <row r="177" spans="1:13" x14ac:dyDescent="0.3">
      <c r="A177" s="5"/>
      <c r="B177" s="5"/>
      <c r="D177" s="24"/>
      <c r="E177" s="24"/>
      <c r="F177" s="24"/>
      <c r="M177" s="5"/>
    </row>
    <row r="178" spans="1:13" x14ac:dyDescent="0.3">
      <c r="A178" s="5"/>
      <c r="B178" s="5"/>
      <c r="D178" s="24"/>
      <c r="E178" s="24"/>
      <c r="F178" s="24"/>
      <c r="M178" s="5"/>
    </row>
    <row r="179" spans="1:13" x14ac:dyDescent="0.3">
      <c r="A179" s="5"/>
      <c r="B179" s="5"/>
      <c r="D179" s="24"/>
      <c r="E179" s="24"/>
      <c r="F179" s="24"/>
      <c r="M179" s="5"/>
    </row>
    <row r="180" spans="1:13" x14ac:dyDescent="0.3">
      <c r="A180" s="5"/>
      <c r="B180" s="5"/>
      <c r="D180" s="24"/>
      <c r="E180" s="24"/>
      <c r="F180" s="24"/>
      <c r="M180" s="5"/>
    </row>
    <row r="181" spans="1:13" x14ac:dyDescent="0.3">
      <c r="A181" s="5"/>
      <c r="B181" s="5"/>
      <c r="D181" s="24"/>
      <c r="E181" s="24"/>
      <c r="F181" s="24"/>
      <c r="M181" s="5"/>
    </row>
    <row r="182" spans="1:13" x14ac:dyDescent="0.3">
      <c r="A182" s="5"/>
      <c r="B182" s="5"/>
      <c r="D182" s="24"/>
      <c r="E182" s="24"/>
      <c r="F182" s="24"/>
      <c r="M182" s="5"/>
    </row>
    <row r="183" spans="1:13" x14ac:dyDescent="0.3">
      <c r="A183" s="5"/>
      <c r="B183" s="5"/>
      <c r="D183" s="24"/>
      <c r="E183" s="24"/>
      <c r="F183" s="24"/>
      <c r="M183" s="5"/>
    </row>
    <row r="184" spans="1:13" x14ac:dyDescent="0.3">
      <c r="A184" s="5"/>
      <c r="B184" s="5"/>
      <c r="D184" s="24"/>
      <c r="E184" s="24"/>
      <c r="F184" s="24"/>
      <c r="M184" s="5"/>
    </row>
    <row r="185" spans="1:13" x14ac:dyDescent="0.3">
      <c r="A185" s="5"/>
      <c r="B185" s="5"/>
      <c r="D185" s="24"/>
      <c r="E185" s="24"/>
      <c r="F185" s="24"/>
      <c r="M185" s="5"/>
    </row>
    <row r="186" spans="1:13" x14ac:dyDescent="0.3">
      <c r="A186" s="5"/>
      <c r="B186" s="5"/>
      <c r="D186" s="24"/>
      <c r="E186" s="24"/>
      <c r="F186" s="24"/>
      <c r="M186" s="5"/>
    </row>
    <row r="187" spans="1:13" x14ac:dyDescent="0.3">
      <c r="A187" s="5"/>
      <c r="B187" s="5"/>
      <c r="D187" s="24"/>
      <c r="E187" s="24"/>
      <c r="F187" s="24"/>
      <c r="M187" s="5"/>
    </row>
    <row r="188" spans="1:13" x14ac:dyDescent="0.3">
      <c r="A188" s="5"/>
      <c r="B188" s="5"/>
      <c r="D188" s="24"/>
      <c r="E188" s="24"/>
      <c r="F188" s="24"/>
      <c r="M188" s="5"/>
    </row>
    <row r="189" spans="1:13" x14ac:dyDescent="0.3">
      <c r="A189" s="5"/>
      <c r="B189" s="5"/>
      <c r="D189" s="24"/>
      <c r="E189" s="24"/>
      <c r="F189" s="24"/>
      <c r="M189" s="5"/>
    </row>
    <row r="190" spans="1:13" x14ac:dyDescent="0.3">
      <c r="A190" s="5"/>
      <c r="B190" s="5"/>
      <c r="D190" s="24"/>
      <c r="E190" s="24"/>
      <c r="F190" s="24"/>
      <c r="M190" s="5"/>
    </row>
    <row r="191" spans="1:13" x14ac:dyDescent="0.3">
      <c r="A191" s="5"/>
      <c r="B191" s="5"/>
      <c r="D191" s="24"/>
      <c r="E191" s="24"/>
      <c r="F191" s="24"/>
      <c r="M191" s="5"/>
    </row>
    <row r="192" spans="1:13" x14ac:dyDescent="0.3">
      <c r="A192" s="5"/>
      <c r="B192" s="5"/>
      <c r="D192" s="24"/>
      <c r="E192" s="24"/>
      <c r="F192" s="24"/>
      <c r="M192" s="5"/>
    </row>
    <row r="193" spans="1:13" x14ac:dyDescent="0.3">
      <c r="A193" s="5"/>
      <c r="B193" s="5"/>
      <c r="D193" s="24"/>
      <c r="E193" s="24"/>
      <c r="F193" s="24"/>
      <c r="M193" s="5"/>
    </row>
    <row r="194" spans="1:13" x14ac:dyDescent="0.3">
      <c r="A194" s="5"/>
      <c r="B194" s="5"/>
      <c r="D194" s="24"/>
      <c r="E194" s="24"/>
      <c r="F194" s="24"/>
      <c r="M194" s="5"/>
    </row>
    <row r="195" spans="1:13" x14ac:dyDescent="0.3">
      <c r="A195" s="5"/>
      <c r="B195" s="5"/>
      <c r="D195" s="24"/>
      <c r="E195" s="24"/>
      <c r="F195" s="24"/>
      <c r="M195" s="5"/>
    </row>
    <row r="196" spans="1:13" x14ac:dyDescent="0.3">
      <c r="A196" s="5"/>
      <c r="B196" s="5"/>
      <c r="D196" s="24"/>
      <c r="E196" s="24"/>
      <c r="F196" s="24"/>
      <c r="M196" s="5"/>
    </row>
    <row r="197" spans="1:13" x14ac:dyDescent="0.3">
      <c r="A197" s="5"/>
      <c r="B197" s="5"/>
      <c r="D197" s="24"/>
      <c r="E197" s="24"/>
      <c r="F197" s="24"/>
      <c r="M197" s="5"/>
    </row>
    <row r="198" spans="1:13" x14ac:dyDescent="0.3">
      <c r="A198" s="5"/>
      <c r="B198" s="5"/>
      <c r="D198" s="24"/>
      <c r="E198" s="24"/>
      <c r="F198" s="24"/>
      <c r="M198" s="5"/>
    </row>
    <row r="199" spans="1:13" x14ac:dyDescent="0.3">
      <c r="A199" s="4" t="s">
        <v>28</v>
      </c>
      <c r="B199" s="9"/>
      <c r="D199" s="24"/>
      <c r="E199" s="24"/>
      <c r="F199" s="24"/>
      <c r="M199" s="5"/>
    </row>
    <row r="200" spans="1:13" x14ac:dyDescent="0.3">
      <c r="A200" s="9"/>
      <c r="B200" s="9"/>
      <c r="D200" s="24"/>
      <c r="E200" s="24"/>
      <c r="F200" s="24"/>
      <c r="M200" s="5"/>
    </row>
    <row r="201" spans="1:13" x14ac:dyDescent="0.3">
      <c r="A201" s="9"/>
      <c r="B201" s="9"/>
      <c r="D201" s="24"/>
      <c r="E201" s="24"/>
      <c r="F201" s="24"/>
      <c r="M201" s="5"/>
    </row>
    <row r="202" spans="1:13" x14ac:dyDescent="0.3">
      <c r="A202" s="9"/>
      <c r="B202" s="9"/>
      <c r="D202" s="24"/>
      <c r="E202" s="24"/>
      <c r="F202" s="24"/>
      <c r="M202" s="5"/>
    </row>
    <row r="203" spans="1:13" x14ac:dyDescent="0.3">
      <c r="A203" s="9"/>
      <c r="B203" s="9"/>
      <c r="D203" s="24"/>
      <c r="E203" s="24"/>
      <c r="F203" s="24"/>
      <c r="M203" s="5"/>
    </row>
    <row r="204" spans="1:13" x14ac:dyDescent="0.3">
      <c r="A204" s="5"/>
      <c r="B204" s="5"/>
      <c r="D204" s="24"/>
      <c r="E204" s="24"/>
      <c r="F204" s="24"/>
      <c r="M20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9D24-22D0-4510-A815-FDB1CD713A48}">
  <dimension ref="A1:AW185"/>
  <sheetViews>
    <sheetView topLeftCell="A6" zoomScale="45" zoomScaleNormal="89" workbookViewId="0">
      <pane xSplit="2" topLeftCell="C1" activePane="topRight" state="frozen"/>
      <selection pane="topRight" activeCell="BN70" sqref="BN70"/>
    </sheetView>
  </sheetViews>
  <sheetFormatPr defaultRowHeight="14.4" x14ac:dyDescent="0.3"/>
  <cols>
    <col min="1" max="1" width="17.44140625" customWidth="1"/>
    <col min="2" max="2" width="15.5546875" customWidth="1"/>
    <col min="9" max="9" width="11" customWidth="1"/>
    <col min="10" max="10" width="11.33203125" customWidth="1"/>
    <col min="12" max="12" width="12.44140625" customWidth="1"/>
    <col min="13" max="13" width="14.44140625" customWidth="1"/>
    <col min="14" max="14" width="12.6640625" customWidth="1"/>
    <col min="15" max="15" width="16.5546875" customWidth="1"/>
    <col min="16" max="16" width="32.6640625" style="13" customWidth="1"/>
    <col min="18" max="18" width="18" customWidth="1"/>
    <col min="21" max="21" width="10.88671875" customWidth="1"/>
    <col min="27" max="27" width="12.5546875" customWidth="1"/>
    <col min="29" max="29" width="17.6640625" customWidth="1"/>
    <col min="48" max="48" width="11" customWidth="1"/>
    <col min="49" max="49" width="11.33203125" customWidth="1"/>
  </cols>
  <sheetData>
    <row r="1" spans="1:49" x14ac:dyDescent="0.3">
      <c r="A1" s="12" t="s">
        <v>70</v>
      </c>
    </row>
    <row r="2" spans="1:49" x14ac:dyDescent="0.3">
      <c r="A2" s="1" t="s">
        <v>14</v>
      </c>
      <c r="B2" s="1" t="s">
        <v>29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73</v>
      </c>
      <c r="P2" s="14" t="s">
        <v>82</v>
      </c>
      <c r="AU2" s="2" t="s">
        <v>8</v>
      </c>
      <c r="AV2" s="2" t="s">
        <v>6</v>
      </c>
      <c r="AW2" s="2" t="s">
        <v>7</v>
      </c>
    </row>
    <row r="3" spans="1:49" x14ac:dyDescent="0.3">
      <c r="A3" s="4" t="s">
        <v>15</v>
      </c>
      <c r="B3" s="4" t="s">
        <v>33</v>
      </c>
      <c r="C3" s="2">
        <v>45</v>
      </c>
      <c r="D3" s="2">
        <v>2</v>
      </c>
      <c r="E3" s="2">
        <v>3</v>
      </c>
      <c r="F3" s="2">
        <v>7</v>
      </c>
      <c r="G3" s="2">
        <v>6.2</v>
      </c>
      <c r="H3" s="2">
        <v>32.6</v>
      </c>
      <c r="I3" s="2">
        <v>19.5</v>
      </c>
      <c r="J3" s="2">
        <v>18</v>
      </c>
      <c r="K3" s="2">
        <v>1900</v>
      </c>
      <c r="L3" s="5" t="s">
        <v>11</v>
      </c>
      <c r="M3" s="5">
        <v>20</v>
      </c>
      <c r="N3" s="40">
        <v>1900</v>
      </c>
      <c r="O3" s="40">
        <f>AVERAGE(I3:I6)</f>
        <v>20.475000000000001</v>
      </c>
      <c r="P3" s="36">
        <v>187449</v>
      </c>
      <c r="R3" t="s">
        <v>78</v>
      </c>
      <c r="X3" t="s">
        <v>85</v>
      </c>
      <c r="Y3" t="s">
        <v>86</v>
      </c>
      <c r="AU3" s="2">
        <v>1900</v>
      </c>
      <c r="AV3" s="2">
        <v>19.5</v>
      </c>
      <c r="AW3" s="2">
        <v>18</v>
      </c>
    </row>
    <row r="4" spans="1:49" x14ac:dyDescent="0.3">
      <c r="A4" s="4" t="s">
        <v>15</v>
      </c>
      <c r="B4" s="4" t="s">
        <v>33</v>
      </c>
      <c r="C4" s="2">
        <v>69</v>
      </c>
      <c r="D4" s="2">
        <v>3</v>
      </c>
      <c r="E4" s="2">
        <v>4</v>
      </c>
      <c r="F4" s="2">
        <v>11</v>
      </c>
      <c r="G4" s="2">
        <v>5.5</v>
      </c>
      <c r="H4" s="2">
        <v>34.5</v>
      </c>
      <c r="I4" s="2">
        <v>21.6</v>
      </c>
      <c r="J4" s="2">
        <v>18</v>
      </c>
      <c r="K4" s="2">
        <v>1900</v>
      </c>
      <c r="L4" s="5" t="s">
        <v>11</v>
      </c>
      <c r="M4" s="5">
        <v>20</v>
      </c>
      <c r="N4" s="40"/>
      <c r="O4" s="40"/>
      <c r="P4" s="33"/>
      <c r="R4" t="s">
        <v>75</v>
      </c>
      <c r="S4">
        <f>AVERAGE(I3:I68)</f>
        <v>21.530303030303028</v>
      </c>
      <c r="U4" t="s">
        <v>79</v>
      </c>
      <c r="V4">
        <f>_xlfn.STDEV.S(I3:I68)</f>
        <v>3.1869913324190144</v>
      </c>
      <c r="X4">
        <f>S4-V4</f>
        <v>18.343311697884012</v>
      </c>
      <c r="Y4">
        <f>S4+V4</f>
        <v>24.717294362722043</v>
      </c>
      <c r="AU4" s="2">
        <v>1900</v>
      </c>
      <c r="AV4" s="2">
        <v>21.6</v>
      </c>
      <c r="AW4" s="2">
        <v>18</v>
      </c>
    </row>
    <row r="5" spans="1:49" x14ac:dyDescent="0.3">
      <c r="A5" s="4" t="s">
        <v>15</v>
      </c>
      <c r="B5" s="4" t="s">
        <v>33</v>
      </c>
      <c r="C5" s="2">
        <v>41</v>
      </c>
      <c r="D5" s="2">
        <v>2</v>
      </c>
      <c r="E5" s="2">
        <v>2</v>
      </c>
      <c r="F5" s="2">
        <v>6</v>
      </c>
      <c r="G5" s="2">
        <v>6</v>
      </c>
      <c r="H5" s="2">
        <v>37</v>
      </c>
      <c r="I5" s="2">
        <v>20.3</v>
      </c>
      <c r="J5" s="2">
        <v>18</v>
      </c>
      <c r="K5" s="2">
        <v>1900</v>
      </c>
      <c r="L5" s="5" t="s">
        <v>11</v>
      </c>
      <c r="M5" s="5">
        <v>20</v>
      </c>
      <c r="N5" s="40"/>
      <c r="O5" s="40"/>
      <c r="P5" s="33"/>
      <c r="AU5" s="2">
        <v>1900</v>
      </c>
      <c r="AV5" s="2">
        <v>20.3</v>
      </c>
      <c r="AW5" s="2">
        <v>18</v>
      </c>
    </row>
    <row r="6" spans="1:49" x14ac:dyDescent="0.3">
      <c r="A6" s="4" t="s">
        <v>15</v>
      </c>
      <c r="B6" s="4" t="s">
        <v>33</v>
      </c>
      <c r="C6" s="2">
        <v>66</v>
      </c>
      <c r="D6" s="2">
        <v>3</v>
      </c>
      <c r="E6" s="2">
        <v>4</v>
      </c>
      <c r="F6" s="2">
        <v>10</v>
      </c>
      <c r="G6" s="2">
        <v>5.8</v>
      </c>
      <c r="H6" s="2">
        <v>35.1</v>
      </c>
      <c r="I6" s="2">
        <v>20.5</v>
      </c>
      <c r="J6" s="2">
        <v>18</v>
      </c>
      <c r="K6" s="2">
        <v>1900</v>
      </c>
      <c r="L6" s="5" t="s">
        <v>11</v>
      </c>
      <c r="M6" s="5">
        <v>20</v>
      </c>
      <c r="N6" s="40"/>
      <c r="O6" s="40"/>
      <c r="P6" s="33"/>
      <c r="R6" t="s">
        <v>76</v>
      </c>
      <c r="S6">
        <f>AVERAGE(I71:I160)</f>
        <v>24.394444444444446</v>
      </c>
      <c r="U6" t="s">
        <v>80</v>
      </c>
      <c r="V6">
        <f>_xlfn.STDEV.S(I71:I160)</f>
        <v>5.3780319091634397</v>
      </c>
      <c r="X6">
        <f>S6-V6</f>
        <v>19.016412535281006</v>
      </c>
      <c r="Y6">
        <f>S6+V6</f>
        <v>29.772476353607885</v>
      </c>
      <c r="AU6" s="2">
        <v>1900</v>
      </c>
      <c r="AV6" s="2">
        <v>20.5</v>
      </c>
      <c r="AW6" s="2">
        <v>18</v>
      </c>
    </row>
    <row r="7" spans="1:49" x14ac:dyDescent="0.3">
      <c r="A7" s="4" t="s">
        <v>15</v>
      </c>
      <c r="B7" s="4" t="s">
        <v>33</v>
      </c>
      <c r="C7" s="2">
        <v>34</v>
      </c>
      <c r="D7" s="2">
        <v>1</v>
      </c>
      <c r="E7" s="2">
        <v>2</v>
      </c>
      <c r="F7" s="2">
        <v>5</v>
      </c>
      <c r="G7" s="2">
        <v>6.3</v>
      </c>
      <c r="H7" s="2">
        <v>27.1</v>
      </c>
      <c r="I7" s="2">
        <v>19.7</v>
      </c>
      <c r="J7" s="2">
        <v>18</v>
      </c>
      <c r="K7" s="2">
        <v>1895</v>
      </c>
      <c r="L7" s="5" t="s">
        <v>11</v>
      </c>
      <c r="M7" s="5">
        <v>20</v>
      </c>
      <c r="N7" s="40">
        <v>1895</v>
      </c>
      <c r="O7" s="40">
        <f>AVERAGE(I7:I10)</f>
        <v>18.475000000000001</v>
      </c>
      <c r="P7" s="33"/>
      <c r="AU7" s="2">
        <v>1895</v>
      </c>
      <c r="AV7" s="2">
        <v>19.7</v>
      </c>
      <c r="AW7" s="2">
        <v>18</v>
      </c>
    </row>
    <row r="8" spans="1:49" x14ac:dyDescent="0.3">
      <c r="A8" s="4" t="s">
        <v>15</v>
      </c>
      <c r="B8" s="4" t="s">
        <v>33</v>
      </c>
      <c r="C8" s="2">
        <v>92</v>
      </c>
      <c r="D8" s="2">
        <v>4</v>
      </c>
      <c r="E8" s="2">
        <v>6</v>
      </c>
      <c r="F8" s="2">
        <v>14</v>
      </c>
      <c r="G8" s="2">
        <v>6.8</v>
      </c>
      <c r="H8" s="2">
        <v>33.799999999999997</v>
      </c>
      <c r="I8" s="2">
        <v>18.2</v>
      </c>
      <c r="J8" s="2">
        <v>18</v>
      </c>
      <c r="K8" s="2">
        <v>1895</v>
      </c>
      <c r="L8" s="5" t="s">
        <v>11</v>
      </c>
      <c r="M8" s="5">
        <v>20</v>
      </c>
      <c r="N8" s="40"/>
      <c r="O8" s="40"/>
      <c r="P8" s="33"/>
      <c r="R8" t="s">
        <v>77</v>
      </c>
      <c r="S8">
        <f>AVERAGE(I163:I185)</f>
        <v>23.852173913043476</v>
      </c>
      <c r="U8" t="s">
        <v>81</v>
      </c>
      <c r="V8">
        <f>_xlfn.STDEV.S(I163:I185)</f>
        <v>3.7485596706926216</v>
      </c>
      <c r="X8">
        <f>S8-V8</f>
        <v>20.103614242350854</v>
      </c>
      <c r="Y8">
        <f>S8+V8</f>
        <v>27.600733583736098</v>
      </c>
      <c r="AU8" s="2">
        <v>1895</v>
      </c>
      <c r="AV8" s="2">
        <v>18.2</v>
      </c>
      <c r="AW8" s="2">
        <v>18</v>
      </c>
    </row>
    <row r="9" spans="1:49" x14ac:dyDescent="0.3">
      <c r="A9" s="4" t="s">
        <v>15</v>
      </c>
      <c r="B9" s="4" t="s">
        <v>33</v>
      </c>
      <c r="C9" s="2">
        <v>76</v>
      </c>
      <c r="D9" s="2">
        <v>3</v>
      </c>
      <c r="E9" s="2">
        <v>5</v>
      </c>
      <c r="F9" s="2">
        <v>12</v>
      </c>
      <c r="G9" s="2">
        <v>5.5</v>
      </c>
      <c r="H9" s="2">
        <v>32.6</v>
      </c>
      <c r="I9" s="2">
        <v>17.3</v>
      </c>
      <c r="J9" s="2">
        <v>18</v>
      </c>
      <c r="K9" s="2">
        <v>1895</v>
      </c>
      <c r="L9" s="5" t="s">
        <v>11</v>
      </c>
      <c r="M9" s="5">
        <v>20</v>
      </c>
      <c r="N9" s="40"/>
      <c r="O9" s="40"/>
      <c r="P9" s="33"/>
      <c r="AU9" s="2">
        <v>1895</v>
      </c>
      <c r="AV9" s="2">
        <v>17.3</v>
      </c>
      <c r="AW9" s="2">
        <v>18</v>
      </c>
    </row>
    <row r="10" spans="1:49" x14ac:dyDescent="0.3">
      <c r="A10" s="4" t="s">
        <v>15</v>
      </c>
      <c r="B10" s="4" t="s">
        <v>33</v>
      </c>
      <c r="C10" s="2">
        <v>78</v>
      </c>
      <c r="D10" s="2">
        <v>3</v>
      </c>
      <c r="E10" s="2">
        <v>5</v>
      </c>
      <c r="F10" s="2">
        <v>12</v>
      </c>
      <c r="G10" s="2">
        <v>5.5</v>
      </c>
      <c r="H10" s="2">
        <v>26.7</v>
      </c>
      <c r="I10" s="2">
        <v>18.7</v>
      </c>
      <c r="J10" s="2">
        <v>18</v>
      </c>
      <c r="K10" s="2">
        <v>1895</v>
      </c>
      <c r="L10" s="5" t="s">
        <v>11</v>
      </c>
      <c r="M10" s="5">
        <v>20</v>
      </c>
      <c r="N10" s="40"/>
      <c r="O10" s="40"/>
      <c r="P10" s="34"/>
      <c r="AU10" s="2">
        <v>1895</v>
      </c>
      <c r="AV10" s="2">
        <v>18.7</v>
      </c>
      <c r="AW10" s="2">
        <v>18</v>
      </c>
    </row>
    <row r="11" spans="1:49" x14ac:dyDescent="0.3">
      <c r="A11" s="4" t="s">
        <v>16</v>
      </c>
      <c r="B11" s="4" t="s">
        <v>35</v>
      </c>
      <c r="C11" s="2">
        <v>29</v>
      </c>
      <c r="D11" s="2">
        <v>1</v>
      </c>
      <c r="E11" s="2">
        <v>2</v>
      </c>
      <c r="F11" s="2">
        <v>4</v>
      </c>
      <c r="G11" s="2">
        <v>6.3</v>
      </c>
      <c r="H11" s="2">
        <v>22.9</v>
      </c>
      <c r="I11" s="2">
        <v>17.399999999999999</v>
      </c>
      <c r="J11" s="2">
        <v>26.7</v>
      </c>
      <c r="K11" s="2">
        <v>1635</v>
      </c>
      <c r="L11" s="5" t="s">
        <v>11</v>
      </c>
      <c r="M11" s="5">
        <v>20</v>
      </c>
      <c r="N11" s="40">
        <v>1635</v>
      </c>
      <c r="O11" s="40">
        <f>AVERAGE(I11:I12)</f>
        <v>17.5</v>
      </c>
      <c r="P11" s="32">
        <v>57122.400000000001</v>
      </c>
      <c r="R11" t="s">
        <v>7</v>
      </c>
      <c r="AU11" s="2">
        <v>1635</v>
      </c>
      <c r="AV11" s="2">
        <v>17.399999999999999</v>
      </c>
      <c r="AW11" s="2">
        <v>26.7</v>
      </c>
    </row>
    <row r="12" spans="1:49" x14ac:dyDescent="0.3">
      <c r="A12" s="4" t="s">
        <v>16</v>
      </c>
      <c r="B12" s="4" t="s">
        <v>35</v>
      </c>
      <c r="C12" s="2">
        <v>47</v>
      </c>
      <c r="D12" s="2">
        <v>2</v>
      </c>
      <c r="E12" s="2">
        <v>3</v>
      </c>
      <c r="F12" s="2">
        <v>7</v>
      </c>
      <c r="G12" s="2">
        <v>6.3</v>
      </c>
      <c r="H12" s="2">
        <v>30.4</v>
      </c>
      <c r="I12" s="2">
        <v>17.600000000000001</v>
      </c>
      <c r="J12" s="2">
        <v>26.7</v>
      </c>
      <c r="K12" s="2">
        <v>1635</v>
      </c>
      <c r="L12" s="5" t="s">
        <v>11</v>
      </c>
      <c r="M12" s="5">
        <v>20</v>
      </c>
      <c r="N12" s="40"/>
      <c r="O12" s="40"/>
      <c r="P12" s="33"/>
      <c r="R12" t="s">
        <v>75</v>
      </c>
      <c r="S12">
        <f>AVERAGE(J3:J68)</f>
        <v>21.40303030303031</v>
      </c>
      <c r="U12" t="s">
        <v>79</v>
      </c>
      <c r="V12">
        <f>_xlfn.STDEV.S(J3:J68)</f>
        <v>2.7989541836450624</v>
      </c>
      <c r="X12">
        <f>S12-V12</f>
        <v>18.604076119385248</v>
      </c>
      <c r="Y12">
        <f>S12+V12</f>
        <v>24.201984486675371</v>
      </c>
      <c r="AU12" s="2">
        <v>1635</v>
      </c>
      <c r="AV12" s="2">
        <v>17.600000000000001</v>
      </c>
      <c r="AW12" s="2">
        <v>26.7</v>
      </c>
    </row>
    <row r="13" spans="1:49" x14ac:dyDescent="0.3">
      <c r="A13" s="4" t="s">
        <v>16</v>
      </c>
      <c r="B13" s="4" t="s">
        <v>35</v>
      </c>
      <c r="C13" s="2">
        <v>110</v>
      </c>
      <c r="D13" s="2">
        <v>5</v>
      </c>
      <c r="E13" s="2">
        <v>7</v>
      </c>
      <c r="F13" s="2">
        <v>17</v>
      </c>
      <c r="G13" s="2">
        <v>5.9</v>
      </c>
      <c r="H13" s="2">
        <v>43.3</v>
      </c>
      <c r="I13" s="2">
        <v>16.7</v>
      </c>
      <c r="J13" s="2">
        <v>28.5</v>
      </c>
      <c r="K13" s="2">
        <v>1647</v>
      </c>
      <c r="L13" s="5" t="s">
        <v>11</v>
      </c>
      <c r="M13" s="5">
        <v>20</v>
      </c>
      <c r="N13" s="40">
        <v>1647</v>
      </c>
      <c r="O13" s="40">
        <f>AVERAGE(I13:I14)</f>
        <v>17.5</v>
      </c>
      <c r="P13" s="33"/>
      <c r="AU13" s="2">
        <v>1647</v>
      </c>
      <c r="AV13" s="2">
        <v>16.7</v>
      </c>
      <c r="AW13" s="2">
        <v>28.5</v>
      </c>
    </row>
    <row r="14" spans="1:49" x14ac:dyDescent="0.3">
      <c r="A14" s="4" t="s">
        <v>16</v>
      </c>
      <c r="B14" s="4" t="s">
        <v>35</v>
      </c>
      <c r="C14" s="2">
        <v>73</v>
      </c>
      <c r="D14" s="2">
        <v>3</v>
      </c>
      <c r="E14" s="2">
        <v>5</v>
      </c>
      <c r="F14" s="2">
        <v>11</v>
      </c>
      <c r="G14" s="2">
        <v>5.9</v>
      </c>
      <c r="H14" s="2">
        <v>31.2</v>
      </c>
      <c r="I14" s="2">
        <v>18.3</v>
      </c>
      <c r="J14" s="2">
        <v>28.5</v>
      </c>
      <c r="K14" s="2">
        <v>1647</v>
      </c>
      <c r="L14" s="5" t="s">
        <v>11</v>
      </c>
      <c r="M14" s="5">
        <v>20</v>
      </c>
      <c r="N14" s="40"/>
      <c r="O14" s="40"/>
      <c r="P14" s="34"/>
      <c r="R14" t="s">
        <v>76</v>
      </c>
      <c r="S14">
        <f>AVERAGE(J71:J160)</f>
        <v>25.553333333333331</v>
      </c>
      <c r="U14" t="s">
        <v>80</v>
      </c>
      <c r="V14">
        <f>_xlfn.STDEV.S(J71:J160)</f>
        <v>4.3170734989696058</v>
      </c>
      <c r="X14">
        <f>S14-V14</f>
        <v>21.236259834363725</v>
      </c>
      <c r="Y14">
        <f>S14+V14</f>
        <v>29.870406832302937</v>
      </c>
      <c r="AU14" s="2">
        <v>1647</v>
      </c>
      <c r="AV14" s="2">
        <v>18.3</v>
      </c>
      <c r="AW14" s="2">
        <v>28.5</v>
      </c>
    </row>
    <row r="15" spans="1:49" x14ac:dyDescent="0.3">
      <c r="A15" s="4" t="s">
        <v>17</v>
      </c>
      <c r="B15" s="4" t="s">
        <v>39</v>
      </c>
      <c r="C15" s="2">
        <v>10</v>
      </c>
      <c r="D15" s="2">
        <v>0</v>
      </c>
      <c r="E15" s="2">
        <v>0</v>
      </c>
      <c r="F15" s="2">
        <v>1</v>
      </c>
      <c r="G15" s="2">
        <v>6.2</v>
      </c>
      <c r="H15" s="2">
        <v>29.5</v>
      </c>
      <c r="I15" s="2">
        <v>15.9</v>
      </c>
      <c r="J15" s="2">
        <v>23.3</v>
      </c>
      <c r="K15" s="2">
        <v>1467</v>
      </c>
      <c r="L15" s="5" t="s">
        <v>11</v>
      </c>
      <c r="M15" s="5">
        <v>30</v>
      </c>
      <c r="N15" s="40">
        <v>1467</v>
      </c>
      <c r="O15" s="40">
        <f>AVERAGE(I15:I16)</f>
        <v>15.45</v>
      </c>
      <c r="P15" s="36">
        <v>3409</v>
      </c>
      <c r="AU15" s="2">
        <v>1467</v>
      </c>
      <c r="AV15" s="2">
        <v>15.9</v>
      </c>
      <c r="AW15" s="2">
        <v>23.3</v>
      </c>
    </row>
    <row r="16" spans="1:49" x14ac:dyDescent="0.3">
      <c r="A16" s="4" t="s">
        <v>17</v>
      </c>
      <c r="B16" s="4" t="s">
        <v>39</v>
      </c>
      <c r="C16" s="2">
        <v>70</v>
      </c>
      <c r="D16" s="2">
        <v>3</v>
      </c>
      <c r="E16" s="2">
        <v>4</v>
      </c>
      <c r="F16" s="2">
        <v>11</v>
      </c>
      <c r="G16" s="2">
        <v>6.2</v>
      </c>
      <c r="H16" s="2">
        <v>43.5</v>
      </c>
      <c r="I16" s="2">
        <v>15</v>
      </c>
      <c r="J16" s="2">
        <v>23.3</v>
      </c>
      <c r="K16" s="2">
        <v>1467</v>
      </c>
      <c r="L16" s="5" t="s">
        <v>11</v>
      </c>
      <c r="M16" s="5">
        <v>30</v>
      </c>
      <c r="N16" s="40"/>
      <c r="O16" s="40"/>
      <c r="P16" s="33"/>
      <c r="R16" t="s">
        <v>77</v>
      </c>
      <c r="S16">
        <f>AVERAGE(J163:J185)</f>
        <v>22.434782608695652</v>
      </c>
      <c r="U16" t="s">
        <v>81</v>
      </c>
      <c r="V16">
        <f>_xlfn.STDEV.S(J163:J185)</f>
        <v>2.5971328064289012</v>
      </c>
      <c r="X16">
        <f>S16-V16</f>
        <v>19.83764980226675</v>
      </c>
      <c r="Y16">
        <f>S16+V16</f>
        <v>25.031915415124555</v>
      </c>
      <c r="AU16" s="2">
        <v>1467</v>
      </c>
      <c r="AV16" s="2">
        <v>15</v>
      </c>
      <c r="AW16" s="2">
        <v>23.3</v>
      </c>
    </row>
    <row r="17" spans="1:49" x14ac:dyDescent="0.3">
      <c r="A17" s="4" t="s">
        <v>17</v>
      </c>
      <c r="B17" s="4" t="s">
        <v>39</v>
      </c>
      <c r="C17" s="2">
        <v>5</v>
      </c>
      <c r="D17" s="2">
        <v>0</v>
      </c>
      <c r="E17" s="2">
        <v>0</v>
      </c>
      <c r="F17" s="2">
        <v>0</v>
      </c>
      <c r="G17" s="2">
        <v>6.3</v>
      </c>
      <c r="H17" s="2">
        <v>20</v>
      </c>
      <c r="I17" s="2">
        <v>17.7</v>
      </c>
      <c r="J17" s="2">
        <v>22.2</v>
      </c>
      <c r="K17" s="2">
        <v>1471</v>
      </c>
      <c r="L17" s="5" t="s">
        <v>11</v>
      </c>
      <c r="M17" s="5">
        <v>30</v>
      </c>
      <c r="N17" s="40">
        <v>1471</v>
      </c>
      <c r="O17" s="40">
        <f>AVERAGE(I17:I20)</f>
        <v>18.424999999999997</v>
      </c>
      <c r="P17" s="33"/>
      <c r="AU17" s="2">
        <v>1471</v>
      </c>
      <c r="AV17" s="2">
        <v>17.7</v>
      </c>
      <c r="AW17" s="2">
        <v>22.2</v>
      </c>
    </row>
    <row r="18" spans="1:49" x14ac:dyDescent="0.3">
      <c r="A18" s="4" t="s">
        <v>17</v>
      </c>
      <c r="B18" s="4" t="s">
        <v>39</v>
      </c>
      <c r="C18" s="2">
        <v>12</v>
      </c>
      <c r="D18" s="2">
        <v>0</v>
      </c>
      <c r="E18" s="2">
        <v>0</v>
      </c>
      <c r="F18" s="2">
        <v>1</v>
      </c>
      <c r="G18" s="2">
        <v>6.6</v>
      </c>
      <c r="H18" s="2">
        <v>35.9</v>
      </c>
      <c r="I18" s="2">
        <v>17.399999999999999</v>
      </c>
      <c r="J18" s="2">
        <v>22.2</v>
      </c>
      <c r="K18" s="2">
        <v>1471</v>
      </c>
      <c r="L18" s="5" t="s">
        <v>11</v>
      </c>
      <c r="M18" s="5">
        <v>30</v>
      </c>
      <c r="N18" s="40"/>
      <c r="O18" s="40"/>
      <c r="P18" s="33"/>
      <c r="AU18" s="2">
        <v>1471</v>
      </c>
      <c r="AV18" s="2">
        <v>17.399999999999999</v>
      </c>
      <c r="AW18" s="2">
        <v>22.2</v>
      </c>
    </row>
    <row r="19" spans="1:49" x14ac:dyDescent="0.3">
      <c r="A19" s="4" t="s">
        <v>17</v>
      </c>
      <c r="B19" s="4" t="s">
        <v>39</v>
      </c>
      <c r="C19" s="2">
        <v>960</v>
      </c>
      <c r="D19" s="2">
        <v>47</v>
      </c>
      <c r="E19" s="2">
        <v>67</v>
      </c>
      <c r="F19" s="2">
        <v>153</v>
      </c>
      <c r="G19" s="2">
        <v>5.3</v>
      </c>
      <c r="H19" s="2">
        <v>25.6</v>
      </c>
      <c r="I19" s="2">
        <v>19.399999999999999</v>
      </c>
      <c r="J19" s="2">
        <v>22.2</v>
      </c>
      <c r="K19" s="2">
        <v>1471</v>
      </c>
      <c r="L19" s="5" t="s">
        <v>11</v>
      </c>
      <c r="M19" s="5">
        <v>30</v>
      </c>
      <c r="N19" s="40"/>
      <c r="O19" s="40"/>
      <c r="P19" s="33"/>
      <c r="AU19" s="2">
        <v>1471</v>
      </c>
      <c r="AV19" s="2">
        <v>19.399999999999999</v>
      </c>
      <c r="AW19" s="2">
        <v>22.2</v>
      </c>
    </row>
    <row r="20" spans="1:49" x14ac:dyDescent="0.3">
      <c r="A20" s="4" t="s">
        <v>17</v>
      </c>
      <c r="B20" s="4" t="s">
        <v>39</v>
      </c>
      <c r="C20" s="2">
        <v>768</v>
      </c>
      <c r="D20" s="2">
        <v>44</v>
      </c>
      <c r="E20" s="2">
        <v>62</v>
      </c>
      <c r="F20" s="2">
        <v>143</v>
      </c>
      <c r="G20" s="2">
        <v>5.5</v>
      </c>
      <c r="H20" s="2">
        <v>47.6</v>
      </c>
      <c r="I20" s="2">
        <v>19.2</v>
      </c>
      <c r="J20" s="2">
        <v>22.2</v>
      </c>
      <c r="K20" s="2">
        <v>1471</v>
      </c>
      <c r="L20" s="5" t="s">
        <v>11</v>
      </c>
      <c r="M20" s="5">
        <v>30</v>
      </c>
      <c r="N20" s="40"/>
      <c r="O20" s="40"/>
      <c r="P20" s="34"/>
      <c r="AU20" s="2">
        <v>1471</v>
      </c>
      <c r="AV20" s="2">
        <v>19.2</v>
      </c>
      <c r="AW20" s="2">
        <v>22.2</v>
      </c>
    </row>
    <row r="21" spans="1:49" x14ac:dyDescent="0.3">
      <c r="A21" s="4" t="s">
        <v>19</v>
      </c>
      <c r="B21" s="4" t="s">
        <v>44</v>
      </c>
      <c r="C21" s="2">
        <v>12</v>
      </c>
      <c r="D21" s="2">
        <v>0</v>
      </c>
      <c r="E21" s="2">
        <v>0</v>
      </c>
      <c r="F21" s="2">
        <v>1</v>
      </c>
      <c r="G21" s="2">
        <v>6</v>
      </c>
      <c r="H21" s="2">
        <v>18.8</v>
      </c>
      <c r="I21" s="2">
        <v>18.7</v>
      </c>
      <c r="J21" s="2">
        <v>19.2</v>
      </c>
      <c r="K21" s="2">
        <v>1839</v>
      </c>
      <c r="L21" s="5" t="s">
        <v>11</v>
      </c>
      <c r="M21" s="5">
        <v>40</v>
      </c>
      <c r="N21" s="40">
        <v>1839</v>
      </c>
      <c r="O21" s="40">
        <f>AVERAGE(I21:I24)</f>
        <v>23.65</v>
      </c>
      <c r="P21" s="32">
        <v>47853.8</v>
      </c>
      <c r="AU21" s="2">
        <v>1839</v>
      </c>
      <c r="AV21" s="2">
        <v>18.7</v>
      </c>
      <c r="AW21" s="2">
        <v>19.2</v>
      </c>
    </row>
    <row r="22" spans="1:49" x14ac:dyDescent="0.3">
      <c r="A22" s="4" t="s">
        <v>19</v>
      </c>
      <c r="B22" s="4" t="s">
        <v>44</v>
      </c>
      <c r="C22" s="2">
        <v>30</v>
      </c>
      <c r="D22" s="2">
        <v>1</v>
      </c>
      <c r="E22" s="2">
        <v>2</v>
      </c>
      <c r="F22" s="2">
        <v>4</v>
      </c>
      <c r="G22" s="2">
        <v>5.8</v>
      </c>
      <c r="H22" s="2">
        <v>31.6</v>
      </c>
      <c r="I22" s="2">
        <v>27.7</v>
      </c>
      <c r="J22" s="2">
        <v>19.2</v>
      </c>
      <c r="K22" s="2">
        <v>1839</v>
      </c>
      <c r="L22" s="5" t="s">
        <v>11</v>
      </c>
      <c r="M22" s="5">
        <v>40</v>
      </c>
      <c r="N22" s="40"/>
      <c r="O22" s="40"/>
      <c r="P22" s="33"/>
      <c r="AU22" s="2">
        <v>1839</v>
      </c>
      <c r="AV22" s="2">
        <v>27.7</v>
      </c>
      <c r="AW22" s="2">
        <v>19.2</v>
      </c>
    </row>
    <row r="23" spans="1:49" x14ac:dyDescent="0.3">
      <c r="A23" s="4" t="s">
        <v>19</v>
      </c>
      <c r="B23" s="4" t="s">
        <v>44</v>
      </c>
      <c r="C23" s="2">
        <v>32</v>
      </c>
      <c r="D23" s="2">
        <v>1</v>
      </c>
      <c r="E23" s="2">
        <v>2</v>
      </c>
      <c r="F23" s="2">
        <v>4</v>
      </c>
      <c r="G23" s="2">
        <v>6.2</v>
      </c>
      <c r="H23" s="2">
        <v>23.5</v>
      </c>
      <c r="I23" s="2">
        <v>23.1</v>
      </c>
      <c r="J23" s="2">
        <v>19.2</v>
      </c>
      <c r="K23" s="2">
        <v>1839</v>
      </c>
      <c r="L23" s="5" t="s">
        <v>11</v>
      </c>
      <c r="M23" s="5">
        <v>40</v>
      </c>
      <c r="N23" s="40"/>
      <c r="O23" s="40"/>
      <c r="P23" s="33"/>
      <c r="AU23" s="2">
        <v>1839</v>
      </c>
      <c r="AV23" s="2">
        <v>23.1</v>
      </c>
      <c r="AW23" s="2">
        <v>19.2</v>
      </c>
    </row>
    <row r="24" spans="1:49" x14ac:dyDescent="0.3">
      <c r="A24" s="4" t="s">
        <v>19</v>
      </c>
      <c r="B24" s="4" t="s">
        <v>44</v>
      </c>
      <c r="C24" s="2">
        <v>25</v>
      </c>
      <c r="D24" s="2">
        <v>1</v>
      </c>
      <c r="E24" s="2">
        <v>1</v>
      </c>
      <c r="F24" s="2">
        <v>4</v>
      </c>
      <c r="G24" s="2">
        <v>6.3</v>
      </c>
      <c r="H24" s="2">
        <v>25.9</v>
      </c>
      <c r="I24" s="2">
        <v>25.1</v>
      </c>
      <c r="J24" s="2">
        <v>19.2</v>
      </c>
      <c r="K24" s="2">
        <v>1839</v>
      </c>
      <c r="L24" s="5" t="s">
        <v>11</v>
      </c>
      <c r="M24" s="5">
        <v>40</v>
      </c>
      <c r="N24" s="40"/>
      <c r="O24" s="40"/>
      <c r="P24" s="33"/>
      <c r="AU24" s="2">
        <v>1839</v>
      </c>
      <c r="AV24" s="2">
        <v>25.1</v>
      </c>
      <c r="AW24" s="2">
        <v>19.2</v>
      </c>
    </row>
    <row r="25" spans="1:49" x14ac:dyDescent="0.3">
      <c r="A25" s="4" t="s">
        <v>19</v>
      </c>
      <c r="B25" s="4" t="s">
        <v>44</v>
      </c>
      <c r="C25" s="2">
        <v>58</v>
      </c>
      <c r="D25" s="2">
        <v>2</v>
      </c>
      <c r="E25" s="2">
        <v>3</v>
      </c>
      <c r="F25" s="2">
        <v>8</v>
      </c>
      <c r="G25" s="2">
        <v>5.8</v>
      </c>
      <c r="H25" s="2">
        <v>57</v>
      </c>
      <c r="I25" s="2">
        <v>22.1</v>
      </c>
      <c r="J25" s="2">
        <v>19.2</v>
      </c>
      <c r="K25" s="2">
        <v>1941</v>
      </c>
      <c r="L25" s="5" t="s">
        <v>11</v>
      </c>
      <c r="M25" s="5">
        <v>40</v>
      </c>
      <c r="N25" s="40">
        <v>1941</v>
      </c>
      <c r="O25" s="40">
        <f>AVERAGE(I25:I28)</f>
        <v>22.2</v>
      </c>
      <c r="P25" s="33"/>
      <c r="AU25" s="2">
        <v>1941</v>
      </c>
      <c r="AV25" s="2">
        <v>22.1</v>
      </c>
      <c r="AW25" s="2">
        <v>19.2</v>
      </c>
    </row>
    <row r="26" spans="1:49" x14ac:dyDescent="0.3">
      <c r="A26" s="4" t="s">
        <v>19</v>
      </c>
      <c r="B26" s="4" t="s">
        <v>44</v>
      </c>
      <c r="C26" s="2">
        <v>30</v>
      </c>
      <c r="D26" s="2">
        <v>1</v>
      </c>
      <c r="E26" s="2">
        <v>1</v>
      </c>
      <c r="F26" s="2">
        <v>4</v>
      </c>
      <c r="G26" s="2">
        <v>5.9</v>
      </c>
      <c r="H26" s="2">
        <v>34.1</v>
      </c>
      <c r="I26" s="2">
        <v>20.3</v>
      </c>
      <c r="J26" s="2">
        <v>19.2</v>
      </c>
      <c r="K26" s="2">
        <v>1941</v>
      </c>
      <c r="L26" s="5" t="s">
        <v>11</v>
      </c>
      <c r="M26" s="5">
        <v>40</v>
      </c>
      <c r="N26" s="40"/>
      <c r="O26" s="40"/>
      <c r="P26" s="33"/>
      <c r="R26" t="s">
        <v>70</v>
      </c>
      <c r="Y26" t="s">
        <v>71</v>
      </c>
      <c r="AF26" t="s">
        <v>72</v>
      </c>
      <c r="AU26" s="2">
        <v>1941</v>
      </c>
      <c r="AV26" s="2">
        <v>20.3</v>
      </c>
      <c r="AW26" s="2">
        <v>19.2</v>
      </c>
    </row>
    <row r="27" spans="1:49" x14ac:dyDescent="0.3">
      <c r="A27" s="4" t="s">
        <v>19</v>
      </c>
      <c r="B27" s="4" t="s">
        <v>44</v>
      </c>
      <c r="C27" s="2">
        <v>41</v>
      </c>
      <c r="D27" s="2">
        <v>1</v>
      </c>
      <c r="E27" s="2">
        <v>2</v>
      </c>
      <c r="F27" s="2">
        <v>5</v>
      </c>
      <c r="G27" s="2">
        <v>5.5</v>
      </c>
      <c r="H27" s="2">
        <v>37</v>
      </c>
      <c r="I27" s="2">
        <v>26.1</v>
      </c>
      <c r="J27" s="2">
        <v>19.2</v>
      </c>
      <c r="K27" s="2">
        <v>1941</v>
      </c>
      <c r="L27" s="5" t="s">
        <v>11</v>
      </c>
      <c r="M27" s="5">
        <v>40</v>
      </c>
      <c r="N27" s="40"/>
      <c r="O27" s="40"/>
      <c r="P27" s="33"/>
      <c r="AU27" s="2">
        <v>1941</v>
      </c>
      <c r="AV27" s="2">
        <v>26.1</v>
      </c>
      <c r="AW27" s="2">
        <v>19.2</v>
      </c>
    </row>
    <row r="28" spans="1:49" x14ac:dyDescent="0.3">
      <c r="A28" s="4" t="s">
        <v>19</v>
      </c>
      <c r="B28" s="4" t="s">
        <v>44</v>
      </c>
      <c r="C28" s="2">
        <v>15</v>
      </c>
      <c r="D28" s="2">
        <v>0</v>
      </c>
      <c r="E28" s="2">
        <v>1</v>
      </c>
      <c r="F28" s="2">
        <v>2</v>
      </c>
      <c r="G28" s="2">
        <v>6.1</v>
      </c>
      <c r="H28" s="2">
        <v>43</v>
      </c>
      <c r="I28" s="2">
        <v>20.3</v>
      </c>
      <c r="J28" s="2">
        <v>19.2</v>
      </c>
      <c r="K28" s="2">
        <v>1941</v>
      </c>
      <c r="L28" s="5" t="s">
        <v>11</v>
      </c>
      <c r="M28" s="5">
        <v>40</v>
      </c>
      <c r="N28" s="40"/>
      <c r="O28" s="40"/>
      <c r="P28" s="33"/>
      <c r="AU28" s="2">
        <v>1941</v>
      </c>
      <c r="AV28" s="2">
        <v>20.3</v>
      </c>
      <c r="AW28" s="2">
        <v>19.2</v>
      </c>
    </row>
    <row r="29" spans="1:49" x14ac:dyDescent="0.3">
      <c r="A29" s="4" t="s">
        <v>19</v>
      </c>
      <c r="B29" s="4" t="s">
        <v>44</v>
      </c>
      <c r="C29" s="2">
        <v>43</v>
      </c>
      <c r="D29" s="2">
        <v>2</v>
      </c>
      <c r="E29" s="2">
        <v>2</v>
      </c>
      <c r="F29" s="2">
        <v>6</v>
      </c>
      <c r="G29" s="2">
        <v>4.8</v>
      </c>
      <c r="H29" s="2">
        <v>34.5</v>
      </c>
      <c r="I29" s="2">
        <v>18.399999999999999</v>
      </c>
      <c r="J29" s="2">
        <v>19.2</v>
      </c>
      <c r="K29" s="2">
        <v>1960</v>
      </c>
      <c r="L29" s="5" t="s">
        <v>11</v>
      </c>
      <c r="M29" s="5">
        <v>40</v>
      </c>
      <c r="N29" s="40">
        <v>1960</v>
      </c>
      <c r="O29" s="40">
        <f>AVERAGE(I29:I32)</f>
        <v>19.75</v>
      </c>
      <c r="P29" s="33"/>
      <c r="AU29" s="2">
        <v>1960</v>
      </c>
      <c r="AV29" s="2">
        <v>18.399999999999999</v>
      </c>
      <c r="AW29" s="2">
        <v>19.2</v>
      </c>
    </row>
    <row r="30" spans="1:49" x14ac:dyDescent="0.3">
      <c r="A30" s="4" t="s">
        <v>19</v>
      </c>
      <c r="B30" s="4" t="s">
        <v>44</v>
      </c>
      <c r="C30" s="2">
        <v>40</v>
      </c>
      <c r="D30" s="2">
        <v>1</v>
      </c>
      <c r="E30" s="2">
        <v>2</v>
      </c>
      <c r="F30" s="2">
        <v>6</v>
      </c>
      <c r="G30" s="2">
        <v>6</v>
      </c>
      <c r="H30" s="2">
        <v>25.6</v>
      </c>
      <c r="I30" s="2">
        <v>20.3</v>
      </c>
      <c r="J30" s="2">
        <v>19.2</v>
      </c>
      <c r="K30" s="2">
        <v>1960</v>
      </c>
      <c r="L30" s="5" t="s">
        <v>11</v>
      </c>
      <c r="M30" s="5">
        <v>40</v>
      </c>
      <c r="N30" s="40"/>
      <c r="O30" s="40"/>
      <c r="P30" s="33"/>
      <c r="AU30" s="2">
        <v>1960</v>
      </c>
      <c r="AV30" s="2">
        <v>20.3</v>
      </c>
      <c r="AW30" s="2">
        <v>19.2</v>
      </c>
    </row>
    <row r="31" spans="1:49" x14ac:dyDescent="0.3">
      <c r="A31" s="4" t="s">
        <v>19</v>
      </c>
      <c r="B31" s="4" t="s">
        <v>44</v>
      </c>
      <c r="C31" s="2">
        <v>21</v>
      </c>
      <c r="D31" s="2">
        <v>1</v>
      </c>
      <c r="E31" s="2">
        <v>1</v>
      </c>
      <c r="F31" s="2">
        <v>3</v>
      </c>
      <c r="G31" s="2">
        <v>6</v>
      </c>
      <c r="H31" s="2">
        <v>20.100000000000001</v>
      </c>
      <c r="I31" s="2">
        <v>20.3</v>
      </c>
      <c r="J31" s="2">
        <v>19.2</v>
      </c>
      <c r="K31" s="2">
        <v>1960</v>
      </c>
      <c r="L31" s="5" t="s">
        <v>11</v>
      </c>
      <c r="M31" s="5">
        <v>40</v>
      </c>
      <c r="N31" s="40"/>
      <c r="O31" s="40"/>
      <c r="P31" s="33"/>
      <c r="AU31" s="2">
        <v>1960</v>
      </c>
      <c r="AV31" s="2">
        <v>20.3</v>
      </c>
      <c r="AW31" s="2">
        <v>19.2</v>
      </c>
    </row>
    <row r="32" spans="1:49" x14ac:dyDescent="0.3">
      <c r="A32" s="4" t="s">
        <v>19</v>
      </c>
      <c r="B32" s="4" t="s">
        <v>44</v>
      </c>
      <c r="C32" s="2">
        <v>30</v>
      </c>
      <c r="D32" s="2">
        <v>1</v>
      </c>
      <c r="E32" s="2">
        <v>2</v>
      </c>
      <c r="F32" s="2">
        <v>4</v>
      </c>
      <c r="G32" s="2">
        <v>6</v>
      </c>
      <c r="H32" s="2">
        <v>20.9</v>
      </c>
      <c r="I32" s="2">
        <v>20</v>
      </c>
      <c r="J32" s="2">
        <v>19.2</v>
      </c>
      <c r="K32" s="2">
        <v>1960</v>
      </c>
      <c r="L32" s="5" t="s">
        <v>11</v>
      </c>
      <c r="M32" s="5">
        <v>40</v>
      </c>
      <c r="N32" s="40"/>
      <c r="O32" s="40"/>
      <c r="P32" s="34"/>
      <c r="AU32" s="2">
        <v>1960</v>
      </c>
      <c r="AV32" s="2">
        <v>20</v>
      </c>
      <c r="AW32" s="2">
        <v>19.2</v>
      </c>
    </row>
    <row r="33" spans="1:49" x14ac:dyDescent="0.3">
      <c r="A33" s="4" t="s">
        <v>20</v>
      </c>
      <c r="B33" s="4" t="s">
        <v>50</v>
      </c>
      <c r="C33" s="2">
        <v>75</v>
      </c>
      <c r="D33" s="2">
        <v>3</v>
      </c>
      <c r="E33" s="2">
        <v>5</v>
      </c>
      <c r="F33" s="2">
        <v>12</v>
      </c>
      <c r="G33" s="2">
        <v>6.6</v>
      </c>
      <c r="H33" s="2">
        <v>15.7</v>
      </c>
      <c r="I33" s="2">
        <v>26.3</v>
      </c>
      <c r="J33" s="2">
        <v>25.1</v>
      </c>
      <c r="K33" s="2">
        <v>682</v>
      </c>
      <c r="L33" s="5" t="s">
        <v>11</v>
      </c>
      <c r="M33" s="5">
        <v>25</v>
      </c>
      <c r="N33" s="40">
        <v>682</v>
      </c>
      <c r="O33" s="40">
        <f>AVERAGE(I33:I36)</f>
        <v>25</v>
      </c>
      <c r="P33" s="32">
        <v>29198.5</v>
      </c>
      <c r="AU33" s="2">
        <v>682</v>
      </c>
      <c r="AV33" s="2">
        <v>26.3</v>
      </c>
      <c r="AW33" s="2">
        <v>25.1</v>
      </c>
    </row>
    <row r="34" spans="1:49" x14ac:dyDescent="0.3">
      <c r="A34" s="4" t="s">
        <v>20</v>
      </c>
      <c r="B34" s="4" t="s">
        <v>50</v>
      </c>
      <c r="C34" s="2">
        <v>128</v>
      </c>
      <c r="D34" s="2">
        <v>6</v>
      </c>
      <c r="E34" s="2">
        <v>8</v>
      </c>
      <c r="F34" s="2">
        <v>20</v>
      </c>
      <c r="G34" s="2">
        <v>6.1</v>
      </c>
      <c r="H34" s="2">
        <v>18.3</v>
      </c>
      <c r="I34" s="2">
        <v>24.7</v>
      </c>
      <c r="J34" s="2">
        <v>25.1</v>
      </c>
      <c r="K34" s="2">
        <v>682</v>
      </c>
      <c r="L34" s="5" t="s">
        <v>11</v>
      </c>
      <c r="M34" s="5">
        <v>25</v>
      </c>
      <c r="N34" s="40"/>
      <c r="O34" s="40"/>
      <c r="P34" s="33"/>
      <c r="AU34" s="2">
        <v>682</v>
      </c>
      <c r="AV34" s="2">
        <v>24.7</v>
      </c>
      <c r="AW34" s="2">
        <v>25.1</v>
      </c>
    </row>
    <row r="35" spans="1:49" x14ac:dyDescent="0.3">
      <c r="A35" s="4" t="s">
        <v>20</v>
      </c>
      <c r="B35" s="4" t="s">
        <v>50</v>
      </c>
      <c r="C35" s="2">
        <v>10.199999999999999</v>
      </c>
      <c r="D35" s="2">
        <v>5</v>
      </c>
      <c r="E35" s="2">
        <v>7</v>
      </c>
      <c r="F35" s="2">
        <v>16</v>
      </c>
      <c r="G35" s="2">
        <v>6.3</v>
      </c>
      <c r="H35" s="2">
        <v>29.6</v>
      </c>
      <c r="I35" s="2">
        <v>24.5</v>
      </c>
      <c r="J35" s="2">
        <v>25.1</v>
      </c>
      <c r="K35" s="2">
        <v>682</v>
      </c>
      <c r="L35" s="5" t="s">
        <v>11</v>
      </c>
      <c r="M35" s="5">
        <v>25</v>
      </c>
      <c r="N35" s="40"/>
      <c r="O35" s="40"/>
      <c r="P35" s="33"/>
      <c r="AU35" s="2">
        <v>682</v>
      </c>
      <c r="AV35" s="2">
        <v>24.5</v>
      </c>
      <c r="AW35" s="2">
        <v>25.1</v>
      </c>
    </row>
    <row r="36" spans="1:49" x14ac:dyDescent="0.3">
      <c r="A36" s="4" t="s">
        <v>20</v>
      </c>
      <c r="B36" s="4" t="s">
        <v>50</v>
      </c>
      <c r="C36" s="2">
        <v>97</v>
      </c>
      <c r="D36" s="2">
        <v>4</v>
      </c>
      <c r="E36" s="2">
        <v>6</v>
      </c>
      <c r="F36" s="2">
        <v>15</v>
      </c>
      <c r="G36" s="2">
        <v>5.8</v>
      </c>
      <c r="H36" s="2">
        <v>35.1</v>
      </c>
      <c r="I36" s="2">
        <v>24.5</v>
      </c>
      <c r="J36" s="2">
        <v>25.1</v>
      </c>
      <c r="K36" s="2">
        <v>682</v>
      </c>
      <c r="L36" s="5" t="s">
        <v>11</v>
      </c>
      <c r="M36" s="5">
        <v>25</v>
      </c>
      <c r="N36" s="40"/>
      <c r="O36" s="40"/>
      <c r="P36" s="34"/>
      <c r="AU36" s="2">
        <v>682</v>
      </c>
      <c r="AV36" s="2">
        <v>24.5</v>
      </c>
      <c r="AW36" s="2">
        <v>25.1</v>
      </c>
    </row>
    <row r="37" spans="1:49" x14ac:dyDescent="0.3">
      <c r="A37" s="4" t="s">
        <v>21</v>
      </c>
      <c r="B37" s="4" t="s">
        <v>52</v>
      </c>
      <c r="C37" s="6">
        <v>93</v>
      </c>
      <c r="D37" s="6">
        <v>4</v>
      </c>
      <c r="E37" s="6">
        <v>6</v>
      </c>
      <c r="F37" s="6">
        <v>14</v>
      </c>
      <c r="G37" s="6">
        <v>5.5</v>
      </c>
      <c r="H37" s="6">
        <v>28.5</v>
      </c>
      <c r="I37" s="6">
        <v>21.3</v>
      </c>
      <c r="J37" s="2">
        <v>21</v>
      </c>
      <c r="K37" s="2">
        <v>1731</v>
      </c>
      <c r="L37" s="5" t="s">
        <v>11</v>
      </c>
      <c r="M37" s="5">
        <v>25</v>
      </c>
      <c r="N37" s="40">
        <v>1731</v>
      </c>
      <c r="O37" s="40">
        <f>AVERAGE(I37:I40)</f>
        <v>19.975000000000001</v>
      </c>
      <c r="P37" s="32">
        <v>8596.5789999999997</v>
      </c>
      <c r="AU37" s="2">
        <v>1731</v>
      </c>
      <c r="AV37" s="6">
        <v>21.3</v>
      </c>
      <c r="AW37" s="2">
        <v>21</v>
      </c>
    </row>
    <row r="38" spans="1:49" x14ac:dyDescent="0.3">
      <c r="A38" s="4" t="s">
        <v>21</v>
      </c>
      <c r="B38" s="4" t="s">
        <v>52</v>
      </c>
      <c r="C38" s="6">
        <v>69</v>
      </c>
      <c r="D38" s="6">
        <v>3</v>
      </c>
      <c r="E38" s="6">
        <v>4</v>
      </c>
      <c r="F38" s="6">
        <v>11</v>
      </c>
      <c r="G38" s="6">
        <v>5.5</v>
      </c>
      <c r="H38" s="6">
        <v>26.9</v>
      </c>
      <c r="I38" s="6">
        <v>18.100000000000001</v>
      </c>
      <c r="J38" s="2">
        <v>21</v>
      </c>
      <c r="K38" s="2">
        <v>1731</v>
      </c>
      <c r="L38" s="5" t="s">
        <v>11</v>
      </c>
      <c r="M38" s="5">
        <v>25</v>
      </c>
      <c r="N38" s="40"/>
      <c r="O38" s="40"/>
      <c r="P38" s="33"/>
      <c r="AU38" s="2">
        <v>1731</v>
      </c>
      <c r="AV38" s="6">
        <v>18.100000000000001</v>
      </c>
      <c r="AW38" s="2">
        <v>21</v>
      </c>
    </row>
    <row r="39" spans="1:49" x14ac:dyDescent="0.3">
      <c r="A39" s="4" t="s">
        <v>21</v>
      </c>
      <c r="B39" s="4" t="s">
        <v>52</v>
      </c>
      <c r="C39" s="6">
        <v>54</v>
      </c>
      <c r="D39" s="6">
        <v>2</v>
      </c>
      <c r="E39" s="6">
        <v>3</v>
      </c>
      <c r="F39" s="6">
        <v>7</v>
      </c>
      <c r="G39" s="6">
        <v>6.1</v>
      </c>
      <c r="H39" s="6">
        <v>26</v>
      </c>
      <c r="I39" s="6">
        <v>17.600000000000001</v>
      </c>
      <c r="J39" s="2">
        <v>21</v>
      </c>
      <c r="K39" s="2">
        <v>1731</v>
      </c>
      <c r="L39" s="5" t="s">
        <v>11</v>
      </c>
      <c r="M39" s="5">
        <v>25</v>
      </c>
      <c r="N39" s="40"/>
      <c r="O39" s="40"/>
      <c r="P39" s="33"/>
      <c r="AU39" s="2">
        <v>1731</v>
      </c>
      <c r="AV39" s="6">
        <v>17.600000000000001</v>
      </c>
      <c r="AW39" s="2">
        <v>21</v>
      </c>
    </row>
    <row r="40" spans="1:49" x14ac:dyDescent="0.3">
      <c r="A40" s="4" t="s">
        <v>21</v>
      </c>
      <c r="B40" s="4" t="s">
        <v>52</v>
      </c>
      <c r="C40" s="6">
        <v>52</v>
      </c>
      <c r="D40" s="6">
        <v>2</v>
      </c>
      <c r="E40" s="6">
        <v>3</v>
      </c>
      <c r="F40" s="6">
        <v>8</v>
      </c>
      <c r="G40" s="6">
        <v>6.6</v>
      </c>
      <c r="H40" s="6">
        <v>21</v>
      </c>
      <c r="I40" s="6">
        <v>22.9</v>
      </c>
      <c r="J40" s="2">
        <v>21</v>
      </c>
      <c r="K40" s="2">
        <v>1731</v>
      </c>
      <c r="L40" s="5" t="s">
        <v>11</v>
      </c>
      <c r="M40" s="5">
        <v>25</v>
      </c>
      <c r="N40" s="40"/>
      <c r="O40" s="40"/>
      <c r="P40" s="33"/>
      <c r="AU40" s="2">
        <v>1731</v>
      </c>
      <c r="AV40" s="6">
        <v>22.9</v>
      </c>
      <c r="AW40" s="2">
        <v>21</v>
      </c>
    </row>
    <row r="41" spans="1:49" x14ac:dyDescent="0.3">
      <c r="A41" s="4" t="s">
        <v>21</v>
      </c>
      <c r="B41" s="4" t="s">
        <v>52</v>
      </c>
      <c r="C41" s="6">
        <v>46</v>
      </c>
      <c r="D41" s="6">
        <v>2</v>
      </c>
      <c r="E41" s="6">
        <v>3</v>
      </c>
      <c r="F41" s="6">
        <v>7</v>
      </c>
      <c r="G41" s="6">
        <v>6.1</v>
      </c>
      <c r="H41" s="6">
        <v>39</v>
      </c>
      <c r="I41" s="6">
        <v>24</v>
      </c>
      <c r="J41" s="2">
        <v>21</v>
      </c>
      <c r="K41" s="2">
        <v>1628</v>
      </c>
      <c r="L41" s="5" t="s">
        <v>11</v>
      </c>
      <c r="M41" s="5">
        <v>25</v>
      </c>
      <c r="N41" s="40">
        <v>1628</v>
      </c>
      <c r="O41" s="40">
        <f>AVERAGE(I41:I44)</f>
        <v>23.7</v>
      </c>
      <c r="P41" s="33"/>
      <c r="AU41" s="2">
        <v>1628</v>
      </c>
      <c r="AV41" s="6">
        <v>24</v>
      </c>
      <c r="AW41" s="2">
        <v>21</v>
      </c>
    </row>
    <row r="42" spans="1:49" x14ac:dyDescent="0.3">
      <c r="A42" s="4" t="s">
        <v>21</v>
      </c>
      <c r="B42" s="4" t="s">
        <v>52</v>
      </c>
      <c r="C42" s="6">
        <v>40</v>
      </c>
      <c r="D42" s="6">
        <v>2</v>
      </c>
      <c r="E42" s="6">
        <v>2</v>
      </c>
      <c r="F42" s="6">
        <v>6</v>
      </c>
      <c r="G42" s="6">
        <v>5.7</v>
      </c>
      <c r="H42" s="6">
        <v>43.5</v>
      </c>
      <c r="I42" s="6">
        <v>24.3</v>
      </c>
      <c r="J42" s="2">
        <v>21</v>
      </c>
      <c r="K42" s="2">
        <v>1628</v>
      </c>
      <c r="L42" s="5" t="s">
        <v>11</v>
      </c>
      <c r="M42" s="5">
        <v>25</v>
      </c>
      <c r="N42" s="40"/>
      <c r="O42" s="40"/>
      <c r="P42" s="33"/>
      <c r="AU42" s="2">
        <v>1628</v>
      </c>
      <c r="AV42" s="6">
        <v>24.3</v>
      </c>
      <c r="AW42" s="2">
        <v>21</v>
      </c>
    </row>
    <row r="43" spans="1:49" x14ac:dyDescent="0.3">
      <c r="A43" s="4" t="s">
        <v>21</v>
      </c>
      <c r="B43" s="4" t="s">
        <v>52</v>
      </c>
      <c r="C43" s="6">
        <v>24</v>
      </c>
      <c r="D43" s="6">
        <v>1</v>
      </c>
      <c r="E43" s="6">
        <v>1</v>
      </c>
      <c r="F43" s="6">
        <v>3</v>
      </c>
      <c r="G43" s="6">
        <v>6</v>
      </c>
      <c r="H43" s="6">
        <v>37.4</v>
      </c>
      <c r="I43" s="6">
        <v>23</v>
      </c>
      <c r="J43" s="2">
        <v>21</v>
      </c>
      <c r="K43" s="2">
        <v>1628</v>
      </c>
      <c r="L43" s="5" t="s">
        <v>11</v>
      </c>
      <c r="M43" s="5">
        <v>25</v>
      </c>
      <c r="N43" s="40"/>
      <c r="O43" s="40"/>
      <c r="P43" s="33"/>
      <c r="AU43" s="2">
        <v>1628</v>
      </c>
      <c r="AV43" s="6">
        <v>23</v>
      </c>
      <c r="AW43" s="2">
        <v>21</v>
      </c>
    </row>
    <row r="44" spans="1:49" x14ac:dyDescent="0.3">
      <c r="A44" s="4" t="s">
        <v>21</v>
      </c>
      <c r="B44" s="4" t="s">
        <v>52</v>
      </c>
      <c r="C44" s="6">
        <v>25</v>
      </c>
      <c r="D44" s="6">
        <v>1</v>
      </c>
      <c r="E44" s="6">
        <v>1</v>
      </c>
      <c r="F44" s="6">
        <v>4</v>
      </c>
      <c r="G44" s="6">
        <v>6.1</v>
      </c>
      <c r="H44" s="6">
        <v>42.2</v>
      </c>
      <c r="I44" s="6">
        <v>23.5</v>
      </c>
      <c r="J44" s="2">
        <v>21</v>
      </c>
      <c r="K44" s="2">
        <v>1628</v>
      </c>
      <c r="L44" s="5" t="s">
        <v>11</v>
      </c>
      <c r="M44" s="5">
        <v>25</v>
      </c>
      <c r="N44" s="40"/>
      <c r="O44" s="40"/>
      <c r="P44" s="34"/>
      <c r="AU44" s="2">
        <v>1628</v>
      </c>
      <c r="AV44" s="6">
        <v>23.5</v>
      </c>
      <c r="AW44" s="2">
        <v>21</v>
      </c>
    </row>
    <row r="45" spans="1:49" x14ac:dyDescent="0.3">
      <c r="A45" s="4" t="s">
        <v>24</v>
      </c>
      <c r="B45" s="4" t="s">
        <v>57</v>
      </c>
      <c r="C45" s="2">
        <v>54</v>
      </c>
      <c r="D45" s="2">
        <v>2</v>
      </c>
      <c r="E45" s="2">
        <v>3</v>
      </c>
      <c r="F45" s="2">
        <v>8</v>
      </c>
      <c r="G45" s="2">
        <v>6.4</v>
      </c>
      <c r="H45" s="2">
        <v>33.5</v>
      </c>
      <c r="I45" s="2">
        <v>21.7</v>
      </c>
      <c r="J45" s="2">
        <v>20</v>
      </c>
      <c r="K45" s="2">
        <v>1251</v>
      </c>
      <c r="L45" s="5" t="s">
        <v>11</v>
      </c>
      <c r="M45" s="5">
        <v>18</v>
      </c>
      <c r="N45" s="41">
        <v>1251</v>
      </c>
      <c r="O45" s="41">
        <f>AVERAGE(I45:I46)</f>
        <v>22.1</v>
      </c>
      <c r="P45" s="32">
        <v>160944.70000000001</v>
      </c>
      <c r="AU45" s="2">
        <v>1251</v>
      </c>
      <c r="AV45" s="2">
        <v>21.7</v>
      </c>
      <c r="AW45" s="2">
        <v>20</v>
      </c>
    </row>
    <row r="46" spans="1:49" x14ac:dyDescent="0.3">
      <c r="A46" s="4" t="s">
        <v>24</v>
      </c>
      <c r="B46" s="4" t="s">
        <v>57</v>
      </c>
      <c r="C46" s="2">
        <v>21</v>
      </c>
      <c r="D46" s="2">
        <v>1</v>
      </c>
      <c r="E46" s="2">
        <v>1</v>
      </c>
      <c r="F46" s="2">
        <v>3</v>
      </c>
      <c r="G46" s="2">
        <v>6.2</v>
      </c>
      <c r="H46" s="2">
        <v>29.5</v>
      </c>
      <c r="I46" s="2">
        <v>22.5</v>
      </c>
      <c r="J46" s="2">
        <v>20</v>
      </c>
      <c r="K46" s="2">
        <v>1251</v>
      </c>
      <c r="L46" s="5" t="s">
        <v>11</v>
      </c>
      <c r="M46" s="5">
        <v>30</v>
      </c>
      <c r="N46" s="42"/>
      <c r="O46" s="42"/>
      <c r="P46" s="33"/>
      <c r="AU46" s="2">
        <v>1251</v>
      </c>
      <c r="AV46" s="2">
        <v>22.5</v>
      </c>
      <c r="AW46" s="2">
        <v>20</v>
      </c>
    </row>
    <row r="47" spans="1:49" x14ac:dyDescent="0.3">
      <c r="A47" s="4" t="s">
        <v>24</v>
      </c>
      <c r="B47" s="4" t="s">
        <v>57</v>
      </c>
      <c r="C47" s="2">
        <v>21</v>
      </c>
      <c r="D47" s="2">
        <v>1</v>
      </c>
      <c r="E47" s="2">
        <v>1</v>
      </c>
      <c r="F47" s="2">
        <v>3</v>
      </c>
      <c r="G47" s="2">
        <v>6.3</v>
      </c>
      <c r="H47" s="2">
        <v>49.2</v>
      </c>
      <c r="I47" s="2">
        <v>22.4</v>
      </c>
      <c r="J47" s="2">
        <v>21</v>
      </c>
      <c r="K47" s="2">
        <v>1284</v>
      </c>
      <c r="L47" s="5" t="s">
        <v>11</v>
      </c>
      <c r="M47" s="5">
        <v>30</v>
      </c>
      <c r="N47" s="41">
        <v>1284</v>
      </c>
      <c r="O47" s="41">
        <f>AVERAGE(I47:I48)</f>
        <v>21.75</v>
      </c>
      <c r="P47" s="33"/>
      <c r="AU47" s="2">
        <v>1284</v>
      </c>
      <c r="AV47" s="2">
        <v>22.4</v>
      </c>
      <c r="AW47" s="2">
        <v>21</v>
      </c>
    </row>
    <row r="48" spans="1:49" x14ac:dyDescent="0.3">
      <c r="A48" s="4" t="s">
        <v>24</v>
      </c>
      <c r="B48" s="4" t="s">
        <v>57</v>
      </c>
      <c r="C48" s="2">
        <v>26</v>
      </c>
      <c r="D48" s="2">
        <v>1</v>
      </c>
      <c r="E48" s="2">
        <v>1</v>
      </c>
      <c r="F48" s="2">
        <v>4</v>
      </c>
      <c r="G48" s="2">
        <v>6.9</v>
      </c>
      <c r="H48" s="2">
        <v>54.2</v>
      </c>
      <c r="I48" s="2">
        <v>21.1</v>
      </c>
      <c r="J48" s="2">
        <v>21</v>
      </c>
      <c r="K48" s="2">
        <v>1284</v>
      </c>
      <c r="L48" s="5" t="s">
        <v>11</v>
      </c>
      <c r="M48" s="5">
        <v>18</v>
      </c>
      <c r="N48" s="42"/>
      <c r="O48" s="42"/>
      <c r="P48" s="33"/>
      <c r="AU48" s="2">
        <v>1284</v>
      </c>
      <c r="AV48" s="2">
        <v>21.1</v>
      </c>
      <c r="AW48" s="2">
        <v>21</v>
      </c>
    </row>
    <row r="49" spans="1:49" x14ac:dyDescent="0.3">
      <c r="A49" s="4" t="s">
        <v>24</v>
      </c>
      <c r="B49" s="4" t="s">
        <v>58</v>
      </c>
      <c r="C49" s="2">
        <v>346</v>
      </c>
      <c r="D49" s="2">
        <v>17</v>
      </c>
      <c r="E49" s="2">
        <v>24</v>
      </c>
      <c r="F49" s="2">
        <v>55</v>
      </c>
      <c r="G49" s="2">
        <v>6.3</v>
      </c>
      <c r="H49" s="2">
        <v>34</v>
      </c>
      <c r="I49" s="2">
        <v>25.6</v>
      </c>
      <c r="J49" s="2">
        <v>22</v>
      </c>
      <c r="K49" s="2">
        <v>1340</v>
      </c>
      <c r="L49" s="5" t="s">
        <v>11</v>
      </c>
      <c r="M49" s="5">
        <v>20</v>
      </c>
      <c r="N49" s="40">
        <v>1370</v>
      </c>
      <c r="O49" s="40">
        <f>AVERAGE(I49:I50)</f>
        <v>25</v>
      </c>
      <c r="P49" s="33"/>
      <c r="AU49" s="2">
        <v>1340</v>
      </c>
      <c r="AV49" s="2">
        <v>25.6</v>
      </c>
      <c r="AW49" s="2">
        <v>22</v>
      </c>
    </row>
    <row r="50" spans="1:49" x14ac:dyDescent="0.3">
      <c r="A50" s="4" t="s">
        <v>24</v>
      </c>
      <c r="B50" s="4" t="s">
        <v>58</v>
      </c>
      <c r="C50" s="2">
        <v>182</v>
      </c>
      <c r="D50" s="2">
        <v>9</v>
      </c>
      <c r="E50" s="2">
        <v>12</v>
      </c>
      <c r="F50" s="2">
        <v>29</v>
      </c>
      <c r="G50" s="2">
        <v>6.2</v>
      </c>
      <c r="H50" s="2">
        <v>37</v>
      </c>
      <c r="I50" s="2">
        <v>24.4</v>
      </c>
      <c r="J50" s="2">
        <v>22</v>
      </c>
      <c r="K50" s="2">
        <v>1340</v>
      </c>
      <c r="L50" s="5" t="s">
        <v>11</v>
      </c>
      <c r="M50" s="5">
        <v>20</v>
      </c>
      <c r="N50" s="40"/>
      <c r="O50" s="40"/>
      <c r="P50" s="33"/>
      <c r="AU50" s="2">
        <v>1340</v>
      </c>
      <c r="AV50" s="2">
        <v>24.4</v>
      </c>
      <c r="AW50" s="2">
        <v>22</v>
      </c>
    </row>
    <row r="51" spans="1:49" x14ac:dyDescent="0.3">
      <c r="A51" s="4" t="s">
        <v>24</v>
      </c>
      <c r="B51" s="4" t="s">
        <v>61</v>
      </c>
      <c r="C51" s="2">
        <v>23</v>
      </c>
      <c r="D51" s="2">
        <v>1</v>
      </c>
      <c r="E51" s="2">
        <v>1</v>
      </c>
      <c r="F51" s="2">
        <v>3</v>
      </c>
      <c r="G51" s="2">
        <v>6.3</v>
      </c>
      <c r="H51" s="2">
        <v>33.700000000000003</v>
      </c>
      <c r="I51" s="2">
        <v>18.3</v>
      </c>
      <c r="J51" s="2">
        <v>16</v>
      </c>
      <c r="K51" s="2">
        <v>1753</v>
      </c>
      <c r="L51" s="5" t="s">
        <v>11</v>
      </c>
      <c r="M51" s="5">
        <v>30</v>
      </c>
      <c r="N51" s="40">
        <v>1753</v>
      </c>
      <c r="O51" s="40">
        <f>AVERAGE(I51:I52)</f>
        <v>18.55</v>
      </c>
      <c r="P51" s="33"/>
      <c r="AU51" s="2">
        <v>1753</v>
      </c>
      <c r="AV51" s="2">
        <v>18.3</v>
      </c>
      <c r="AW51" s="2">
        <v>16</v>
      </c>
    </row>
    <row r="52" spans="1:49" x14ac:dyDescent="0.3">
      <c r="A52" s="4" t="s">
        <v>24</v>
      </c>
      <c r="B52" s="4" t="s">
        <v>61</v>
      </c>
      <c r="C52" s="2">
        <v>7</v>
      </c>
      <c r="D52" s="2">
        <v>0</v>
      </c>
      <c r="E52" s="2">
        <v>0</v>
      </c>
      <c r="F52" s="2">
        <v>1</v>
      </c>
      <c r="G52" s="2">
        <v>6.2</v>
      </c>
      <c r="H52" s="2">
        <v>22.5</v>
      </c>
      <c r="I52" s="2">
        <v>18.8</v>
      </c>
      <c r="J52" s="2">
        <v>16</v>
      </c>
      <c r="K52" s="2">
        <v>1753</v>
      </c>
      <c r="L52" s="5" t="s">
        <v>11</v>
      </c>
      <c r="M52" s="5">
        <v>30</v>
      </c>
      <c r="N52" s="40"/>
      <c r="O52" s="40"/>
      <c r="P52" s="33"/>
      <c r="AU52" s="2">
        <v>1753</v>
      </c>
      <c r="AV52" s="2">
        <v>18.8</v>
      </c>
      <c r="AW52" s="2">
        <v>16</v>
      </c>
    </row>
    <row r="53" spans="1:49" x14ac:dyDescent="0.3">
      <c r="A53" s="4" t="s">
        <v>24</v>
      </c>
      <c r="B53" s="4" t="s">
        <v>61</v>
      </c>
      <c r="C53" s="2">
        <v>84</v>
      </c>
      <c r="D53" s="2">
        <v>4</v>
      </c>
      <c r="E53" s="2">
        <v>5</v>
      </c>
      <c r="F53" s="2">
        <v>13</v>
      </c>
      <c r="G53" s="2">
        <v>6.2</v>
      </c>
      <c r="H53" s="2">
        <v>22.2</v>
      </c>
      <c r="I53" s="2">
        <v>20</v>
      </c>
      <c r="J53" s="2">
        <v>19</v>
      </c>
      <c r="K53" s="2">
        <v>1638.91</v>
      </c>
      <c r="L53" s="5" t="s">
        <v>11</v>
      </c>
      <c r="M53" s="5">
        <v>30</v>
      </c>
      <c r="N53" s="40">
        <v>1638.91</v>
      </c>
      <c r="O53" s="40">
        <f>AVERAGE(I53:I54)</f>
        <v>20</v>
      </c>
      <c r="P53" s="33"/>
      <c r="AU53" s="2">
        <v>1638.91</v>
      </c>
      <c r="AV53" s="2">
        <v>20</v>
      </c>
      <c r="AW53" s="2">
        <v>19</v>
      </c>
    </row>
    <row r="54" spans="1:49" x14ac:dyDescent="0.3">
      <c r="A54" s="4" t="s">
        <v>24</v>
      </c>
      <c r="B54" s="4" t="s">
        <v>61</v>
      </c>
      <c r="C54" s="2">
        <v>72</v>
      </c>
      <c r="D54" s="2">
        <v>3</v>
      </c>
      <c r="E54" s="2">
        <v>5</v>
      </c>
      <c r="F54" s="2">
        <v>11</v>
      </c>
      <c r="G54" s="2">
        <v>6.3</v>
      </c>
      <c r="H54" s="2">
        <v>16.7</v>
      </c>
      <c r="I54" s="2">
        <v>20</v>
      </c>
      <c r="J54" s="2">
        <v>19</v>
      </c>
      <c r="K54" s="2">
        <v>1638.91</v>
      </c>
      <c r="L54" s="5" t="s">
        <v>11</v>
      </c>
      <c r="M54" s="5">
        <v>30</v>
      </c>
      <c r="N54" s="40"/>
      <c r="O54" s="40"/>
      <c r="P54" s="34"/>
      <c r="AU54" s="2">
        <v>1638.91</v>
      </c>
      <c r="AV54" s="2">
        <v>20</v>
      </c>
      <c r="AW54" s="2">
        <v>19</v>
      </c>
    </row>
    <row r="55" spans="1:49" x14ac:dyDescent="0.3">
      <c r="A55" s="4" t="s">
        <v>25</v>
      </c>
      <c r="B55" s="4" t="s">
        <v>62</v>
      </c>
      <c r="C55" s="2">
        <v>8</v>
      </c>
      <c r="D55" s="2">
        <v>0</v>
      </c>
      <c r="E55" s="2">
        <v>0</v>
      </c>
      <c r="F55" s="2">
        <v>1</v>
      </c>
      <c r="G55" s="2">
        <v>6.1</v>
      </c>
      <c r="H55" s="2">
        <v>39</v>
      </c>
      <c r="I55" s="2">
        <v>23.6</v>
      </c>
      <c r="J55" s="2">
        <v>23</v>
      </c>
      <c r="K55" s="2">
        <v>738</v>
      </c>
      <c r="L55" s="5" t="s">
        <v>12</v>
      </c>
      <c r="M55" s="5"/>
      <c r="N55" s="40">
        <v>738</v>
      </c>
      <c r="O55" s="40">
        <f>AVERAGE(I55:I62)</f>
        <v>24.574999999999996</v>
      </c>
      <c r="P55" s="35" t="s">
        <v>83</v>
      </c>
      <c r="AU55" s="2">
        <v>738</v>
      </c>
      <c r="AV55" s="2">
        <v>23.6</v>
      </c>
      <c r="AW55" s="2">
        <v>23</v>
      </c>
    </row>
    <row r="56" spans="1:49" x14ac:dyDescent="0.3">
      <c r="A56" s="4" t="s">
        <v>25</v>
      </c>
      <c r="B56" s="4" t="s">
        <v>62</v>
      </c>
      <c r="C56" s="2">
        <v>54</v>
      </c>
      <c r="D56" s="2">
        <v>2</v>
      </c>
      <c r="E56" s="2">
        <v>3</v>
      </c>
      <c r="F56" s="2">
        <v>8</v>
      </c>
      <c r="G56" s="2">
        <v>5.5</v>
      </c>
      <c r="H56" s="2">
        <v>49.5</v>
      </c>
      <c r="I56" s="2">
        <v>23.4</v>
      </c>
      <c r="J56" s="2">
        <v>23</v>
      </c>
      <c r="K56" s="2">
        <v>738</v>
      </c>
      <c r="L56" s="5" t="s">
        <v>12</v>
      </c>
      <c r="M56" s="5"/>
      <c r="N56" s="40"/>
      <c r="O56" s="40"/>
      <c r="P56" s="33"/>
      <c r="AU56" s="2">
        <v>738</v>
      </c>
      <c r="AV56" s="2">
        <v>23.4</v>
      </c>
      <c r="AW56" s="2">
        <v>23</v>
      </c>
    </row>
    <row r="57" spans="1:49" x14ac:dyDescent="0.3">
      <c r="A57" s="4" t="s">
        <v>25</v>
      </c>
      <c r="B57" s="4" t="s">
        <v>62</v>
      </c>
      <c r="C57" s="2">
        <v>40</v>
      </c>
      <c r="D57" s="2">
        <v>2</v>
      </c>
      <c r="E57" s="2">
        <v>2</v>
      </c>
      <c r="F57" s="2">
        <v>2</v>
      </c>
      <c r="G57" s="2">
        <v>6.1</v>
      </c>
      <c r="H57" s="2">
        <v>33.799999999999997</v>
      </c>
      <c r="I57" s="2">
        <v>24.4</v>
      </c>
      <c r="J57" s="2">
        <v>23</v>
      </c>
      <c r="K57" s="2">
        <v>738</v>
      </c>
      <c r="L57" s="5" t="s">
        <v>12</v>
      </c>
      <c r="M57" s="5"/>
      <c r="N57" s="40"/>
      <c r="O57" s="40"/>
      <c r="P57" s="33"/>
      <c r="AU57" s="2">
        <v>738</v>
      </c>
      <c r="AV57" s="2">
        <v>24.4</v>
      </c>
      <c r="AW57" s="2">
        <v>23</v>
      </c>
    </row>
    <row r="58" spans="1:49" x14ac:dyDescent="0.3">
      <c r="A58" s="4" t="s">
        <v>25</v>
      </c>
      <c r="B58" s="4" t="s">
        <v>62</v>
      </c>
      <c r="C58" s="2">
        <v>28</v>
      </c>
      <c r="D58" s="2">
        <v>1</v>
      </c>
      <c r="E58" s="2">
        <v>2</v>
      </c>
      <c r="F58" s="2">
        <v>4</v>
      </c>
      <c r="G58" s="2">
        <v>6.2</v>
      </c>
      <c r="H58" s="2">
        <v>39</v>
      </c>
      <c r="I58" s="2">
        <v>23.6</v>
      </c>
      <c r="J58" s="2">
        <v>23</v>
      </c>
      <c r="K58" s="2">
        <v>738</v>
      </c>
      <c r="L58" s="5" t="s">
        <v>12</v>
      </c>
      <c r="M58" s="5"/>
      <c r="N58" s="40"/>
      <c r="O58" s="40"/>
      <c r="P58" s="33"/>
      <c r="AU58" s="2">
        <v>738</v>
      </c>
      <c r="AV58" s="2">
        <v>23.6</v>
      </c>
      <c r="AW58" s="2">
        <v>23</v>
      </c>
    </row>
    <row r="59" spans="1:49" x14ac:dyDescent="0.3">
      <c r="A59" s="4" t="s">
        <v>25</v>
      </c>
      <c r="B59" s="4" t="s">
        <v>62</v>
      </c>
      <c r="C59" s="2">
        <v>35</v>
      </c>
      <c r="D59" s="2">
        <v>1</v>
      </c>
      <c r="E59" s="2">
        <v>2</v>
      </c>
      <c r="F59" s="2">
        <v>5</v>
      </c>
      <c r="G59" s="2">
        <v>6.9</v>
      </c>
      <c r="H59" s="2">
        <v>57.2</v>
      </c>
      <c r="I59" s="2">
        <v>24.6</v>
      </c>
      <c r="J59" s="2">
        <v>23</v>
      </c>
      <c r="K59" s="2">
        <v>738</v>
      </c>
      <c r="L59" s="5" t="s">
        <v>12</v>
      </c>
      <c r="M59" s="5"/>
      <c r="N59" s="40"/>
      <c r="O59" s="40"/>
      <c r="P59" s="33"/>
      <c r="AU59" s="2">
        <v>738</v>
      </c>
      <c r="AV59" s="2">
        <v>24.6</v>
      </c>
      <c r="AW59" s="2">
        <v>23</v>
      </c>
    </row>
    <row r="60" spans="1:49" x14ac:dyDescent="0.3">
      <c r="A60" s="4" t="s">
        <v>25</v>
      </c>
      <c r="B60" s="4" t="s">
        <v>62</v>
      </c>
      <c r="C60" s="2">
        <v>29</v>
      </c>
      <c r="D60" s="2">
        <v>1</v>
      </c>
      <c r="E60" s="2">
        <v>2</v>
      </c>
      <c r="F60" s="2">
        <v>4</v>
      </c>
      <c r="G60" s="2">
        <v>6.9</v>
      </c>
      <c r="H60" s="2">
        <v>33.4</v>
      </c>
      <c r="I60" s="2">
        <v>25.2</v>
      </c>
      <c r="J60" s="2">
        <v>23</v>
      </c>
      <c r="K60" s="2">
        <v>738</v>
      </c>
      <c r="L60" s="5" t="s">
        <v>12</v>
      </c>
      <c r="M60" s="5"/>
      <c r="N60" s="40"/>
      <c r="O60" s="40"/>
      <c r="P60" s="33"/>
      <c r="AU60" s="2">
        <v>738</v>
      </c>
      <c r="AV60" s="2">
        <v>25.2</v>
      </c>
      <c r="AW60" s="2">
        <v>23</v>
      </c>
    </row>
    <row r="61" spans="1:49" x14ac:dyDescent="0.3">
      <c r="A61" s="4" t="s">
        <v>25</v>
      </c>
      <c r="B61" s="4" t="s">
        <v>62</v>
      </c>
      <c r="C61" s="2">
        <v>13</v>
      </c>
      <c r="D61" s="2">
        <v>0</v>
      </c>
      <c r="E61" s="2">
        <v>0</v>
      </c>
      <c r="F61" s="2">
        <v>2</v>
      </c>
      <c r="G61" s="2">
        <v>6.5</v>
      </c>
      <c r="H61" s="2">
        <v>42.2</v>
      </c>
      <c r="I61" s="2">
        <v>25.1</v>
      </c>
      <c r="J61" s="2">
        <v>23</v>
      </c>
      <c r="K61" s="2">
        <v>738</v>
      </c>
      <c r="L61" s="5" t="s">
        <v>12</v>
      </c>
      <c r="M61" s="5"/>
      <c r="N61" s="40"/>
      <c r="O61" s="40"/>
      <c r="P61" s="33"/>
      <c r="AU61" s="2">
        <v>738</v>
      </c>
      <c r="AV61" s="2">
        <v>25.1</v>
      </c>
      <c r="AW61" s="2">
        <v>23</v>
      </c>
    </row>
    <row r="62" spans="1:49" x14ac:dyDescent="0.3">
      <c r="A62" s="4" t="s">
        <v>25</v>
      </c>
      <c r="B62" s="4" t="s">
        <v>62</v>
      </c>
      <c r="C62" s="2">
        <v>58</v>
      </c>
      <c r="D62" s="2">
        <v>2</v>
      </c>
      <c r="E62" s="2">
        <v>4</v>
      </c>
      <c r="F62" s="2">
        <v>9</v>
      </c>
      <c r="G62" s="2">
        <v>6.7</v>
      </c>
      <c r="H62" s="2">
        <v>59.1</v>
      </c>
      <c r="I62" s="2">
        <v>26.7</v>
      </c>
      <c r="J62" s="2">
        <v>23</v>
      </c>
      <c r="K62" s="2">
        <v>738</v>
      </c>
      <c r="L62" s="5" t="s">
        <v>12</v>
      </c>
      <c r="M62" s="5"/>
      <c r="N62" s="40"/>
      <c r="O62" s="40"/>
      <c r="P62" s="34"/>
      <c r="AU62" s="2">
        <v>738</v>
      </c>
      <c r="AV62" s="2">
        <v>26.7</v>
      </c>
      <c r="AW62" s="2">
        <v>23</v>
      </c>
    </row>
    <row r="63" spans="1:49" x14ac:dyDescent="0.3">
      <c r="A63" s="4" t="s">
        <v>27</v>
      </c>
      <c r="B63" s="4" t="s">
        <v>64</v>
      </c>
      <c r="C63" s="2">
        <v>23</v>
      </c>
      <c r="D63" s="2">
        <v>1</v>
      </c>
      <c r="E63" s="2">
        <v>1</v>
      </c>
      <c r="F63" s="2">
        <v>4</v>
      </c>
      <c r="G63" s="2">
        <v>5.5</v>
      </c>
      <c r="H63" s="2">
        <v>48.2</v>
      </c>
      <c r="I63" s="2">
        <v>21</v>
      </c>
      <c r="J63" s="2">
        <v>24</v>
      </c>
      <c r="K63" s="2">
        <v>1083</v>
      </c>
      <c r="L63" s="5" t="s">
        <v>12</v>
      </c>
      <c r="M63" s="5"/>
      <c r="N63" s="40">
        <v>1083</v>
      </c>
      <c r="O63" s="40">
        <f>AVERAGE(I63:I64)</f>
        <v>20.85</v>
      </c>
      <c r="P63" s="37" t="s">
        <v>84</v>
      </c>
      <c r="AU63" s="2">
        <v>1083</v>
      </c>
      <c r="AV63" s="2">
        <v>21</v>
      </c>
      <c r="AW63" s="2">
        <v>24</v>
      </c>
    </row>
    <row r="64" spans="1:49" x14ac:dyDescent="0.3">
      <c r="A64" s="4" t="s">
        <v>27</v>
      </c>
      <c r="B64" s="4" t="s">
        <v>64</v>
      </c>
      <c r="C64" s="2">
        <v>31</v>
      </c>
      <c r="D64" s="2">
        <v>1</v>
      </c>
      <c r="E64" s="2">
        <v>2</v>
      </c>
      <c r="F64" s="2">
        <v>5</v>
      </c>
      <c r="G64" s="2">
        <v>6.3</v>
      </c>
      <c r="H64" s="2">
        <v>39.200000000000003</v>
      </c>
      <c r="I64" s="2">
        <v>20.7</v>
      </c>
      <c r="J64" s="2">
        <v>24</v>
      </c>
      <c r="K64" s="2">
        <v>1083</v>
      </c>
      <c r="L64" s="5" t="s">
        <v>12</v>
      </c>
      <c r="M64" s="5"/>
      <c r="N64" s="40"/>
      <c r="O64" s="40"/>
      <c r="P64" s="38"/>
      <c r="AU64" s="2">
        <v>1083</v>
      </c>
      <c r="AV64" s="2">
        <v>20.7</v>
      </c>
      <c r="AW64" s="2">
        <v>24</v>
      </c>
    </row>
    <row r="65" spans="1:49" x14ac:dyDescent="0.3">
      <c r="A65" s="4" t="s">
        <v>27</v>
      </c>
      <c r="B65" s="4" t="s">
        <v>64</v>
      </c>
      <c r="C65" s="2">
        <v>25</v>
      </c>
      <c r="D65" s="2">
        <v>1</v>
      </c>
      <c r="E65" s="2">
        <v>1</v>
      </c>
      <c r="F65" s="2">
        <v>3</v>
      </c>
      <c r="G65" s="2">
        <v>6.3</v>
      </c>
      <c r="H65" s="2">
        <v>66.3</v>
      </c>
      <c r="I65" s="2">
        <v>20.5</v>
      </c>
      <c r="J65" s="2">
        <v>24</v>
      </c>
      <c r="K65" s="2">
        <v>1210</v>
      </c>
      <c r="L65" s="5" t="s">
        <v>12</v>
      </c>
      <c r="M65" s="5"/>
      <c r="N65" s="40">
        <v>1210</v>
      </c>
      <c r="O65" s="40">
        <f>AVERAGE(I65:I66)</f>
        <v>21.9</v>
      </c>
      <c r="P65" s="38"/>
      <c r="AU65" s="2">
        <v>1210</v>
      </c>
      <c r="AV65" s="2">
        <v>20.5</v>
      </c>
      <c r="AW65" s="2">
        <v>24</v>
      </c>
    </row>
    <row r="66" spans="1:49" x14ac:dyDescent="0.3">
      <c r="A66" s="4" t="s">
        <v>27</v>
      </c>
      <c r="B66" s="4" t="s">
        <v>64</v>
      </c>
      <c r="C66" s="2">
        <v>31</v>
      </c>
      <c r="D66" s="2">
        <v>1</v>
      </c>
      <c r="E66" s="2">
        <v>2</v>
      </c>
      <c r="F66" s="2">
        <v>4</v>
      </c>
      <c r="G66" s="2">
        <v>6.2</v>
      </c>
      <c r="H66" s="2">
        <v>24.6</v>
      </c>
      <c r="I66" s="2">
        <v>23.3</v>
      </c>
      <c r="J66" s="2">
        <v>24</v>
      </c>
      <c r="K66" s="2">
        <v>1210</v>
      </c>
      <c r="L66" s="5" t="s">
        <v>12</v>
      </c>
      <c r="M66" s="5"/>
      <c r="N66" s="40"/>
      <c r="O66" s="40"/>
      <c r="P66" s="38"/>
      <c r="AU66" s="2">
        <v>1210</v>
      </c>
      <c r="AV66" s="2">
        <v>23.3</v>
      </c>
      <c r="AW66" s="2">
        <v>24</v>
      </c>
    </row>
    <row r="67" spans="1:49" x14ac:dyDescent="0.3">
      <c r="A67" s="4" t="s">
        <v>27</v>
      </c>
      <c r="B67" s="4" t="s">
        <v>64</v>
      </c>
      <c r="C67" s="2">
        <v>581</v>
      </c>
      <c r="D67" s="2">
        <v>29</v>
      </c>
      <c r="E67" s="2">
        <v>41</v>
      </c>
      <c r="F67" s="2">
        <v>93</v>
      </c>
      <c r="G67" s="2">
        <v>4.5</v>
      </c>
      <c r="H67" s="2">
        <v>88.4</v>
      </c>
      <c r="I67" s="2">
        <v>27.3</v>
      </c>
      <c r="J67" s="2">
        <v>24</v>
      </c>
      <c r="K67" s="2">
        <v>711</v>
      </c>
      <c r="L67" s="5" t="s">
        <v>12</v>
      </c>
      <c r="M67" s="5"/>
      <c r="N67" s="40">
        <v>711</v>
      </c>
      <c r="O67" s="40">
        <f>AVERAGE(I67:I68)</f>
        <v>28.3</v>
      </c>
      <c r="P67" s="38"/>
      <c r="AU67" s="2">
        <v>711</v>
      </c>
      <c r="AV67" s="2">
        <v>27.3</v>
      </c>
      <c r="AW67" s="2">
        <v>24</v>
      </c>
    </row>
    <row r="68" spans="1:49" x14ac:dyDescent="0.3">
      <c r="A68" s="4" t="s">
        <v>27</v>
      </c>
      <c r="B68" s="4" t="s">
        <v>64</v>
      </c>
      <c r="C68" s="2">
        <v>256</v>
      </c>
      <c r="D68" s="2">
        <v>19</v>
      </c>
      <c r="E68" s="2">
        <v>26</v>
      </c>
      <c r="F68" s="2">
        <v>61</v>
      </c>
      <c r="G68" s="2">
        <v>4.4000000000000004</v>
      </c>
      <c r="H68" s="2">
        <v>72.5</v>
      </c>
      <c r="I68" s="2">
        <v>29.3</v>
      </c>
      <c r="J68" s="2">
        <v>24</v>
      </c>
      <c r="K68" s="2">
        <v>711</v>
      </c>
      <c r="L68" s="5" t="s">
        <v>12</v>
      </c>
      <c r="M68" s="5"/>
      <c r="N68" s="40"/>
      <c r="O68" s="40"/>
      <c r="P68" s="39"/>
      <c r="AU68" s="2">
        <v>711</v>
      </c>
      <c r="AV68" s="2">
        <v>29.3</v>
      </c>
      <c r="AW68" s="2">
        <v>24</v>
      </c>
    </row>
    <row r="69" spans="1:49" x14ac:dyDescent="0.3">
      <c r="A69" t="s">
        <v>71</v>
      </c>
    </row>
    <row r="70" spans="1:49" x14ac:dyDescent="0.3">
      <c r="A70" s="1" t="s">
        <v>14</v>
      </c>
      <c r="B70" s="1" t="s">
        <v>29</v>
      </c>
      <c r="C70" s="2" t="s">
        <v>0</v>
      </c>
      <c r="D70" s="2" t="s">
        <v>1</v>
      </c>
      <c r="E70" s="2" t="s">
        <v>2</v>
      </c>
      <c r="F70" s="2" t="s">
        <v>3</v>
      </c>
      <c r="G70" s="2" t="s">
        <v>4</v>
      </c>
      <c r="H70" s="2" t="s">
        <v>5</v>
      </c>
      <c r="I70" s="2" t="s">
        <v>6</v>
      </c>
      <c r="J70" s="2" t="s">
        <v>7</v>
      </c>
      <c r="K70" s="2" t="s">
        <v>8</v>
      </c>
      <c r="L70" s="2" t="s">
        <v>9</v>
      </c>
      <c r="M70" s="2" t="s">
        <v>10</v>
      </c>
      <c r="N70" s="7"/>
      <c r="O70" s="7"/>
      <c r="P70" s="15"/>
      <c r="AU70" s="2" t="s">
        <v>8</v>
      </c>
      <c r="AV70" s="2" t="s">
        <v>6</v>
      </c>
      <c r="AW70" s="2" t="s">
        <v>7</v>
      </c>
    </row>
    <row r="71" spans="1:49" x14ac:dyDescent="0.3">
      <c r="A71" s="4" t="s">
        <v>15</v>
      </c>
      <c r="B71" s="4" t="s">
        <v>30</v>
      </c>
      <c r="C71" s="2">
        <v>101</v>
      </c>
      <c r="D71" s="2">
        <v>5</v>
      </c>
      <c r="E71" s="2">
        <v>7</v>
      </c>
      <c r="F71" s="2">
        <v>16</v>
      </c>
      <c r="G71" s="2">
        <v>6.2</v>
      </c>
      <c r="H71" s="2">
        <v>26.9</v>
      </c>
      <c r="I71" s="2">
        <v>20.8</v>
      </c>
      <c r="J71" s="2">
        <v>28.1</v>
      </c>
      <c r="K71" s="2">
        <v>2002</v>
      </c>
      <c r="L71" s="5" t="s">
        <v>11</v>
      </c>
      <c r="M71" s="5">
        <v>30</v>
      </c>
      <c r="N71" s="40">
        <v>2002</v>
      </c>
      <c r="O71" s="40">
        <f>AVERAGE(I71:I72)</f>
        <v>20.350000000000001</v>
      </c>
      <c r="P71" s="36">
        <v>187449</v>
      </c>
      <c r="AU71" s="2">
        <v>2002</v>
      </c>
      <c r="AV71" s="2">
        <v>20.8</v>
      </c>
      <c r="AW71" s="2">
        <v>28.1</v>
      </c>
    </row>
    <row r="72" spans="1:49" x14ac:dyDescent="0.3">
      <c r="A72" s="4" t="s">
        <v>15</v>
      </c>
      <c r="B72" s="4" t="s">
        <v>30</v>
      </c>
      <c r="C72" s="2">
        <v>41</v>
      </c>
      <c r="D72" s="2">
        <v>2</v>
      </c>
      <c r="E72" s="2">
        <v>2</v>
      </c>
      <c r="F72" s="2">
        <v>6</v>
      </c>
      <c r="G72" s="2">
        <v>6.3</v>
      </c>
      <c r="H72" s="2">
        <v>26.4</v>
      </c>
      <c r="I72" s="2">
        <v>19.899999999999999</v>
      </c>
      <c r="J72" s="2">
        <v>28.1</v>
      </c>
      <c r="K72" s="2">
        <v>2002</v>
      </c>
      <c r="L72" s="5" t="s">
        <v>11</v>
      </c>
      <c r="M72" s="5">
        <v>30</v>
      </c>
      <c r="N72" s="40"/>
      <c r="O72" s="40"/>
      <c r="P72" s="33"/>
      <c r="AU72" s="2">
        <v>2002</v>
      </c>
      <c r="AV72" s="2">
        <v>19.899999999999999</v>
      </c>
      <c r="AW72" s="2">
        <v>28.1</v>
      </c>
    </row>
    <row r="73" spans="1:49" x14ac:dyDescent="0.3">
      <c r="A73" s="4" t="s">
        <v>15</v>
      </c>
      <c r="B73" s="4" t="s">
        <v>31</v>
      </c>
      <c r="C73" s="2">
        <v>101</v>
      </c>
      <c r="D73" s="2">
        <v>5</v>
      </c>
      <c r="E73" s="2">
        <v>7</v>
      </c>
      <c r="F73" s="2">
        <v>16</v>
      </c>
      <c r="G73" s="2">
        <v>5.9</v>
      </c>
      <c r="H73" s="2">
        <v>53.7</v>
      </c>
      <c r="I73" s="2">
        <v>23.1</v>
      </c>
      <c r="J73" s="2">
        <v>27</v>
      </c>
      <c r="K73" s="2">
        <v>1823</v>
      </c>
      <c r="L73" s="5" t="s">
        <v>11</v>
      </c>
      <c r="M73" s="5">
        <v>25</v>
      </c>
      <c r="N73" s="40">
        <v>1823</v>
      </c>
      <c r="O73" s="40">
        <f>AVERAGE(I73:I74)</f>
        <v>22.450000000000003</v>
      </c>
      <c r="P73" s="33"/>
      <c r="AU73" s="2">
        <v>1823</v>
      </c>
      <c r="AV73" s="2">
        <v>23.1</v>
      </c>
      <c r="AW73" s="2">
        <v>27</v>
      </c>
    </row>
    <row r="74" spans="1:49" x14ac:dyDescent="0.3">
      <c r="A74" s="4" t="s">
        <v>15</v>
      </c>
      <c r="B74" s="4" t="s">
        <v>31</v>
      </c>
      <c r="C74" s="2">
        <v>118</v>
      </c>
      <c r="D74" s="2">
        <v>5</v>
      </c>
      <c r="E74" s="2">
        <v>8</v>
      </c>
      <c r="F74" s="2">
        <v>18</v>
      </c>
      <c r="G74" s="2">
        <v>5.5</v>
      </c>
      <c r="H74" s="2">
        <v>44.9</v>
      </c>
      <c r="I74" s="2">
        <v>21.8</v>
      </c>
      <c r="J74" s="2">
        <v>27</v>
      </c>
      <c r="K74" s="2">
        <v>1823</v>
      </c>
      <c r="L74" s="5" t="s">
        <v>11</v>
      </c>
      <c r="M74" s="5">
        <v>25</v>
      </c>
      <c r="N74" s="40"/>
      <c r="O74" s="40"/>
      <c r="P74" s="33"/>
      <c r="AU74" s="2">
        <v>1823</v>
      </c>
      <c r="AV74" s="2">
        <v>21.8</v>
      </c>
      <c r="AW74" s="2">
        <v>27</v>
      </c>
    </row>
    <row r="75" spans="1:49" x14ac:dyDescent="0.3">
      <c r="A75" s="4" t="s">
        <v>15</v>
      </c>
      <c r="B75" s="4" t="s">
        <v>32</v>
      </c>
      <c r="C75" s="2">
        <v>22</v>
      </c>
      <c r="D75" s="2">
        <v>1</v>
      </c>
      <c r="E75" s="2">
        <v>1</v>
      </c>
      <c r="F75" s="2">
        <v>3</v>
      </c>
      <c r="G75" s="2">
        <v>6.5</v>
      </c>
      <c r="H75" s="2">
        <v>37.799999999999997</v>
      </c>
      <c r="I75" s="2">
        <v>25.2</v>
      </c>
      <c r="J75" s="2">
        <v>20</v>
      </c>
      <c r="K75" s="2">
        <v>1612</v>
      </c>
      <c r="L75" s="5" t="s">
        <v>11</v>
      </c>
      <c r="M75" s="5">
        <v>25</v>
      </c>
      <c r="N75" s="40">
        <v>1612</v>
      </c>
      <c r="O75" s="40">
        <f>AVERAGE(I75:I76)</f>
        <v>23.9</v>
      </c>
      <c r="P75" s="33"/>
      <c r="AU75" s="2">
        <v>1612</v>
      </c>
      <c r="AV75" s="2">
        <v>25.2</v>
      </c>
      <c r="AW75" s="2">
        <v>20</v>
      </c>
    </row>
    <row r="76" spans="1:49" x14ac:dyDescent="0.3">
      <c r="A76" s="4" t="s">
        <v>15</v>
      </c>
      <c r="B76" s="4" t="s">
        <v>32</v>
      </c>
      <c r="C76" s="2">
        <v>7</v>
      </c>
      <c r="D76" s="2">
        <v>0</v>
      </c>
      <c r="E76" s="2">
        <v>0</v>
      </c>
      <c r="F76" s="2">
        <v>1</v>
      </c>
      <c r="G76" s="2">
        <v>6.6</v>
      </c>
      <c r="H76" s="2">
        <v>27.2</v>
      </c>
      <c r="I76" s="2">
        <v>22.6</v>
      </c>
      <c r="J76" s="2">
        <v>20</v>
      </c>
      <c r="K76" s="2">
        <v>1612</v>
      </c>
      <c r="L76" s="5" t="s">
        <v>11</v>
      </c>
      <c r="M76" s="5">
        <v>25</v>
      </c>
      <c r="N76" s="40"/>
      <c r="O76" s="40"/>
      <c r="P76" s="33"/>
      <c r="AU76" s="2">
        <v>1612</v>
      </c>
      <c r="AV76" s="2">
        <v>22.6</v>
      </c>
      <c r="AW76" s="2">
        <v>20</v>
      </c>
    </row>
    <row r="77" spans="1:49" x14ac:dyDescent="0.3">
      <c r="A77" s="4" t="s">
        <v>15</v>
      </c>
      <c r="B77" s="4" t="s">
        <v>34</v>
      </c>
      <c r="C77" s="2">
        <v>93</v>
      </c>
      <c r="D77" s="2">
        <v>4</v>
      </c>
      <c r="E77" s="2">
        <v>6</v>
      </c>
      <c r="F77" s="2">
        <v>14</v>
      </c>
      <c r="G77" s="2">
        <v>6.1</v>
      </c>
      <c r="H77" s="2">
        <v>32.1</v>
      </c>
      <c r="I77" s="2">
        <v>19.8</v>
      </c>
      <c r="J77" s="2">
        <v>19</v>
      </c>
      <c r="K77" s="2">
        <v>2122</v>
      </c>
      <c r="L77" s="5" t="s">
        <v>11</v>
      </c>
      <c r="M77" s="5">
        <v>20</v>
      </c>
      <c r="N77" s="40">
        <v>2122</v>
      </c>
      <c r="O77" s="40">
        <f>AVERAGE(I77:I80)</f>
        <v>18.475000000000001</v>
      </c>
      <c r="P77" s="33"/>
      <c r="AU77" s="2">
        <v>2122</v>
      </c>
      <c r="AV77" s="2">
        <v>19.8</v>
      </c>
      <c r="AW77" s="2">
        <v>19</v>
      </c>
    </row>
    <row r="78" spans="1:49" x14ac:dyDescent="0.3">
      <c r="A78" s="4" t="s">
        <v>15</v>
      </c>
      <c r="B78" s="4" t="s">
        <v>34</v>
      </c>
      <c r="C78" s="2">
        <v>97</v>
      </c>
      <c r="D78" s="2">
        <v>3</v>
      </c>
      <c r="E78" s="2">
        <v>4</v>
      </c>
      <c r="F78" s="2">
        <v>10</v>
      </c>
      <c r="G78" s="2">
        <v>6</v>
      </c>
      <c r="H78" s="2">
        <v>32</v>
      </c>
      <c r="I78" s="2">
        <v>16.899999999999999</v>
      </c>
      <c r="J78" s="2">
        <v>19</v>
      </c>
      <c r="K78" s="2">
        <v>2122</v>
      </c>
      <c r="L78" s="5" t="s">
        <v>11</v>
      </c>
      <c r="M78" s="5">
        <v>20</v>
      </c>
      <c r="N78" s="40"/>
      <c r="O78" s="40"/>
      <c r="P78" s="33"/>
      <c r="AU78" s="2">
        <v>2122</v>
      </c>
      <c r="AV78" s="2">
        <v>16.899999999999999</v>
      </c>
      <c r="AW78" s="2">
        <v>19</v>
      </c>
    </row>
    <row r="79" spans="1:49" x14ac:dyDescent="0.3">
      <c r="A79" s="4" t="s">
        <v>15</v>
      </c>
      <c r="B79" s="4" t="s">
        <v>34</v>
      </c>
      <c r="C79" s="2">
        <v>61</v>
      </c>
      <c r="D79" s="2">
        <v>3</v>
      </c>
      <c r="E79" s="2">
        <v>4</v>
      </c>
      <c r="F79" s="2">
        <v>9</v>
      </c>
      <c r="G79" s="2">
        <v>6.1</v>
      </c>
      <c r="H79" s="2">
        <v>34</v>
      </c>
      <c r="I79" s="2">
        <v>18</v>
      </c>
      <c r="J79" s="2">
        <v>19</v>
      </c>
      <c r="K79" s="2">
        <v>2122</v>
      </c>
      <c r="L79" s="5" t="s">
        <v>11</v>
      </c>
      <c r="M79" s="5">
        <v>20</v>
      </c>
      <c r="N79" s="40"/>
      <c r="O79" s="40"/>
      <c r="P79" s="33"/>
      <c r="AU79" s="2">
        <v>2122</v>
      </c>
      <c r="AV79" s="2">
        <v>18</v>
      </c>
      <c r="AW79" s="2">
        <v>19</v>
      </c>
    </row>
    <row r="80" spans="1:49" x14ac:dyDescent="0.3">
      <c r="A80" s="4" t="s">
        <v>15</v>
      </c>
      <c r="B80" s="4" t="s">
        <v>34</v>
      </c>
      <c r="C80" s="2">
        <v>62</v>
      </c>
      <c r="D80" s="2">
        <v>3</v>
      </c>
      <c r="E80" s="2">
        <v>4</v>
      </c>
      <c r="F80" s="2">
        <v>10</v>
      </c>
      <c r="G80" s="2">
        <v>6</v>
      </c>
      <c r="H80" s="2">
        <v>33.9</v>
      </c>
      <c r="I80" s="2">
        <v>19.2</v>
      </c>
      <c r="J80" s="2">
        <v>19</v>
      </c>
      <c r="K80" s="2">
        <v>2122</v>
      </c>
      <c r="L80" s="5" t="s">
        <v>11</v>
      </c>
      <c r="M80" s="5">
        <v>20</v>
      </c>
      <c r="N80" s="40"/>
      <c r="O80" s="40"/>
      <c r="P80" s="33"/>
      <c r="AU80" s="2">
        <v>2122</v>
      </c>
      <c r="AV80" s="2">
        <v>19.2</v>
      </c>
      <c r="AW80" s="2">
        <v>19</v>
      </c>
    </row>
    <row r="81" spans="1:49" x14ac:dyDescent="0.3">
      <c r="A81" s="4" t="s">
        <v>15</v>
      </c>
      <c r="B81" s="4" t="s">
        <v>34</v>
      </c>
      <c r="C81" s="2">
        <v>108</v>
      </c>
      <c r="D81" s="2">
        <v>5</v>
      </c>
      <c r="E81" s="2">
        <v>7</v>
      </c>
      <c r="F81" s="2">
        <v>17</v>
      </c>
      <c r="G81" s="2">
        <v>5.8</v>
      </c>
      <c r="H81" s="2">
        <v>41.8</v>
      </c>
      <c r="I81" s="2">
        <v>24.2</v>
      </c>
      <c r="J81" s="2">
        <v>19</v>
      </c>
      <c r="K81" s="2">
        <v>2077</v>
      </c>
      <c r="L81" s="5" t="s">
        <v>11</v>
      </c>
      <c r="M81" s="5">
        <v>20</v>
      </c>
      <c r="N81" s="40">
        <v>2077</v>
      </c>
      <c r="O81" s="40">
        <f>AVERAGE(I81:I84)</f>
        <v>24.35</v>
      </c>
      <c r="P81" s="33"/>
      <c r="AU81" s="2">
        <v>2077</v>
      </c>
      <c r="AV81" s="2">
        <v>24.2</v>
      </c>
      <c r="AW81" s="2">
        <v>19</v>
      </c>
    </row>
    <row r="82" spans="1:49" x14ac:dyDescent="0.3">
      <c r="A82" s="4" t="s">
        <v>15</v>
      </c>
      <c r="B82" s="4" t="s">
        <v>34</v>
      </c>
      <c r="C82" s="2">
        <v>153</v>
      </c>
      <c r="D82" s="2">
        <v>7</v>
      </c>
      <c r="E82" s="2">
        <v>10</v>
      </c>
      <c r="F82" s="2">
        <v>24</v>
      </c>
      <c r="G82" s="2">
        <v>5.7</v>
      </c>
      <c r="H82" s="2">
        <v>25.8</v>
      </c>
      <c r="I82" s="2">
        <v>24</v>
      </c>
      <c r="J82" s="2">
        <v>19</v>
      </c>
      <c r="K82" s="2">
        <v>2077</v>
      </c>
      <c r="L82" s="5" t="s">
        <v>11</v>
      </c>
      <c r="M82" s="5">
        <v>20</v>
      </c>
      <c r="N82" s="40"/>
      <c r="O82" s="40"/>
      <c r="P82" s="33"/>
      <c r="AU82" s="2">
        <v>2077</v>
      </c>
      <c r="AV82" s="2">
        <v>24</v>
      </c>
      <c r="AW82" s="2">
        <v>19</v>
      </c>
    </row>
    <row r="83" spans="1:49" x14ac:dyDescent="0.3">
      <c r="A83" s="4" t="s">
        <v>15</v>
      </c>
      <c r="B83" s="4" t="s">
        <v>34</v>
      </c>
      <c r="C83" s="2">
        <v>188</v>
      </c>
      <c r="D83" s="2">
        <v>9</v>
      </c>
      <c r="E83" s="2">
        <v>13</v>
      </c>
      <c r="F83" s="2">
        <v>30</v>
      </c>
      <c r="G83" s="2">
        <v>5.8</v>
      </c>
      <c r="H83" s="2">
        <v>41.5</v>
      </c>
      <c r="I83" s="2">
        <v>25.2</v>
      </c>
      <c r="J83" s="2">
        <v>19</v>
      </c>
      <c r="K83" s="2">
        <v>2077</v>
      </c>
      <c r="L83" s="5" t="s">
        <v>11</v>
      </c>
      <c r="M83" s="5">
        <v>20</v>
      </c>
      <c r="N83" s="40"/>
      <c r="O83" s="40"/>
      <c r="P83" s="33"/>
      <c r="AU83" s="2">
        <v>2077</v>
      </c>
      <c r="AV83" s="2">
        <v>25.2</v>
      </c>
      <c r="AW83" s="2">
        <v>19</v>
      </c>
    </row>
    <row r="84" spans="1:49" x14ac:dyDescent="0.3">
      <c r="A84" s="4" t="s">
        <v>15</v>
      </c>
      <c r="B84" s="4" t="s">
        <v>34</v>
      </c>
      <c r="C84" s="2">
        <v>123</v>
      </c>
      <c r="D84" s="2">
        <v>6</v>
      </c>
      <c r="E84" s="2">
        <v>8</v>
      </c>
      <c r="F84" s="2">
        <v>20</v>
      </c>
      <c r="G84" s="2">
        <v>6.1</v>
      </c>
      <c r="H84" s="2">
        <v>29</v>
      </c>
      <c r="I84" s="2">
        <v>24</v>
      </c>
      <c r="J84" s="2">
        <v>19</v>
      </c>
      <c r="K84" s="2">
        <v>2077</v>
      </c>
      <c r="L84" s="5" t="s">
        <v>11</v>
      </c>
      <c r="M84" s="5">
        <v>20</v>
      </c>
      <c r="N84" s="40"/>
      <c r="O84" s="40"/>
      <c r="P84" s="34"/>
      <c r="AU84" s="2">
        <v>2077</v>
      </c>
      <c r="AV84" s="2">
        <v>24</v>
      </c>
      <c r="AW84" s="2">
        <v>19</v>
      </c>
    </row>
    <row r="85" spans="1:49" x14ac:dyDescent="0.3">
      <c r="A85" s="4" t="s">
        <v>16</v>
      </c>
      <c r="B85" s="4" t="s">
        <v>36</v>
      </c>
      <c r="C85" s="2">
        <v>18</v>
      </c>
      <c r="D85" s="2">
        <v>0</v>
      </c>
      <c r="E85" s="2">
        <v>1</v>
      </c>
      <c r="F85" s="2">
        <v>2</v>
      </c>
      <c r="G85" s="2">
        <v>6.2</v>
      </c>
      <c r="H85" s="2">
        <v>22.2</v>
      </c>
      <c r="I85" s="2">
        <v>22.8</v>
      </c>
      <c r="J85" s="2">
        <v>28.7</v>
      </c>
      <c r="K85" s="2">
        <v>2074</v>
      </c>
      <c r="L85" s="5" t="s">
        <v>11</v>
      </c>
      <c r="M85" s="5">
        <v>25</v>
      </c>
      <c r="N85" s="40">
        <v>2074</v>
      </c>
      <c r="O85" s="40">
        <f>AVERAGE(I85:I88)</f>
        <v>21.900000000000002</v>
      </c>
      <c r="P85" s="32">
        <v>57122.400000000001</v>
      </c>
      <c r="AU85" s="2">
        <v>2074</v>
      </c>
      <c r="AV85" s="2">
        <v>22.8</v>
      </c>
      <c r="AW85" s="2">
        <v>28.7</v>
      </c>
    </row>
    <row r="86" spans="1:49" x14ac:dyDescent="0.3">
      <c r="A86" s="4" t="s">
        <v>16</v>
      </c>
      <c r="B86" s="4" t="s">
        <v>36</v>
      </c>
      <c r="C86" s="2">
        <v>71</v>
      </c>
      <c r="D86" s="2">
        <v>3</v>
      </c>
      <c r="E86" s="2">
        <v>4</v>
      </c>
      <c r="F86" s="2">
        <v>11</v>
      </c>
      <c r="G86" s="2">
        <v>6.2</v>
      </c>
      <c r="H86" s="2">
        <v>34.299999999999997</v>
      </c>
      <c r="I86" s="2">
        <v>23.6</v>
      </c>
      <c r="J86" s="2">
        <v>28.7</v>
      </c>
      <c r="K86" s="2">
        <v>2074</v>
      </c>
      <c r="L86" s="5" t="s">
        <v>11</v>
      </c>
      <c r="M86" s="5">
        <v>25</v>
      </c>
      <c r="N86" s="40"/>
      <c r="O86" s="40"/>
      <c r="P86" s="33"/>
      <c r="AU86" s="2">
        <v>2074</v>
      </c>
      <c r="AV86" s="2">
        <v>23.6</v>
      </c>
      <c r="AW86" s="2">
        <v>28.7</v>
      </c>
    </row>
    <row r="87" spans="1:49" x14ac:dyDescent="0.3">
      <c r="A87" s="4" t="s">
        <v>16</v>
      </c>
      <c r="B87" s="4" t="s">
        <v>36</v>
      </c>
      <c r="C87" s="2">
        <v>87</v>
      </c>
      <c r="D87" s="2">
        <v>4</v>
      </c>
      <c r="E87" s="2">
        <v>6</v>
      </c>
      <c r="F87" s="2">
        <v>13</v>
      </c>
      <c r="G87" s="2">
        <v>6.3</v>
      </c>
      <c r="H87" s="2">
        <v>37.4</v>
      </c>
      <c r="I87" s="2">
        <v>20.7</v>
      </c>
      <c r="J87" s="2">
        <v>28.7</v>
      </c>
      <c r="K87" s="2">
        <v>2074</v>
      </c>
      <c r="L87" s="5" t="s">
        <v>11</v>
      </c>
      <c r="M87" s="5">
        <v>25</v>
      </c>
      <c r="N87" s="40"/>
      <c r="O87" s="40"/>
      <c r="P87" s="33"/>
      <c r="AU87" s="2">
        <v>2074</v>
      </c>
      <c r="AV87" s="2">
        <v>20.7</v>
      </c>
      <c r="AW87" s="2">
        <v>28.7</v>
      </c>
    </row>
    <row r="88" spans="1:49" x14ac:dyDescent="0.3">
      <c r="A88" s="4" t="s">
        <v>16</v>
      </c>
      <c r="B88" s="4" t="s">
        <v>36</v>
      </c>
      <c r="C88" s="2">
        <v>66</v>
      </c>
      <c r="D88" s="2">
        <v>3</v>
      </c>
      <c r="E88" s="2">
        <v>4</v>
      </c>
      <c r="F88" s="2">
        <v>10</v>
      </c>
      <c r="G88" s="2">
        <v>6.1</v>
      </c>
      <c r="H88" s="2">
        <v>36.700000000000003</v>
      </c>
      <c r="I88" s="2">
        <v>20.5</v>
      </c>
      <c r="J88" s="2">
        <v>28.7</v>
      </c>
      <c r="K88" s="2">
        <v>2074</v>
      </c>
      <c r="L88" s="5" t="s">
        <v>11</v>
      </c>
      <c r="M88" s="5">
        <v>25</v>
      </c>
      <c r="N88" s="40"/>
      <c r="O88" s="40"/>
      <c r="P88" s="34"/>
      <c r="AU88" s="2">
        <v>2074</v>
      </c>
      <c r="AV88" s="2">
        <v>20.5</v>
      </c>
      <c r="AW88" s="2">
        <v>28.7</v>
      </c>
    </row>
    <row r="89" spans="1:49" x14ac:dyDescent="0.3">
      <c r="A89" s="4" t="s">
        <v>17</v>
      </c>
      <c r="B89" s="4" t="s">
        <v>39</v>
      </c>
      <c r="C89" s="2">
        <v>39</v>
      </c>
      <c r="D89" s="2">
        <v>1</v>
      </c>
      <c r="E89" s="2">
        <v>2</v>
      </c>
      <c r="F89" s="2">
        <v>6</v>
      </c>
      <c r="G89" s="2">
        <v>6.3</v>
      </c>
      <c r="H89" s="2">
        <v>27.1</v>
      </c>
      <c r="I89" s="2">
        <v>17.399999999999999</v>
      </c>
      <c r="J89" s="2">
        <v>24.1</v>
      </c>
      <c r="K89" s="2">
        <v>1434</v>
      </c>
      <c r="L89" s="5" t="s">
        <v>11</v>
      </c>
      <c r="M89" s="5">
        <v>30</v>
      </c>
      <c r="N89" s="40">
        <v>1434</v>
      </c>
      <c r="O89" s="40">
        <f>AVERAGE(I89:I90)</f>
        <v>17.649999999999999</v>
      </c>
      <c r="P89" s="35">
        <v>3409</v>
      </c>
      <c r="AU89" s="2">
        <v>1434</v>
      </c>
      <c r="AV89" s="2">
        <v>17.399999999999999</v>
      </c>
      <c r="AW89" s="2">
        <v>24.1</v>
      </c>
    </row>
    <row r="90" spans="1:49" x14ac:dyDescent="0.3">
      <c r="A90" s="4" t="s">
        <v>17</v>
      </c>
      <c r="B90" s="4" t="s">
        <v>39</v>
      </c>
      <c r="C90" s="2">
        <v>4</v>
      </c>
      <c r="D90" s="2">
        <v>0</v>
      </c>
      <c r="E90" s="2">
        <v>0</v>
      </c>
      <c r="F90" s="2">
        <v>0</v>
      </c>
      <c r="G90" s="2">
        <v>6.3</v>
      </c>
      <c r="H90" s="2">
        <v>22.8</v>
      </c>
      <c r="I90" s="2">
        <v>17.899999999999999</v>
      </c>
      <c r="J90" s="2">
        <v>24.1</v>
      </c>
      <c r="K90" s="2">
        <v>1434</v>
      </c>
      <c r="L90" s="5" t="s">
        <v>11</v>
      </c>
      <c r="M90" s="5">
        <v>30</v>
      </c>
      <c r="N90" s="40"/>
      <c r="O90" s="40"/>
      <c r="P90" s="34"/>
      <c r="AU90" s="2">
        <v>1434</v>
      </c>
      <c r="AV90" s="2">
        <v>17.899999999999999</v>
      </c>
      <c r="AW90" s="2">
        <v>24.1</v>
      </c>
    </row>
    <row r="91" spans="1:49" x14ac:dyDescent="0.3">
      <c r="A91" s="4" t="s">
        <v>18</v>
      </c>
      <c r="B91" s="4" t="s">
        <v>40</v>
      </c>
      <c r="C91" s="2">
        <v>18</v>
      </c>
      <c r="D91" s="2">
        <v>0</v>
      </c>
      <c r="E91" s="2">
        <v>1</v>
      </c>
      <c r="F91" s="2">
        <v>2</v>
      </c>
      <c r="G91" s="2">
        <v>5.5</v>
      </c>
      <c r="H91" s="2">
        <v>22.7</v>
      </c>
      <c r="I91" s="2">
        <v>20.8</v>
      </c>
      <c r="J91" s="2">
        <v>27.1</v>
      </c>
      <c r="K91" s="2">
        <v>2176</v>
      </c>
      <c r="L91" s="5" t="s">
        <v>11</v>
      </c>
      <c r="M91" s="5">
        <v>10</v>
      </c>
      <c r="N91" s="40">
        <v>2176</v>
      </c>
      <c r="O91" s="40">
        <f>AVERAGE(I91:I92)</f>
        <v>20.8</v>
      </c>
      <c r="P91" s="32">
        <v>138401.68100000001</v>
      </c>
      <c r="AU91" s="2">
        <v>2176</v>
      </c>
      <c r="AV91" s="2">
        <v>20.8</v>
      </c>
      <c r="AW91" s="2">
        <v>27.1</v>
      </c>
    </row>
    <row r="92" spans="1:49" x14ac:dyDescent="0.3">
      <c r="A92" s="4" t="s">
        <v>18</v>
      </c>
      <c r="B92" s="4" t="s">
        <v>40</v>
      </c>
      <c r="C92" s="2">
        <v>27</v>
      </c>
      <c r="D92" s="2">
        <v>1</v>
      </c>
      <c r="E92" s="2">
        <v>1</v>
      </c>
      <c r="F92" s="2">
        <v>5</v>
      </c>
      <c r="G92" s="2">
        <v>5.9</v>
      </c>
      <c r="H92" s="2">
        <v>20.399999999999999</v>
      </c>
      <c r="I92" s="2">
        <v>20.8</v>
      </c>
      <c r="J92" s="2">
        <v>27.1</v>
      </c>
      <c r="K92" s="2">
        <v>2176</v>
      </c>
      <c r="L92" s="5" t="s">
        <v>11</v>
      </c>
      <c r="M92" s="5">
        <v>10</v>
      </c>
      <c r="N92" s="40"/>
      <c r="O92" s="40"/>
      <c r="P92" s="33"/>
      <c r="AU92" s="2">
        <v>2176</v>
      </c>
      <c r="AV92" s="2">
        <v>20.8</v>
      </c>
      <c r="AW92" s="2">
        <v>27.1</v>
      </c>
    </row>
    <row r="93" spans="1:49" x14ac:dyDescent="0.3">
      <c r="A93" s="4" t="s">
        <v>18</v>
      </c>
      <c r="B93" s="4" t="s">
        <v>40</v>
      </c>
      <c r="C93" s="2">
        <v>13</v>
      </c>
      <c r="D93" s="2">
        <v>0</v>
      </c>
      <c r="E93" s="2">
        <v>0</v>
      </c>
      <c r="F93" s="2">
        <v>2</v>
      </c>
      <c r="G93" s="2">
        <v>5.4</v>
      </c>
      <c r="H93" s="2">
        <v>28</v>
      </c>
      <c r="I93" s="2">
        <v>19.899999999999999</v>
      </c>
      <c r="J93" s="2">
        <v>25.9</v>
      </c>
      <c r="K93" s="2">
        <v>2193</v>
      </c>
      <c r="L93" s="5" t="s">
        <v>11</v>
      </c>
      <c r="M93" s="5">
        <v>10</v>
      </c>
      <c r="N93" s="40">
        <v>2193</v>
      </c>
      <c r="O93" s="41">
        <f>AVERAGE(I93:I94)</f>
        <v>19.75</v>
      </c>
      <c r="P93" s="33"/>
      <c r="AU93" s="2">
        <v>2193</v>
      </c>
      <c r="AV93" s="2">
        <v>19.899999999999999</v>
      </c>
      <c r="AW93" s="2">
        <v>25.9</v>
      </c>
    </row>
    <row r="94" spans="1:49" x14ac:dyDescent="0.3">
      <c r="A94" s="4" t="s">
        <v>18</v>
      </c>
      <c r="B94" s="4" t="s">
        <v>40</v>
      </c>
      <c r="C94" s="2">
        <v>44</v>
      </c>
      <c r="D94" s="2">
        <v>2</v>
      </c>
      <c r="E94" s="2">
        <v>3</v>
      </c>
      <c r="F94" s="2">
        <v>7</v>
      </c>
      <c r="G94" s="2">
        <v>5.0999999999999996</v>
      </c>
      <c r="H94" s="2">
        <v>24.6</v>
      </c>
      <c r="I94" s="2">
        <v>19.600000000000001</v>
      </c>
      <c r="J94" s="2">
        <v>25.9</v>
      </c>
      <c r="K94" s="2">
        <v>2193</v>
      </c>
      <c r="L94" s="5" t="s">
        <v>11</v>
      </c>
      <c r="M94" s="5">
        <v>10</v>
      </c>
      <c r="N94" s="40"/>
      <c r="O94" s="42"/>
      <c r="P94" s="33"/>
      <c r="AU94" s="2">
        <v>2193</v>
      </c>
      <c r="AV94" s="2">
        <v>19.600000000000001</v>
      </c>
      <c r="AW94" s="2">
        <v>25.9</v>
      </c>
    </row>
    <row r="95" spans="1:49" x14ac:dyDescent="0.3">
      <c r="A95" s="4" t="s">
        <v>18</v>
      </c>
      <c r="B95" s="4" t="s">
        <v>41</v>
      </c>
      <c r="C95" s="2">
        <v>19</v>
      </c>
      <c r="D95" s="2">
        <v>0</v>
      </c>
      <c r="E95" s="2">
        <v>1</v>
      </c>
      <c r="F95" s="2">
        <v>3</v>
      </c>
      <c r="G95" s="2">
        <v>5.4</v>
      </c>
      <c r="H95" s="2">
        <v>25.8</v>
      </c>
      <c r="I95" s="2">
        <v>20.2</v>
      </c>
      <c r="J95" s="2">
        <v>22.1</v>
      </c>
      <c r="K95" s="2">
        <v>2088</v>
      </c>
      <c r="L95" s="5" t="s">
        <v>11</v>
      </c>
      <c r="M95" s="5">
        <v>13</v>
      </c>
      <c r="N95" s="40">
        <v>2088</v>
      </c>
      <c r="O95" s="40">
        <f>AVERAGE(I95:I96)</f>
        <v>20.45</v>
      </c>
      <c r="P95" s="33"/>
      <c r="AU95" s="2">
        <v>2088</v>
      </c>
      <c r="AV95" s="2">
        <v>20.2</v>
      </c>
      <c r="AW95" s="2">
        <v>22.1</v>
      </c>
    </row>
    <row r="96" spans="1:49" x14ac:dyDescent="0.3">
      <c r="A96" s="4" t="s">
        <v>18</v>
      </c>
      <c r="B96" s="4" t="s">
        <v>41</v>
      </c>
      <c r="C96" s="2">
        <v>13</v>
      </c>
      <c r="D96" s="2">
        <v>0</v>
      </c>
      <c r="E96" s="2">
        <v>0</v>
      </c>
      <c r="F96" s="2">
        <v>2</v>
      </c>
      <c r="G96" s="2">
        <v>5.0999999999999996</v>
      </c>
      <c r="H96" s="2">
        <v>26.9</v>
      </c>
      <c r="I96" s="2">
        <v>20.7</v>
      </c>
      <c r="J96" s="2">
        <v>22.1</v>
      </c>
      <c r="K96" s="2">
        <v>2088</v>
      </c>
      <c r="L96" s="5" t="s">
        <v>11</v>
      </c>
      <c r="M96" s="5">
        <v>13</v>
      </c>
      <c r="N96" s="40"/>
      <c r="O96" s="40"/>
      <c r="P96" s="33"/>
      <c r="AU96" s="2">
        <v>2088</v>
      </c>
      <c r="AV96" s="2">
        <v>20.7</v>
      </c>
      <c r="AW96" s="2">
        <v>22.1</v>
      </c>
    </row>
    <row r="97" spans="1:49" x14ac:dyDescent="0.3">
      <c r="A97" s="4" t="s">
        <v>18</v>
      </c>
      <c r="B97" s="4" t="s">
        <v>42</v>
      </c>
      <c r="C97" s="2">
        <v>130</v>
      </c>
      <c r="D97" s="2">
        <v>6</v>
      </c>
      <c r="E97" s="2">
        <v>9</v>
      </c>
      <c r="F97" s="2">
        <v>20</v>
      </c>
      <c r="G97" s="2">
        <v>5.2</v>
      </c>
      <c r="H97" s="2">
        <v>19.7</v>
      </c>
      <c r="I97" s="2">
        <v>19.3</v>
      </c>
      <c r="J97" s="2">
        <v>20.3</v>
      </c>
      <c r="K97" s="2">
        <v>1894</v>
      </c>
      <c r="L97" s="5" t="s">
        <v>11</v>
      </c>
      <c r="M97" s="5">
        <v>12</v>
      </c>
      <c r="N97" s="40">
        <v>1894</v>
      </c>
      <c r="O97" s="40">
        <f>AVERAGE(I97:I98)</f>
        <v>19.700000000000003</v>
      </c>
      <c r="P97" s="33"/>
      <c r="AU97" s="2">
        <v>1894</v>
      </c>
      <c r="AV97" s="2">
        <v>19.3</v>
      </c>
      <c r="AW97" s="2">
        <v>20.3</v>
      </c>
    </row>
    <row r="98" spans="1:49" x14ac:dyDescent="0.3">
      <c r="A98" s="4" t="s">
        <v>18</v>
      </c>
      <c r="B98" s="4" t="s">
        <v>42</v>
      </c>
      <c r="C98" s="2">
        <v>24</v>
      </c>
      <c r="D98" s="2">
        <v>1</v>
      </c>
      <c r="E98" s="2">
        <v>1</v>
      </c>
      <c r="F98" s="2">
        <v>3</v>
      </c>
      <c r="G98" s="2">
        <v>5.7</v>
      </c>
      <c r="H98" s="2">
        <v>23.2</v>
      </c>
      <c r="I98" s="2">
        <v>20.100000000000001</v>
      </c>
      <c r="J98" s="2">
        <v>20.3</v>
      </c>
      <c r="K98" s="2">
        <v>1894</v>
      </c>
      <c r="L98" s="5" t="s">
        <v>11</v>
      </c>
      <c r="M98" s="5">
        <v>12</v>
      </c>
      <c r="N98" s="40"/>
      <c r="O98" s="40"/>
      <c r="P98" s="33"/>
      <c r="AU98" s="2">
        <v>1894</v>
      </c>
      <c r="AV98" s="2">
        <v>20.100000000000001</v>
      </c>
      <c r="AW98" s="2">
        <v>20.3</v>
      </c>
    </row>
    <row r="99" spans="1:49" x14ac:dyDescent="0.3">
      <c r="A99" s="4" t="s">
        <v>18</v>
      </c>
      <c r="B99" s="4" t="s">
        <v>41</v>
      </c>
      <c r="C99" s="2">
        <v>43</v>
      </c>
      <c r="D99" s="2">
        <v>2</v>
      </c>
      <c r="E99" s="2">
        <v>3</v>
      </c>
      <c r="F99" s="2">
        <v>6</v>
      </c>
      <c r="G99" s="2">
        <v>6.3</v>
      </c>
      <c r="H99" s="2">
        <v>27.4</v>
      </c>
      <c r="I99" s="2">
        <v>20.100000000000001</v>
      </c>
      <c r="J99" s="2">
        <v>29.7</v>
      </c>
      <c r="K99" s="2">
        <v>1709</v>
      </c>
      <c r="L99" s="5" t="s">
        <v>11</v>
      </c>
      <c r="M99" s="5">
        <v>15</v>
      </c>
      <c r="N99" s="40">
        <v>1709</v>
      </c>
      <c r="O99" s="40">
        <f>AVERAGE(I99:I100)</f>
        <v>20.75</v>
      </c>
      <c r="P99" s="33"/>
      <c r="AU99" s="2">
        <v>1709</v>
      </c>
      <c r="AV99" s="2">
        <v>20.100000000000001</v>
      </c>
      <c r="AW99" s="2">
        <v>29.7</v>
      </c>
    </row>
    <row r="100" spans="1:49" x14ac:dyDescent="0.3">
      <c r="A100" s="4" t="s">
        <v>18</v>
      </c>
      <c r="B100" s="4" t="s">
        <v>41</v>
      </c>
      <c r="C100" s="2">
        <v>54</v>
      </c>
      <c r="D100" s="2">
        <v>2</v>
      </c>
      <c r="E100" s="2">
        <v>3</v>
      </c>
      <c r="F100" s="2">
        <v>8</v>
      </c>
      <c r="G100" s="2">
        <v>5.5</v>
      </c>
      <c r="H100" s="2">
        <v>22.2</v>
      </c>
      <c r="I100" s="2">
        <v>21.4</v>
      </c>
      <c r="J100" s="2">
        <v>29.7</v>
      </c>
      <c r="K100" s="2">
        <v>1709</v>
      </c>
      <c r="L100" s="5" t="s">
        <v>11</v>
      </c>
      <c r="M100" s="5">
        <v>15</v>
      </c>
      <c r="N100" s="40"/>
      <c r="O100" s="40"/>
      <c r="P100" s="33"/>
      <c r="AU100" s="2">
        <v>1709</v>
      </c>
      <c r="AV100" s="2">
        <v>21.4</v>
      </c>
      <c r="AW100" s="2">
        <v>29.7</v>
      </c>
    </row>
    <row r="101" spans="1:49" x14ac:dyDescent="0.3">
      <c r="A101" s="4" t="s">
        <v>18</v>
      </c>
      <c r="B101" s="4" t="s">
        <v>41</v>
      </c>
      <c r="C101" s="2">
        <v>49</v>
      </c>
      <c r="D101" s="2">
        <v>2</v>
      </c>
      <c r="E101" s="2">
        <v>3</v>
      </c>
      <c r="F101" s="2">
        <v>7</v>
      </c>
      <c r="G101" s="2">
        <v>5.5</v>
      </c>
      <c r="H101" s="2">
        <v>19.3</v>
      </c>
      <c r="I101" s="2">
        <v>23.5</v>
      </c>
      <c r="J101" s="2">
        <v>27</v>
      </c>
      <c r="K101" s="2">
        <v>1597</v>
      </c>
      <c r="L101" s="5" t="s">
        <v>11</v>
      </c>
      <c r="M101" s="5">
        <v>18</v>
      </c>
      <c r="N101" s="40">
        <v>1597</v>
      </c>
      <c r="O101" s="40">
        <f>AVERAGE(I101:I102)</f>
        <v>23.1</v>
      </c>
      <c r="P101" s="33"/>
      <c r="AU101" s="2">
        <v>1597</v>
      </c>
      <c r="AV101" s="2">
        <v>23.5</v>
      </c>
      <c r="AW101" s="2">
        <v>27</v>
      </c>
    </row>
    <row r="102" spans="1:49" x14ac:dyDescent="0.3">
      <c r="A102" s="4" t="s">
        <v>18</v>
      </c>
      <c r="B102" s="4" t="s">
        <v>41</v>
      </c>
      <c r="C102" s="2">
        <v>32</v>
      </c>
      <c r="D102" s="2">
        <v>1</v>
      </c>
      <c r="E102" s="2">
        <v>2</v>
      </c>
      <c r="F102" s="2">
        <v>5</v>
      </c>
      <c r="G102" s="2">
        <v>5.8</v>
      </c>
      <c r="H102" s="2">
        <v>29.3</v>
      </c>
      <c r="I102" s="2">
        <v>22.7</v>
      </c>
      <c r="J102" s="2">
        <v>27</v>
      </c>
      <c r="K102" s="2">
        <v>1597</v>
      </c>
      <c r="L102" s="5" t="s">
        <v>11</v>
      </c>
      <c r="M102" s="5">
        <v>18</v>
      </c>
      <c r="N102" s="40"/>
      <c r="O102" s="40"/>
      <c r="P102" s="33"/>
      <c r="U102" t="s">
        <v>74</v>
      </c>
      <c r="AU102" s="2">
        <v>1597</v>
      </c>
      <c r="AV102" s="2">
        <v>22.7</v>
      </c>
      <c r="AW102" s="2">
        <v>27</v>
      </c>
    </row>
    <row r="103" spans="1:49" x14ac:dyDescent="0.3">
      <c r="A103" s="4" t="s">
        <v>18</v>
      </c>
      <c r="B103" s="4" t="s">
        <v>43</v>
      </c>
      <c r="C103" s="2">
        <v>34</v>
      </c>
      <c r="D103" s="2">
        <v>1</v>
      </c>
      <c r="E103" s="2">
        <v>2</v>
      </c>
      <c r="F103" s="2">
        <v>5</v>
      </c>
      <c r="G103" s="2">
        <v>5.5</v>
      </c>
      <c r="H103" s="2">
        <v>25.7</v>
      </c>
      <c r="I103" s="2">
        <v>20.6</v>
      </c>
      <c r="J103" s="2">
        <v>26</v>
      </c>
      <c r="K103" s="2">
        <v>1866</v>
      </c>
      <c r="L103" s="5" t="s">
        <v>11</v>
      </c>
      <c r="M103" s="5">
        <v>20</v>
      </c>
      <c r="N103" s="40">
        <v>1866</v>
      </c>
      <c r="O103" s="40">
        <f>AVERAGE(I103:I104)</f>
        <v>20.8</v>
      </c>
      <c r="P103" s="33"/>
      <c r="AU103" s="2">
        <v>1866</v>
      </c>
      <c r="AV103" s="2">
        <v>20.6</v>
      </c>
      <c r="AW103" s="2">
        <v>26</v>
      </c>
    </row>
    <row r="104" spans="1:49" x14ac:dyDescent="0.3">
      <c r="A104" s="4" t="s">
        <v>18</v>
      </c>
      <c r="B104" s="4" t="s">
        <v>43</v>
      </c>
      <c r="C104" s="2">
        <v>6</v>
      </c>
      <c r="D104" s="2">
        <v>0</v>
      </c>
      <c r="E104" s="2">
        <v>0</v>
      </c>
      <c r="F104" s="2">
        <v>0</v>
      </c>
      <c r="G104" s="2">
        <v>5.9</v>
      </c>
      <c r="H104" s="2">
        <v>22.1</v>
      </c>
      <c r="I104" s="2">
        <v>21</v>
      </c>
      <c r="J104" s="2">
        <v>26</v>
      </c>
      <c r="K104" s="2">
        <v>1866</v>
      </c>
      <c r="L104" s="5" t="s">
        <v>11</v>
      </c>
      <c r="M104" s="5">
        <v>20</v>
      </c>
      <c r="N104" s="40"/>
      <c r="O104" s="40"/>
      <c r="P104" s="33"/>
      <c r="AU104" s="2">
        <v>1866</v>
      </c>
      <c r="AV104" s="2">
        <v>21</v>
      </c>
      <c r="AW104" s="2">
        <v>26</v>
      </c>
    </row>
    <row r="105" spans="1:49" x14ac:dyDescent="0.3">
      <c r="A105" s="4" t="s">
        <v>18</v>
      </c>
      <c r="B105" s="4" t="s">
        <v>43</v>
      </c>
      <c r="C105" s="2">
        <v>27</v>
      </c>
      <c r="D105" s="2">
        <v>1</v>
      </c>
      <c r="E105" s="2">
        <v>1</v>
      </c>
      <c r="F105" s="2">
        <v>4</v>
      </c>
      <c r="G105" s="2">
        <v>5.4</v>
      </c>
      <c r="H105" s="2">
        <v>30</v>
      </c>
      <c r="I105" s="2">
        <v>18.899999999999999</v>
      </c>
      <c r="J105" s="2">
        <v>26</v>
      </c>
      <c r="K105" s="2">
        <v>1870</v>
      </c>
      <c r="L105" s="5" t="s">
        <v>11</v>
      </c>
      <c r="M105" s="5">
        <v>20</v>
      </c>
      <c r="N105" s="40">
        <v>1870</v>
      </c>
      <c r="O105" s="40">
        <f>AVERAGE(I105:I106)</f>
        <v>19</v>
      </c>
      <c r="P105" s="33"/>
      <c r="AU105" s="2">
        <v>1870</v>
      </c>
      <c r="AV105" s="2">
        <v>18.899999999999999</v>
      </c>
      <c r="AW105" s="2">
        <v>26</v>
      </c>
    </row>
    <row r="106" spans="1:49" x14ac:dyDescent="0.3">
      <c r="A106" s="4" t="s">
        <v>18</v>
      </c>
      <c r="B106" s="4" t="s">
        <v>43</v>
      </c>
      <c r="C106" s="2">
        <v>32</v>
      </c>
      <c r="D106" s="2">
        <v>1</v>
      </c>
      <c r="E106" s="2">
        <v>2</v>
      </c>
      <c r="F106" s="2">
        <v>5</v>
      </c>
      <c r="G106" s="2">
        <v>5.4</v>
      </c>
      <c r="H106" s="2">
        <v>25.8</v>
      </c>
      <c r="I106" s="2">
        <v>19.100000000000001</v>
      </c>
      <c r="J106" s="2">
        <v>26</v>
      </c>
      <c r="K106" s="2">
        <v>1870</v>
      </c>
      <c r="L106" s="5" t="s">
        <v>11</v>
      </c>
      <c r="M106" s="5">
        <v>20</v>
      </c>
      <c r="N106" s="40"/>
      <c r="O106" s="40"/>
      <c r="P106" s="34"/>
      <c r="AU106" s="2">
        <v>1870</v>
      </c>
      <c r="AV106" s="2">
        <v>19.100000000000001</v>
      </c>
      <c r="AW106" s="2">
        <v>26</v>
      </c>
    </row>
    <row r="107" spans="1:49" x14ac:dyDescent="0.3">
      <c r="A107" s="4" t="s">
        <v>19</v>
      </c>
      <c r="B107" s="4" t="s">
        <v>44</v>
      </c>
      <c r="C107" s="2">
        <v>19</v>
      </c>
      <c r="D107" s="2">
        <v>1</v>
      </c>
      <c r="E107" s="2">
        <v>30</v>
      </c>
      <c r="F107" s="2">
        <v>2</v>
      </c>
      <c r="G107" s="2">
        <v>6.3</v>
      </c>
      <c r="H107" s="2">
        <v>15.2</v>
      </c>
      <c r="I107" s="2">
        <v>34.1</v>
      </c>
      <c r="J107" s="2">
        <v>32.6</v>
      </c>
      <c r="K107" s="2">
        <v>1763</v>
      </c>
      <c r="L107" s="5" t="s">
        <v>11</v>
      </c>
      <c r="M107" s="5">
        <v>7</v>
      </c>
      <c r="N107" s="40">
        <v>1763</v>
      </c>
      <c r="O107" s="40">
        <f>AVERAGE(I107:I108)</f>
        <v>35.950000000000003</v>
      </c>
      <c r="P107" s="32">
        <v>47853.8</v>
      </c>
      <c r="AU107" s="2">
        <v>1763</v>
      </c>
      <c r="AV107" s="2">
        <v>34.1</v>
      </c>
      <c r="AW107" s="2">
        <v>32.6</v>
      </c>
    </row>
    <row r="108" spans="1:49" x14ac:dyDescent="0.3">
      <c r="A108" s="4" t="s">
        <v>19</v>
      </c>
      <c r="B108" s="4" t="s">
        <v>44</v>
      </c>
      <c r="C108" s="2">
        <v>0</v>
      </c>
      <c r="D108" s="2">
        <v>0</v>
      </c>
      <c r="E108" s="2">
        <v>0</v>
      </c>
      <c r="F108" s="2">
        <v>0</v>
      </c>
      <c r="G108" s="2">
        <v>7</v>
      </c>
      <c r="H108" s="2">
        <v>13.9</v>
      </c>
      <c r="I108" s="2">
        <v>37.799999999999997</v>
      </c>
      <c r="J108" s="2">
        <v>32.6</v>
      </c>
      <c r="K108" s="2">
        <v>1763</v>
      </c>
      <c r="L108" s="5" t="s">
        <v>11</v>
      </c>
      <c r="M108" s="5">
        <v>7</v>
      </c>
      <c r="N108" s="40"/>
      <c r="O108" s="40"/>
      <c r="P108" s="33"/>
      <c r="AU108" s="2">
        <v>1763</v>
      </c>
      <c r="AV108" s="2">
        <v>37.799999999999997</v>
      </c>
      <c r="AW108" s="2">
        <v>32.6</v>
      </c>
    </row>
    <row r="109" spans="1:49" x14ac:dyDescent="0.3">
      <c r="A109" s="4" t="s">
        <v>19</v>
      </c>
      <c r="B109" s="4" t="s">
        <v>44</v>
      </c>
      <c r="C109" s="2">
        <v>0</v>
      </c>
      <c r="D109" s="2">
        <v>0</v>
      </c>
      <c r="E109" s="2">
        <v>0</v>
      </c>
      <c r="F109" s="2">
        <v>0</v>
      </c>
      <c r="G109" s="2">
        <v>6.2</v>
      </c>
      <c r="H109" s="2">
        <v>22.3</v>
      </c>
      <c r="I109" s="2">
        <v>30.3</v>
      </c>
      <c r="J109" s="2">
        <v>34.5</v>
      </c>
      <c r="K109" s="2">
        <v>1816</v>
      </c>
      <c r="L109" s="5" t="s">
        <v>11</v>
      </c>
      <c r="M109" s="5">
        <v>26</v>
      </c>
      <c r="N109" s="40">
        <v>1816</v>
      </c>
      <c r="O109" s="40">
        <f>AVERAGE(I109:I110)</f>
        <v>29.35</v>
      </c>
      <c r="P109" s="33"/>
      <c r="AU109" s="2">
        <v>1816</v>
      </c>
      <c r="AV109" s="2">
        <v>30.3</v>
      </c>
      <c r="AW109" s="2">
        <v>34.5</v>
      </c>
    </row>
    <row r="110" spans="1:49" x14ac:dyDescent="0.3">
      <c r="A110" s="4" t="s">
        <v>19</v>
      </c>
      <c r="B110" s="4" t="s">
        <v>44</v>
      </c>
      <c r="C110" s="2">
        <v>6</v>
      </c>
      <c r="D110" s="2">
        <v>0</v>
      </c>
      <c r="E110" s="2">
        <v>0</v>
      </c>
      <c r="F110" s="2">
        <v>0</v>
      </c>
      <c r="G110" s="2">
        <v>6.3</v>
      </c>
      <c r="H110" s="2">
        <v>23.4</v>
      </c>
      <c r="I110" s="2">
        <v>28.4</v>
      </c>
      <c r="J110" s="2">
        <v>34.5</v>
      </c>
      <c r="K110" s="2">
        <v>1816</v>
      </c>
      <c r="L110" s="5" t="s">
        <v>11</v>
      </c>
      <c r="M110" s="5">
        <v>26</v>
      </c>
      <c r="N110" s="40"/>
      <c r="O110" s="40"/>
      <c r="P110" s="33"/>
      <c r="AU110" s="2">
        <v>1816</v>
      </c>
      <c r="AV110" s="2">
        <v>28.4</v>
      </c>
      <c r="AW110" s="2">
        <v>34.5</v>
      </c>
    </row>
    <row r="111" spans="1:49" x14ac:dyDescent="0.3">
      <c r="A111" s="4" t="s">
        <v>19</v>
      </c>
      <c r="B111" s="4" t="s">
        <v>45</v>
      </c>
      <c r="C111" s="2">
        <v>38</v>
      </c>
      <c r="D111" s="2">
        <v>1</v>
      </c>
      <c r="E111" s="2">
        <v>2</v>
      </c>
      <c r="F111" s="2">
        <v>6</v>
      </c>
      <c r="G111" s="2">
        <v>6.2</v>
      </c>
      <c r="H111" s="2">
        <v>18.7</v>
      </c>
      <c r="I111" s="2">
        <v>18.2</v>
      </c>
      <c r="J111" s="2">
        <v>30</v>
      </c>
      <c r="K111" s="2">
        <v>2257</v>
      </c>
      <c r="L111" s="5" t="s">
        <v>11</v>
      </c>
      <c r="M111" s="5">
        <v>15</v>
      </c>
      <c r="N111" s="40">
        <v>2257</v>
      </c>
      <c r="O111" s="40">
        <f>AVERAGE(I111:I112)</f>
        <v>18.5</v>
      </c>
      <c r="P111" s="33"/>
      <c r="AU111" s="2">
        <v>2257</v>
      </c>
      <c r="AV111" s="2">
        <v>18.2</v>
      </c>
      <c r="AW111" s="2">
        <v>30</v>
      </c>
    </row>
    <row r="112" spans="1:49" x14ac:dyDescent="0.3">
      <c r="A112" s="4" t="s">
        <v>19</v>
      </c>
      <c r="B112" s="4" t="s">
        <v>45</v>
      </c>
      <c r="C112" s="2">
        <v>12</v>
      </c>
      <c r="D112" s="2">
        <v>0</v>
      </c>
      <c r="E112" s="2">
        <v>0</v>
      </c>
      <c r="F112" s="2">
        <v>1</v>
      </c>
      <c r="G112" s="2">
        <v>6.4</v>
      </c>
      <c r="H112" s="2">
        <v>25.9</v>
      </c>
      <c r="I112" s="2">
        <v>18.8</v>
      </c>
      <c r="J112" s="2">
        <v>30</v>
      </c>
      <c r="K112" s="2">
        <v>2257</v>
      </c>
      <c r="L112" s="5" t="s">
        <v>11</v>
      </c>
      <c r="M112" s="5">
        <v>15</v>
      </c>
      <c r="N112" s="40"/>
      <c r="O112" s="40"/>
      <c r="P112" s="33"/>
      <c r="AU112" s="2">
        <v>2257</v>
      </c>
      <c r="AV112" s="2">
        <v>18.8</v>
      </c>
      <c r="AW112" s="2">
        <v>30</v>
      </c>
    </row>
    <row r="113" spans="1:49" x14ac:dyDescent="0.3">
      <c r="A113" s="4" t="s">
        <v>19</v>
      </c>
      <c r="B113" s="4" t="s">
        <v>45</v>
      </c>
      <c r="C113" s="2">
        <v>54</v>
      </c>
      <c r="D113" s="2">
        <v>2</v>
      </c>
      <c r="E113" s="2">
        <v>3</v>
      </c>
      <c r="F113" s="2">
        <v>8</v>
      </c>
      <c r="G113" s="2">
        <v>6.2</v>
      </c>
      <c r="H113" s="2">
        <v>24.4</v>
      </c>
      <c r="I113" s="2">
        <v>19</v>
      </c>
      <c r="J113" s="2">
        <v>30</v>
      </c>
      <c r="K113" s="2">
        <v>2239</v>
      </c>
      <c r="L113" s="5" t="s">
        <v>11</v>
      </c>
      <c r="M113" s="5">
        <v>15</v>
      </c>
      <c r="N113" s="40">
        <v>2239</v>
      </c>
      <c r="O113" s="40">
        <f>AVERAGE(I113:I114)</f>
        <v>19.25</v>
      </c>
      <c r="P113" s="33"/>
      <c r="AU113" s="2">
        <v>2239</v>
      </c>
      <c r="AV113" s="2">
        <v>19</v>
      </c>
      <c r="AW113" s="2">
        <v>30</v>
      </c>
    </row>
    <row r="114" spans="1:49" x14ac:dyDescent="0.3">
      <c r="A114" s="4" t="s">
        <v>19</v>
      </c>
      <c r="B114" s="4" t="s">
        <v>45</v>
      </c>
      <c r="C114" s="2">
        <v>46</v>
      </c>
      <c r="D114" s="2">
        <v>2</v>
      </c>
      <c r="E114" s="2">
        <v>3</v>
      </c>
      <c r="F114" s="2">
        <v>7</v>
      </c>
      <c r="G114" s="2">
        <v>6.1</v>
      </c>
      <c r="H114" s="2">
        <v>23.5</v>
      </c>
      <c r="I114" s="2">
        <v>19.5</v>
      </c>
      <c r="J114" s="2">
        <v>30</v>
      </c>
      <c r="K114" s="2">
        <v>2239</v>
      </c>
      <c r="L114" s="5" t="s">
        <v>11</v>
      </c>
      <c r="M114" s="5">
        <v>15</v>
      </c>
      <c r="N114" s="40"/>
      <c r="O114" s="40"/>
      <c r="P114" s="33"/>
      <c r="AU114" s="2">
        <v>2239</v>
      </c>
      <c r="AV114" s="2">
        <v>19.5</v>
      </c>
      <c r="AW114" s="2">
        <v>30</v>
      </c>
    </row>
    <row r="115" spans="1:49" x14ac:dyDescent="0.3">
      <c r="A115" s="4" t="s">
        <v>19</v>
      </c>
      <c r="B115" s="4" t="s">
        <v>46</v>
      </c>
      <c r="C115" s="2">
        <v>29</v>
      </c>
      <c r="D115" s="2">
        <v>1</v>
      </c>
      <c r="E115" s="2">
        <v>2</v>
      </c>
      <c r="F115" s="2">
        <v>4</v>
      </c>
      <c r="G115" s="2">
        <v>5.9</v>
      </c>
      <c r="H115" s="2">
        <v>22.1</v>
      </c>
      <c r="I115" s="2">
        <v>16.899999999999999</v>
      </c>
      <c r="J115" s="2">
        <v>21</v>
      </c>
      <c r="K115" s="2">
        <v>1751</v>
      </c>
      <c r="L115" s="5" t="s">
        <v>11</v>
      </c>
      <c r="M115" s="5">
        <v>35</v>
      </c>
      <c r="N115" s="40">
        <v>1751</v>
      </c>
      <c r="O115" s="40">
        <f>AVERAGE(I115:I118)</f>
        <v>17.074999999999999</v>
      </c>
      <c r="P115" s="33"/>
      <c r="AU115" s="2">
        <v>1751</v>
      </c>
      <c r="AV115" s="2">
        <v>16.899999999999999</v>
      </c>
      <c r="AW115" s="2">
        <v>21</v>
      </c>
    </row>
    <row r="116" spans="1:49" x14ac:dyDescent="0.3">
      <c r="A116" s="4" t="s">
        <v>19</v>
      </c>
      <c r="B116" s="4" t="s">
        <v>46</v>
      </c>
      <c r="C116" s="2">
        <v>36</v>
      </c>
      <c r="D116" s="2">
        <v>1</v>
      </c>
      <c r="E116" s="2">
        <v>2</v>
      </c>
      <c r="F116" s="2">
        <v>5</v>
      </c>
      <c r="G116" s="2">
        <v>5.9</v>
      </c>
      <c r="H116" s="2">
        <v>26.9</v>
      </c>
      <c r="I116" s="2">
        <v>17</v>
      </c>
      <c r="J116" s="2">
        <v>21</v>
      </c>
      <c r="K116" s="2">
        <v>1751</v>
      </c>
      <c r="L116" s="5" t="s">
        <v>11</v>
      </c>
      <c r="M116" s="5">
        <v>35</v>
      </c>
      <c r="N116" s="40"/>
      <c r="O116" s="40"/>
      <c r="P116" s="33"/>
      <c r="AU116" s="2">
        <v>1751</v>
      </c>
      <c r="AV116" s="2">
        <v>17</v>
      </c>
      <c r="AW116" s="2">
        <v>21</v>
      </c>
    </row>
    <row r="117" spans="1:49" x14ac:dyDescent="0.3">
      <c r="A117" s="4" t="s">
        <v>19</v>
      </c>
      <c r="B117" s="4" t="s">
        <v>46</v>
      </c>
      <c r="C117" s="2">
        <v>40</v>
      </c>
      <c r="D117" s="2">
        <v>1</v>
      </c>
      <c r="E117" s="2">
        <v>2</v>
      </c>
      <c r="F117" s="2">
        <v>6</v>
      </c>
      <c r="G117" s="2">
        <v>5.5</v>
      </c>
      <c r="H117" s="2">
        <v>29.3</v>
      </c>
      <c r="I117" s="2">
        <v>17</v>
      </c>
      <c r="J117" s="2">
        <v>21</v>
      </c>
      <c r="K117" s="2">
        <v>1751</v>
      </c>
      <c r="L117" s="5" t="s">
        <v>11</v>
      </c>
      <c r="M117" s="5">
        <v>35</v>
      </c>
      <c r="N117" s="40"/>
      <c r="O117" s="40"/>
      <c r="P117" s="33"/>
      <c r="AU117" s="2">
        <v>1751</v>
      </c>
      <c r="AV117" s="2">
        <v>17</v>
      </c>
      <c r="AW117" s="2">
        <v>21</v>
      </c>
    </row>
    <row r="118" spans="1:49" x14ac:dyDescent="0.3">
      <c r="A118" s="4" t="s">
        <v>19</v>
      </c>
      <c r="B118" s="4" t="s">
        <v>46</v>
      </c>
      <c r="C118" s="2">
        <v>30</v>
      </c>
      <c r="D118" s="2">
        <v>1</v>
      </c>
      <c r="E118" s="2">
        <v>2</v>
      </c>
      <c r="F118" s="2">
        <v>4</v>
      </c>
      <c r="G118" s="2">
        <v>5.4</v>
      </c>
      <c r="H118" s="2">
        <v>33.4</v>
      </c>
      <c r="I118" s="2">
        <v>17.399999999999999</v>
      </c>
      <c r="J118" s="2">
        <v>21</v>
      </c>
      <c r="K118" s="2">
        <v>1751</v>
      </c>
      <c r="L118" s="5" t="s">
        <v>11</v>
      </c>
      <c r="M118" s="5">
        <v>35</v>
      </c>
      <c r="N118" s="40"/>
      <c r="O118" s="40"/>
      <c r="P118" s="33"/>
      <c r="AU118" s="2">
        <v>1751</v>
      </c>
      <c r="AV118" s="2">
        <v>17.399999999999999</v>
      </c>
      <c r="AW118" s="2">
        <v>21</v>
      </c>
    </row>
    <row r="119" spans="1:49" x14ac:dyDescent="0.3">
      <c r="A119" s="4" t="s">
        <v>19</v>
      </c>
      <c r="B119" s="4" t="s">
        <v>47</v>
      </c>
      <c r="C119" s="2">
        <v>20</v>
      </c>
      <c r="D119" s="2">
        <v>1</v>
      </c>
      <c r="E119" s="2">
        <v>1</v>
      </c>
      <c r="F119" s="2">
        <v>3</v>
      </c>
      <c r="G119" s="2">
        <v>6.2</v>
      </c>
      <c r="H119" s="2">
        <v>15.4</v>
      </c>
      <c r="I119" s="2">
        <v>26.1</v>
      </c>
      <c r="J119" s="2">
        <v>24</v>
      </c>
      <c r="K119" s="2">
        <v>1320</v>
      </c>
      <c r="L119" s="5" t="s">
        <v>12</v>
      </c>
      <c r="M119" s="5"/>
      <c r="N119" s="40">
        <v>1320</v>
      </c>
      <c r="O119" s="40">
        <f>AVERAGE(I119:I122)</f>
        <v>28.975000000000001</v>
      </c>
      <c r="P119" s="33"/>
      <c r="AU119" s="2">
        <v>1320</v>
      </c>
      <c r="AV119" s="2">
        <v>26.1</v>
      </c>
      <c r="AW119" s="2">
        <v>24</v>
      </c>
    </row>
    <row r="120" spans="1:49" x14ac:dyDescent="0.3">
      <c r="A120" s="4" t="s">
        <v>19</v>
      </c>
      <c r="B120" s="4" t="s">
        <v>47</v>
      </c>
      <c r="C120" s="2">
        <v>23</v>
      </c>
      <c r="D120" s="2">
        <v>1</v>
      </c>
      <c r="E120" s="2">
        <v>1</v>
      </c>
      <c r="F120" s="2">
        <v>3</v>
      </c>
      <c r="G120" s="2">
        <v>6.5</v>
      </c>
      <c r="H120" s="2">
        <v>19.2</v>
      </c>
      <c r="I120" s="2">
        <v>27</v>
      </c>
      <c r="J120" s="2">
        <v>24</v>
      </c>
      <c r="K120" s="2">
        <v>1320</v>
      </c>
      <c r="L120" s="5" t="s">
        <v>12</v>
      </c>
      <c r="M120" s="5"/>
      <c r="N120" s="40"/>
      <c r="O120" s="40"/>
      <c r="P120" s="33"/>
      <c r="AU120" s="2">
        <v>1320</v>
      </c>
      <c r="AV120" s="2">
        <v>27</v>
      </c>
      <c r="AW120" s="2">
        <v>24</v>
      </c>
    </row>
    <row r="121" spans="1:49" x14ac:dyDescent="0.3">
      <c r="A121" s="4" t="s">
        <v>19</v>
      </c>
      <c r="B121" s="4" t="s">
        <v>47</v>
      </c>
      <c r="C121" s="2">
        <v>19</v>
      </c>
      <c r="D121" s="2">
        <v>0</v>
      </c>
      <c r="E121" s="2">
        <v>1</v>
      </c>
      <c r="F121" s="2">
        <v>3</v>
      </c>
      <c r="G121" s="2">
        <v>5.2</v>
      </c>
      <c r="H121" s="2">
        <v>14.5</v>
      </c>
      <c r="I121" s="2">
        <v>31.4</v>
      </c>
      <c r="J121" s="2">
        <v>24</v>
      </c>
      <c r="K121" s="2">
        <v>1320</v>
      </c>
      <c r="L121" s="5" t="s">
        <v>12</v>
      </c>
      <c r="M121" s="5"/>
      <c r="N121" s="40"/>
      <c r="O121" s="40"/>
      <c r="P121" s="33"/>
      <c r="AU121" s="2">
        <v>1320</v>
      </c>
      <c r="AV121" s="2">
        <v>31.4</v>
      </c>
      <c r="AW121" s="2">
        <v>24</v>
      </c>
    </row>
    <row r="122" spans="1:49" x14ac:dyDescent="0.3">
      <c r="A122" s="4" t="s">
        <v>19</v>
      </c>
      <c r="B122" s="4" t="s">
        <v>47</v>
      </c>
      <c r="C122" s="2">
        <v>20</v>
      </c>
      <c r="D122" s="2">
        <v>1</v>
      </c>
      <c r="E122" s="2">
        <v>1</v>
      </c>
      <c r="F122" s="2">
        <v>3</v>
      </c>
      <c r="G122" s="2">
        <v>6.2</v>
      </c>
      <c r="H122" s="2">
        <v>19</v>
      </c>
      <c r="I122" s="2">
        <v>31.4</v>
      </c>
      <c r="J122" s="2">
        <v>24</v>
      </c>
      <c r="K122" s="2">
        <v>1320</v>
      </c>
      <c r="L122" s="5" t="s">
        <v>12</v>
      </c>
      <c r="M122" s="5"/>
      <c r="N122" s="40"/>
      <c r="O122" s="40"/>
      <c r="P122" s="33"/>
      <c r="AU122" s="2">
        <v>1320</v>
      </c>
      <c r="AV122" s="2">
        <v>31.4</v>
      </c>
      <c r="AW122" s="2">
        <v>24</v>
      </c>
    </row>
    <row r="123" spans="1:49" x14ac:dyDescent="0.3">
      <c r="A123" s="4" t="s">
        <v>19</v>
      </c>
      <c r="B123" s="4" t="s">
        <v>48</v>
      </c>
      <c r="C123" s="2">
        <v>55</v>
      </c>
      <c r="D123" s="2">
        <v>2</v>
      </c>
      <c r="E123" s="2">
        <v>3</v>
      </c>
      <c r="F123" s="2">
        <v>8</v>
      </c>
      <c r="G123" s="2">
        <v>6.1</v>
      </c>
      <c r="H123" s="2">
        <v>38.4</v>
      </c>
      <c r="I123" s="2">
        <v>26.3</v>
      </c>
      <c r="J123" s="2">
        <v>27.1</v>
      </c>
      <c r="K123" s="2">
        <v>1485</v>
      </c>
      <c r="L123" s="5" t="s">
        <v>11</v>
      </c>
      <c r="M123" s="5">
        <v>18</v>
      </c>
      <c r="N123" s="40">
        <v>1485</v>
      </c>
      <c r="O123" s="40">
        <f>AVERAGE(I123:I124)</f>
        <v>24.950000000000003</v>
      </c>
      <c r="P123" s="33"/>
      <c r="AU123" s="2">
        <v>1485</v>
      </c>
      <c r="AV123" s="2">
        <v>26.3</v>
      </c>
      <c r="AW123" s="2">
        <v>27.1</v>
      </c>
    </row>
    <row r="124" spans="1:49" x14ac:dyDescent="0.3">
      <c r="A124" s="4" t="s">
        <v>19</v>
      </c>
      <c r="B124" s="4" t="s">
        <v>48</v>
      </c>
      <c r="C124" s="2">
        <v>15</v>
      </c>
      <c r="D124" s="2">
        <v>0</v>
      </c>
      <c r="E124" s="2">
        <v>1</v>
      </c>
      <c r="F124" s="2">
        <v>2</v>
      </c>
      <c r="G124" s="2">
        <v>6.1</v>
      </c>
      <c r="H124" s="2">
        <v>36.6</v>
      </c>
      <c r="I124" s="2">
        <v>23.6</v>
      </c>
      <c r="J124" s="2">
        <v>27.1</v>
      </c>
      <c r="K124" s="2">
        <v>1485</v>
      </c>
      <c r="L124" s="5" t="s">
        <v>11</v>
      </c>
      <c r="M124" s="5">
        <v>18</v>
      </c>
      <c r="N124" s="40"/>
      <c r="O124" s="40"/>
      <c r="P124" s="33"/>
      <c r="AU124" s="2">
        <v>1485</v>
      </c>
      <c r="AV124" s="2">
        <v>23.6</v>
      </c>
      <c r="AW124" s="2">
        <v>27.1</v>
      </c>
    </row>
    <row r="125" spans="1:49" x14ac:dyDescent="0.3">
      <c r="A125" s="4" t="s">
        <v>19</v>
      </c>
      <c r="B125" s="4" t="s">
        <v>48</v>
      </c>
      <c r="C125" s="2">
        <v>45</v>
      </c>
      <c r="D125" s="2">
        <v>2</v>
      </c>
      <c r="E125" s="2">
        <v>3</v>
      </c>
      <c r="F125" s="2">
        <v>7</v>
      </c>
      <c r="G125" s="2">
        <v>6.2</v>
      </c>
      <c r="H125" s="2">
        <v>31.3</v>
      </c>
      <c r="I125" s="2">
        <v>22.3</v>
      </c>
      <c r="J125" s="2">
        <v>26.8</v>
      </c>
      <c r="K125" s="2">
        <v>1406</v>
      </c>
      <c r="L125" s="5" t="s">
        <v>11</v>
      </c>
      <c r="M125" s="5">
        <v>18</v>
      </c>
      <c r="N125" s="40">
        <v>1406</v>
      </c>
      <c r="O125" s="40">
        <f>AVERAGE(I125:I126)</f>
        <v>23.75</v>
      </c>
      <c r="P125" s="33"/>
      <c r="AU125" s="2">
        <v>1406</v>
      </c>
      <c r="AV125" s="2">
        <v>22.3</v>
      </c>
      <c r="AW125" s="2">
        <v>26.8</v>
      </c>
    </row>
    <row r="126" spans="1:49" x14ac:dyDescent="0.3">
      <c r="A126" s="4" t="s">
        <v>19</v>
      </c>
      <c r="B126" s="4" t="s">
        <v>48</v>
      </c>
      <c r="C126" s="2">
        <v>81</v>
      </c>
      <c r="D126" s="2">
        <v>4</v>
      </c>
      <c r="E126" s="2">
        <v>5</v>
      </c>
      <c r="F126" s="2">
        <v>12</v>
      </c>
      <c r="G126" s="2">
        <v>5.8</v>
      </c>
      <c r="H126" s="2">
        <v>30</v>
      </c>
      <c r="I126" s="2">
        <v>25.2</v>
      </c>
      <c r="J126" s="2">
        <v>26.8</v>
      </c>
      <c r="K126" s="2">
        <v>1406</v>
      </c>
      <c r="L126" s="5" t="s">
        <v>11</v>
      </c>
      <c r="M126" s="5">
        <v>18</v>
      </c>
      <c r="N126" s="40"/>
      <c r="O126" s="40"/>
      <c r="P126" s="33"/>
      <c r="AU126" s="2">
        <v>1406</v>
      </c>
      <c r="AV126" s="2">
        <v>25.2</v>
      </c>
      <c r="AW126" s="2">
        <v>26.8</v>
      </c>
    </row>
    <row r="127" spans="1:49" x14ac:dyDescent="0.3">
      <c r="A127" s="4" t="s">
        <v>19</v>
      </c>
      <c r="B127" s="4" t="s">
        <v>48</v>
      </c>
      <c r="C127" s="2">
        <v>18</v>
      </c>
      <c r="D127" s="2">
        <v>0</v>
      </c>
      <c r="E127" s="2">
        <v>1</v>
      </c>
      <c r="F127" s="2">
        <v>2</v>
      </c>
      <c r="G127" s="2">
        <v>6.2</v>
      </c>
      <c r="H127" s="2">
        <v>32.5</v>
      </c>
      <c r="I127" s="2">
        <v>24.1</v>
      </c>
      <c r="J127" s="2">
        <v>26.2</v>
      </c>
      <c r="K127" s="2">
        <v>1382</v>
      </c>
      <c r="L127" s="5" t="s">
        <v>11</v>
      </c>
      <c r="M127" s="5">
        <v>7</v>
      </c>
      <c r="N127" s="40">
        <v>1382</v>
      </c>
      <c r="O127" s="40">
        <f>AVERAGE(I127:I128)</f>
        <v>24.450000000000003</v>
      </c>
      <c r="P127" s="33"/>
      <c r="AU127" s="2">
        <v>1382</v>
      </c>
      <c r="AV127" s="2">
        <v>24.1</v>
      </c>
      <c r="AW127" s="2">
        <v>26.2</v>
      </c>
    </row>
    <row r="128" spans="1:49" x14ac:dyDescent="0.3">
      <c r="A128" s="4" t="s">
        <v>19</v>
      </c>
      <c r="B128" s="4" t="s">
        <v>48</v>
      </c>
      <c r="C128" s="2">
        <v>24</v>
      </c>
      <c r="D128" s="2">
        <v>1</v>
      </c>
      <c r="E128" s="2">
        <v>1</v>
      </c>
      <c r="F128" s="2">
        <v>3</v>
      </c>
      <c r="G128" s="2">
        <v>6.1</v>
      </c>
      <c r="H128" s="2">
        <v>30.3</v>
      </c>
      <c r="I128" s="2">
        <v>24.8</v>
      </c>
      <c r="J128" s="2">
        <v>26.2</v>
      </c>
      <c r="K128" s="2">
        <v>1382</v>
      </c>
      <c r="L128" s="5" t="s">
        <v>11</v>
      </c>
      <c r="M128" s="5">
        <v>7</v>
      </c>
      <c r="N128" s="40"/>
      <c r="O128" s="40"/>
      <c r="P128" s="34"/>
      <c r="AU128" s="2">
        <v>1382</v>
      </c>
      <c r="AV128" s="2">
        <v>24.8</v>
      </c>
      <c r="AW128" s="2">
        <v>26.2</v>
      </c>
    </row>
    <row r="129" spans="1:49" x14ac:dyDescent="0.3">
      <c r="A129" s="4" t="s">
        <v>20</v>
      </c>
      <c r="B129" s="4" t="s">
        <v>51</v>
      </c>
      <c r="C129" s="6">
        <v>44</v>
      </c>
      <c r="D129" s="6">
        <v>2</v>
      </c>
      <c r="E129" s="6">
        <v>3</v>
      </c>
      <c r="F129" s="6">
        <v>7</v>
      </c>
      <c r="G129" s="6">
        <v>6.1</v>
      </c>
      <c r="H129" s="6">
        <v>20</v>
      </c>
      <c r="I129" s="6">
        <v>32</v>
      </c>
      <c r="J129" s="2">
        <v>26</v>
      </c>
      <c r="K129" s="2">
        <v>1170</v>
      </c>
      <c r="L129" s="5" t="s">
        <v>12</v>
      </c>
      <c r="M129" s="5"/>
      <c r="N129" s="40">
        <v>1170</v>
      </c>
      <c r="O129" s="40">
        <f>AVERAGE(I129:I132)</f>
        <v>31.824999999999999</v>
      </c>
      <c r="P129" s="32">
        <v>29198.5</v>
      </c>
      <c r="AU129" s="2">
        <v>1170</v>
      </c>
      <c r="AV129" s="6">
        <v>32</v>
      </c>
      <c r="AW129" s="2">
        <v>26</v>
      </c>
    </row>
    <row r="130" spans="1:49" x14ac:dyDescent="0.3">
      <c r="A130" s="4" t="s">
        <v>20</v>
      </c>
      <c r="B130" s="4" t="s">
        <v>51</v>
      </c>
      <c r="C130" s="6">
        <v>29</v>
      </c>
      <c r="D130" s="6">
        <v>1</v>
      </c>
      <c r="E130" s="6">
        <v>2</v>
      </c>
      <c r="F130" s="6">
        <v>6</v>
      </c>
      <c r="G130" s="6">
        <v>6</v>
      </c>
      <c r="H130" s="6">
        <v>22.8</v>
      </c>
      <c r="I130" s="6">
        <v>32.799999999999997</v>
      </c>
      <c r="J130" s="2">
        <v>26</v>
      </c>
      <c r="K130" s="2">
        <v>1170</v>
      </c>
      <c r="L130" s="5" t="s">
        <v>12</v>
      </c>
      <c r="M130" s="5"/>
      <c r="N130" s="40"/>
      <c r="O130" s="40"/>
      <c r="P130" s="33"/>
      <c r="AU130" s="2">
        <v>1170</v>
      </c>
      <c r="AV130" s="6">
        <v>32.799999999999997</v>
      </c>
      <c r="AW130" s="2">
        <v>26</v>
      </c>
    </row>
    <row r="131" spans="1:49" x14ac:dyDescent="0.3">
      <c r="A131" s="4" t="s">
        <v>20</v>
      </c>
      <c r="B131" s="4" t="s">
        <v>51</v>
      </c>
      <c r="C131" s="6">
        <v>27</v>
      </c>
      <c r="D131" s="6">
        <v>1</v>
      </c>
      <c r="E131" s="6">
        <v>1</v>
      </c>
      <c r="F131" s="6">
        <v>4</v>
      </c>
      <c r="G131" s="6">
        <v>6</v>
      </c>
      <c r="H131" s="6">
        <v>16.2</v>
      </c>
      <c r="I131" s="6">
        <v>30.7</v>
      </c>
      <c r="J131" s="2">
        <v>26</v>
      </c>
      <c r="K131" s="2">
        <v>1170</v>
      </c>
      <c r="L131" s="5" t="s">
        <v>12</v>
      </c>
      <c r="M131" s="5"/>
      <c r="N131" s="40"/>
      <c r="O131" s="40"/>
      <c r="P131" s="33"/>
      <c r="AU131" s="2">
        <v>1170</v>
      </c>
      <c r="AV131" s="6">
        <v>30.7</v>
      </c>
      <c r="AW131" s="2">
        <v>26</v>
      </c>
    </row>
    <row r="132" spans="1:49" x14ac:dyDescent="0.3">
      <c r="A132" s="4" t="s">
        <v>20</v>
      </c>
      <c r="B132" s="4" t="s">
        <v>51</v>
      </c>
      <c r="C132" s="6">
        <v>70</v>
      </c>
      <c r="D132" s="6">
        <v>3</v>
      </c>
      <c r="E132" s="6">
        <v>4</v>
      </c>
      <c r="F132" s="6">
        <v>11</v>
      </c>
      <c r="G132" s="6">
        <v>5.5</v>
      </c>
      <c r="H132" s="6">
        <v>13.3</v>
      </c>
      <c r="I132" s="6">
        <v>31.8</v>
      </c>
      <c r="J132" s="2">
        <v>26</v>
      </c>
      <c r="K132" s="2">
        <v>1170</v>
      </c>
      <c r="L132" s="5" t="s">
        <v>12</v>
      </c>
      <c r="M132" s="5"/>
      <c r="N132" s="40"/>
      <c r="O132" s="40"/>
      <c r="P132" s="33"/>
      <c r="AU132" s="2">
        <v>1170</v>
      </c>
      <c r="AV132" s="6">
        <v>31.8</v>
      </c>
      <c r="AW132" s="2">
        <v>26</v>
      </c>
    </row>
    <row r="133" spans="1:49" x14ac:dyDescent="0.3">
      <c r="A133" s="4" t="s">
        <v>20</v>
      </c>
      <c r="B133" s="4" t="s">
        <v>51</v>
      </c>
      <c r="C133" s="6">
        <v>40</v>
      </c>
      <c r="D133" s="6">
        <v>2</v>
      </c>
      <c r="E133" s="6">
        <v>2</v>
      </c>
      <c r="F133" s="6">
        <v>6</v>
      </c>
      <c r="G133" s="6">
        <v>6.2</v>
      </c>
      <c r="H133" s="6">
        <v>17.399999999999999</v>
      </c>
      <c r="I133" s="6">
        <v>32.700000000000003</v>
      </c>
      <c r="J133" s="2">
        <v>26</v>
      </c>
      <c r="K133" s="2">
        <v>1156</v>
      </c>
      <c r="L133" s="5" t="s">
        <v>12</v>
      </c>
      <c r="M133" s="5"/>
      <c r="N133" s="40">
        <v>1156</v>
      </c>
      <c r="O133" s="40">
        <f>AVERAGE(I133:I136)</f>
        <v>32.4</v>
      </c>
      <c r="P133" s="33"/>
      <c r="AU133" s="2">
        <v>1156</v>
      </c>
      <c r="AV133" s="6">
        <v>32.700000000000003</v>
      </c>
      <c r="AW133" s="2">
        <v>26</v>
      </c>
    </row>
    <row r="134" spans="1:49" x14ac:dyDescent="0.3">
      <c r="A134" s="4" t="s">
        <v>20</v>
      </c>
      <c r="B134" s="4" t="s">
        <v>51</v>
      </c>
      <c r="C134" s="6">
        <v>62</v>
      </c>
      <c r="D134" s="6">
        <v>3</v>
      </c>
      <c r="E134" s="6">
        <v>4</v>
      </c>
      <c r="F134" s="6">
        <v>9</v>
      </c>
      <c r="G134" s="6">
        <v>6.2</v>
      </c>
      <c r="H134" s="6">
        <v>18.600000000000001</v>
      </c>
      <c r="I134" s="6">
        <v>33.299999999999997</v>
      </c>
      <c r="J134" s="2">
        <v>26</v>
      </c>
      <c r="K134" s="2">
        <v>1156</v>
      </c>
      <c r="L134" s="5" t="s">
        <v>12</v>
      </c>
      <c r="M134" s="5"/>
      <c r="N134" s="40"/>
      <c r="O134" s="40"/>
      <c r="P134" s="33"/>
      <c r="AU134" s="2">
        <v>1156</v>
      </c>
      <c r="AV134" s="6">
        <v>33.299999999999997</v>
      </c>
      <c r="AW134" s="2">
        <v>26</v>
      </c>
    </row>
    <row r="135" spans="1:49" x14ac:dyDescent="0.3">
      <c r="A135" s="4" t="s">
        <v>20</v>
      </c>
      <c r="B135" s="4" t="s">
        <v>51</v>
      </c>
      <c r="C135" s="6">
        <v>38</v>
      </c>
      <c r="D135" s="6">
        <v>1</v>
      </c>
      <c r="E135" s="6">
        <v>2</v>
      </c>
      <c r="F135" s="6">
        <v>6</v>
      </c>
      <c r="G135" s="6">
        <v>6.2</v>
      </c>
      <c r="H135" s="6">
        <v>16.5</v>
      </c>
      <c r="I135" s="6">
        <v>31.3</v>
      </c>
      <c r="J135" s="2">
        <v>26</v>
      </c>
      <c r="K135" s="2">
        <v>1156</v>
      </c>
      <c r="L135" s="5" t="s">
        <v>12</v>
      </c>
      <c r="M135" s="5"/>
      <c r="N135" s="40"/>
      <c r="O135" s="40"/>
      <c r="P135" s="33"/>
      <c r="AU135" s="2">
        <v>1156</v>
      </c>
      <c r="AV135" s="6">
        <v>31.3</v>
      </c>
      <c r="AW135" s="2">
        <v>26</v>
      </c>
    </row>
    <row r="136" spans="1:49" x14ac:dyDescent="0.3">
      <c r="A136" s="4" t="s">
        <v>20</v>
      </c>
      <c r="B136" s="4" t="s">
        <v>51</v>
      </c>
      <c r="C136" s="6">
        <v>44</v>
      </c>
      <c r="D136" s="6">
        <v>2</v>
      </c>
      <c r="E136" s="6">
        <v>3</v>
      </c>
      <c r="F136" s="6">
        <v>6</v>
      </c>
      <c r="G136" s="6">
        <v>5.5</v>
      </c>
      <c r="H136" s="6">
        <v>20</v>
      </c>
      <c r="I136" s="6">
        <v>32.299999999999997</v>
      </c>
      <c r="J136" s="2">
        <v>26</v>
      </c>
      <c r="K136" s="2">
        <v>1156</v>
      </c>
      <c r="L136" s="5" t="s">
        <v>12</v>
      </c>
      <c r="M136" s="5"/>
      <c r="N136" s="40"/>
      <c r="O136" s="40"/>
      <c r="P136" s="34"/>
      <c r="AU136" s="2">
        <v>1156</v>
      </c>
      <c r="AV136" s="6">
        <v>32.299999999999997</v>
      </c>
      <c r="AW136" s="2">
        <v>26</v>
      </c>
    </row>
    <row r="137" spans="1:49" x14ac:dyDescent="0.3">
      <c r="A137" s="4" t="s">
        <v>22</v>
      </c>
      <c r="B137" s="4" t="s">
        <v>53</v>
      </c>
      <c r="C137" s="2">
        <v>73</v>
      </c>
      <c r="D137" s="2">
        <v>3</v>
      </c>
      <c r="E137" s="2">
        <v>5</v>
      </c>
      <c r="F137" s="2">
        <v>11</v>
      </c>
      <c r="G137" s="2">
        <v>6.3</v>
      </c>
      <c r="H137" s="2">
        <v>65.099999999999994</v>
      </c>
      <c r="I137" s="2">
        <v>20.399999999999999</v>
      </c>
      <c r="J137" s="2">
        <v>20.9</v>
      </c>
      <c r="K137" s="2">
        <v>1519</v>
      </c>
      <c r="L137" s="5" t="s">
        <v>11</v>
      </c>
      <c r="M137" s="5">
        <v>18</v>
      </c>
      <c r="N137" s="8">
        <v>1519</v>
      </c>
      <c r="O137" s="8">
        <f>AVERAGE(I137)</f>
        <v>20.399999999999999</v>
      </c>
      <c r="P137" s="35"/>
      <c r="AU137" s="2">
        <v>1519</v>
      </c>
      <c r="AV137" s="2">
        <v>20.399999999999999</v>
      </c>
      <c r="AW137" s="2">
        <v>20.9</v>
      </c>
    </row>
    <row r="138" spans="1:49" x14ac:dyDescent="0.3">
      <c r="A138" s="4" t="s">
        <v>22</v>
      </c>
      <c r="B138" s="4" t="s">
        <v>53</v>
      </c>
      <c r="C138" s="2">
        <v>44</v>
      </c>
      <c r="D138" s="2">
        <v>2</v>
      </c>
      <c r="E138" s="2">
        <v>3</v>
      </c>
      <c r="F138" s="2">
        <v>7</v>
      </c>
      <c r="G138" s="2">
        <v>5.9</v>
      </c>
      <c r="H138" s="2">
        <v>22.7</v>
      </c>
      <c r="I138" s="2">
        <v>20.9</v>
      </c>
      <c r="J138" s="2">
        <v>20.9</v>
      </c>
      <c r="K138" s="2">
        <v>1518</v>
      </c>
      <c r="L138" s="5" t="s">
        <v>11</v>
      </c>
      <c r="M138" s="5">
        <v>18</v>
      </c>
      <c r="N138" s="8">
        <v>1518</v>
      </c>
      <c r="O138" s="8">
        <f>AVERAGE(I138)</f>
        <v>20.9</v>
      </c>
      <c r="P138" s="33"/>
      <c r="AU138" s="2">
        <v>1518</v>
      </c>
      <c r="AV138" s="2">
        <v>20.9</v>
      </c>
      <c r="AW138" s="2">
        <v>20.9</v>
      </c>
    </row>
    <row r="139" spans="1:49" x14ac:dyDescent="0.3">
      <c r="A139" s="4" t="s">
        <v>22</v>
      </c>
      <c r="B139" s="4" t="s">
        <v>53</v>
      </c>
      <c r="C139" s="2">
        <v>252</v>
      </c>
      <c r="D139" s="2">
        <v>12</v>
      </c>
      <c r="E139" s="2">
        <v>17</v>
      </c>
      <c r="F139" s="2">
        <v>40</v>
      </c>
      <c r="G139" s="2">
        <v>5.4</v>
      </c>
      <c r="H139" s="2">
        <v>29.4</v>
      </c>
      <c r="I139" s="2">
        <v>20.3</v>
      </c>
      <c r="J139" s="2">
        <v>18.5</v>
      </c>
      <c r="K139" s="2">
        <v>1551</v>
      </c>
      <c r="L139" s="5" t="s">
        <v>11</v>
      </c>
      <c r="M139" s="5">
        <v>25</v>
      </c>
      <c r="N139" s="40">
        <v>1551</v>
      </c>
      <c r="O139" s="40">
        <f>AVERAGE(I139:I140)</f>
        <v>20.25</v>
      </c>
      <c r="P139" s="33"/>
      <c r="AU139" s="2">
        <v>1551</v>
      </c>
      <c r="AV139" s="2">
        <v>20.3</v>
      </c>
      <c r="AW139" s="2">
        <v>18.5</v>
      </c>
    </row>
    <row r="140" spans="1:49" x14ac:dyDescent="0.3">
      <c r="A140" s="4" t="s">
        <v>22</v>
      </c>
      <c r="B140" s="4" t="s">
        <v>53</v>
      </c>
      <c r="C140" s="2">
        <v>256</v>
      </c>
      <c r="D140" s="2">
        <v>12</v>
      </c>
      <c r="E140" s="2">
        <v>18</v>
      </c>
      <c r="F140" s="2">
        <v>41</v>
      </c>
      <c r="G140" s="2">
        <v>5.2</v>
      </c>
      <c r="H140" s="2">
        <v>28.6</v>
      </c>
      <c r="I140" s="2">
        <v>20.2</v>
      </c>
      <c r="J140" s="2">
        <v>18.5</v>
      </c>
      <c r="K140" s="2">
        <v>1551</v>
      </c>
      <c r="L140" s="5" t="s">
        <v>11</v>
      </c>
      <c r="M140" s="5">
        <v>25</v>
      </c>
      <c r="N140" s="40"/>
      <c r="O140" s="40"/>
      <c r="P140" s="33"/>
      <c r="AU140" s="2">
        <v>1551</v>
      </c>
      <c r="AV140" s="2">
        <v>20.2</v>
      </c>
      <c r="AW140" s="2">
        <v>18.5</v>
      </c>
    </row>
    <row r="141" spans="1:49" x14ac:dyDescent="0.3">
      <c r="A141" s="4" t="s">
        <v>22</v>
      </c>
      <c r="B141" s="4" t="s">
        <v>53</v>
      </c>
      <c r="C141" s="2">
        <v>84</v>
      </c>
      <c r="D141" s="2">
        <v>4</v>
      </c>
      <c r="E141" s="2">
        <v>5</v>
      </c>
      <c r="F141" s="2">
        <v>13</v>
      </c>
      <c r="G141" s="2">
        <v>5.4</v>
      </c>
      <c r="H141" s="2">
        <v>57</v>
      </c>
      <c r="I141" s="2">
        <v>19.100000000000001</v>
      </c>
      <c r="J141" s="2">
        <v>20.6</v>
      </c>
      <c r="K141" s="2">
        <v>1618</v>
      </c>
      <c r="L141" s="5" t="s">
        <v>11</v>
      </c>
      <c r="M141" s="5">
        <v>8</v>
      </c>
      <c r="N141" s="40">
        <v>1618</v>
      </c>
      <c r="O141" s="40">
        <f>AVERAGE(I141:I142)</f>
        <v>19.5</v>
      </c>
      <c r="P141" s="33"/>
      <c r="AU141" s="2">
        <v>1618</v>
      </c>
      <c r="AV141" s="2">
        <v>19.100000000000001</v>
      </c>
      <c r="AW141" s="2">
        <v>20.6</v>
      </c>
    </row>
    <row r="142" spans="1:49" x14ac:dyDescent="0.3">
      <c r="A142" s="4" t="s">
        <v>22</v>
      </c>
      <c r="B142" s="4" t="s">
        <v>53</v>
      </c>
      <c r="C142" s="2">
        <v>371</v>
      </c>
      <c r="D142" s="2">
        <v>18</v>
      </c>
      <c r="E142" s="2">
        <v>26</v>
      </c>
      <c r="F142" s="2">
        <v>60</v>
      </c>
      <c r="G142" s="2">
        <v>4.5999999999999996</v>
      </c>
      <c r="H142" s="2">
        <v>48.6</v>
      </c>
      <c r="I142" s="2">
        <v>19.899999999999999</v>
      </c>
      <c r="J142" s="2">
        <v>20.6</v>
      </c>
      <c r="K142" s="2">
        <v>1618</v>
      </c>
      <c r="L142" s="5" t="s">
        <v>11</v>
      </c>
      <c r="M142" s="5">
        <v>8</v>
      </c>
      <c r="N142" s="40"/>
      <c r="O142" s="40"/>
      <c r="P142" s="34"/>
      <c r="AU142" s="2">
        <v>1618</v>
      </c>
      <c r="AV142" s="2">
        <v>19.899999999999999</v>
      </c>
      <c r="AW142" s="2">
        <v>20.6</v>
      </c>
    </row>
    <row r="143" spans="1:49" x14ac:dyDescent="0.3">
      <c r="A143" s="4" t="s">
        <v>24</v>
      </c>
      <c r="B143" s="4" t="s">
        <v>58</v>
      </c>
      <c r="C143" s="2">
        <v>52</v>
      </c>
      <c r="D143" s="2">
        <v>2</v>
      </c>
      <c r="E143" s="2">
        <v>3</v>
      </c>
      <c r="F143" s="2">
        <v>8</v>
      </c>
      <c r="G143" s="2">
        <v>6</v>
      </c>
      <c r="H143" s="2">
        <v>27.1</v>
      </c>
      <c r="I143" s="2">
        <v>24.4</v>
      </c>
      <c r="J143" s="2">
        <v>23</v>
      </c>
      <c r="K143" s="2">
        <v>1466</v>
      </c>
      <c r="L143" s="5" t="s">
        <v>11</v>
      </c>
      <c r="M143" s="5">
        <v>30</v>
      </c>
      <c r="N143" s="40">
        <v>1466</v>
      </c>
      <c r="O143" s="40">
        <f>AVERAGE(I143:I144)</f>
        <v>24.65</v>
      </c>
      <c r="P143" s="32">
        <v>185927.7</v>
      </c>
      <c r="AU143" s="2">
        <v>1466</v>
      </c>
      <c r="AV143" s="2">
        <v>24.4</v>
      </c>
      <c r="AW143" s="2">
        <v>23</v>
      </c>
    </row>
    <row r="144" spans="1:49" x14ac:dyDescent="0.3">
      <c r="A144" s="4" t="s">
        <v>24</v>
      </c>
      <c r="B144" s="4" t="s">
        <v>58</v>
      </c>
      <c r="C144" s="2">
        <v>75</v>
      </c>
      <c r="D144" s="2">
        <v>3</v>
      </c>
      <c r="E144" s="2">
        <v>5</v>
      </c>
      <c r="F144" s="2">
        <v>12</v>
      </c>
      <c r="G144" s="2">
        <v>6.1</v>
      </c>
      <c r="H144" s="2">
        <v>45.8</v>
      </c>
      <c r="I144" s="2">
        <v>24.9</v>
      </c>
      <c r="J144" s="2">
        <v>23</v>
      </c>
      <c r="K144" s="2">
        <v>1466</v>
      </c>
      <c r="L144" s="5" t="s">
        <v>11</v>
      </c>
      <c r="M144" s="5">
        <v>30</v>
      </c>
      <c r="N144" s="40"/>
      <c r="O144" s="40"/>
      <c r="P144" s="33"/>
      <c r="AU144" s="2">
        <v>1466</v>
      </c>
      <c r="AV144" s="2">
        <v>24.9</v>
      </c>
      <c r="AW144" s="2">
        <v>23</v>
      </c>
    </row>
    <row r="145" spans="1:49" x14ac:dyDescent="0.3">
      <c r="A145" s="4" t="s">
        <v>24</v>
      </c>
      <c r="B145" s="4" t="s">
        <v>60</v>
      </c>
      <c r="C145" s="2">
        <v>74</v>
      </c>
      <c r="D145" s="2">
        <v>3</v>
      </c>
      <c r="E145" s="2">
        <v>5</v>
      </c>
      <c r="F145" s="2">
        <v>12</v>
      </c>
      <c r="G145" s="2">
        <v>6.2</v>
      </c>
      <c r="H145" s="2">
        <v>34.5</v>
      </c>
      <c r="I145" s="2">
        <v>26.2</v>
      </c>
      <c r="J145" s="2">
        <v>22</v>
      </c>
      <c r="K145" s="2">
        <v>1349</v>
      </c>
      <c r="L145" s="5" t="s">
        <v>11</v>
      </c>
      <c r="M145" s="5">
        <v>25</v>
      </c>
      <c r="N145" s="40">
        <v>1349</v>
      </c>
      <c r="O145" s="40">
        <f>AVERAGE(I145:I146)</f>
        <v>28.35</v>
      </c>
      <c r="P145" s="33"/>
      <c r="AU145" s="2">
        <v>1349</v>
      </c>
      <c r="AV145" s="2">
        <v>26.2</v>
      </c>
      <c r="AW145" s="2">
        <v>22</v>
      </c>
    </row>
    <row r="146" spans="1:49" x14ac:dyDescent="0.3">
      <c r="A146" s="4" t="s">
        <v>24</v>
      </c>
      <c r="B146" s="4" t="s">
        <v>60</v>
      </c>
      <c r="C146" s="2">
        <v>48</v>
      </c>
      <c r="D146" s="2">
        <v>2</v>
      </c>
      <c r="E146" s="2">
        <v>3</v>
      </c>
      <c r="F146" s="2">
        <v>7</v>
      </c>
      <c r="G146" s="2">
        <v>7.5</v>
      </c>
      <c r="H146" s="2">
        <v>44.9</v>
      </c>
      <c r="I146" s="2">
        <v>30.5</v>
      </c>
      <c r="J146" s="2">
        <v>22</v>
      </c>
      <c r="K146" s="2">
        <v>1349</v>
      </c>
      <c r="L146" s="5" t="s">
        <v>11</v>
      </c>
      <c r="M146" s="5">
        <v>25</v>
      </c>
      <c r="N146" s="40"/>
      <c r="O146" s="40"/>
      <c r="P146" s="33"/>
      <c r="AU146" s="2">
        <v>1349</v>
      </c>
      <c r="AV146" s="2">
        <v>30.5</v>
      </c>
      <c r="AW146" s="2">
        <v>22</v>
      </c>
    </row>
    <row r="147" spans="1:49" x14ac:dyDescent="0.3">
      <c r="A147" s="4" t="s">
        <v>24</v>
      </c>
      <c r="B147" s="4" t="s">
        <v>61</v>
      </c>
      <c r="C147" s="2">
        <v>11</v>
      </c>
      <c r="D147" s="2">
        <v>0</v>
      </c>
      <c r="E147" s="2">
        <v>0</v>
      </c>
      <c r="F147" s="2">
        <v>1</v>
      </c>
      <c r="G147" s="2">
        <v>6.4</v>
      </c>
      <c r="H147" s="2">
        <v>16</v>
      </c>
      <c r="I147" s="2">
        <v>22.1</v>
      </c>
      <c r="J147" s="2">
        <v>21</v>
      </c>
      <c r="K147" s="2">
        <v>1567.28</v>
      </c>
      <c r="L147" s="5" t="s">
        <v>11</v>
      </c>
      <c r="M147" s="5">
        <v>30</v>
      </c>
      <c r="N147" s="40">
        <v>1567.28</v>
      </c>
      <c r="O147" s="40">
        <f>AVERAGE(I147:I148)</f>
        <v>22.5</v>
      </c>
      <c r="P147" s="33"/>
      <c r="AU147" s="2">
        <v>1567.28</v>
      </c>
      <c r="AV147" s="2">
        <v>22.1</v>
      </c>
      <c r="AW147" s="2">
        <v>21</v>
      </c>
    </row>
    <row r="148" spans="1:49" x14ac:dyDescent="0.3">
      <c r="A148" s="4" t="s">
        <v>24</v>
      </c>
      <c r="B148" s="4" t="s">
        <v>61</v>
      </c>
      <c r="C148" s="2">
        <v>62</v>
      </c>
      <c r="D148" s="2">
        <v>3</v>
      </c>
      <c r="E148" s="2">
        <v>4</v>
      </c>
      <c r="F148" s="2">
        <v>10</v>
      </c>
      <c r="G148" s="2">
        <v>6.2</v>
      </c>
      <c r="H148" s="2">
        <v>18.899999999999999</v>
      </c>
      <c r="I148" s="2">
        <v>22.9</v>
      </c>
      <c r="J148" s="2">
        <v>21</v>
      </c>
      <c r="K148" s="2">
        <v>1567.28</v>
      </c>
      <c r="L148" s="5" t="s">
        <v>11</v>
      </c>
      <c r="M148" s="5">
        <v>30</v>
      </c>
      <c r="N148" s="40"/>
      <c r="O148" s="40"/>
      <c r="P148" s="34"/>
      <c r="AU148" s="2">
        <v>1567.28</v>
      </c>
      <c r="AV148" s="2">
        <v>22.9</v>
      </c>
      <c r="AW148" s="2">
        <v>21</v>
      </c>
    </row>
    <row r="149" spans="1:49" x14ac:dyDescent="0.3">
      <c r="A149" s="4" t="s">
        <v>26</v>
      </c>
      <c r="B149" s="4" t="s">
        <v>63</v>
      </c>
      <c r="C149" s="2">
        <v>350</v>
      </c>
      <c r="D149" s="2">
        <v>17</v>
      </c>
      <c r="E149" s="2">
        <v>24</v>
      </c>
      <c r="F149" s="2">
        <v>56</v>
      </c>
      <c r="G149" s="2">
        <v>5.2</v>
      </c>
      <c r="H149" s="2">
        <v>75.400000000000006</v>
      </c>
      <c r="I149" s="2">
        <v>30.6</v>
      </c>
      <c r="J149" s="2">
        <v>31</v>
      </c>
      <c r="K149" s="2">
        <v>11</v>
      </c>
      <c r="L149" s="5" t="s">
        <v>13</v>
      </c>
      <c r="M149" s="5">
        <v>0</v>
      </c>
      <c r="N149" s="40">
        <v>11</v>
      </c>
      <c r="O149" s="40">
        <f>AVERAGE(I149:I152)</f>
        <v>30.5</v>
      </c>
      <c r="P149" s="35" t="s">
        <v>83</v>
      </c>
      <c r="AU149" s="2">
        <v>11</v>
      </c>
      <c r="AV149" s="2">
        <v>30.6</v>
      </c>
      <c r="AW149" s="2">
        <v>31</v>
      </c>
    </row>
    <row r="150" spans="1:49" x14ac:dyDescent="0.3">
      <c r="A150" s="4" t="s">
        <v>26</v>
      </c>
      <c r="B150" s="4" t="s">
        <v>63</v>
      </c>
      <c r="C150" s="2">
        <v>582</v>
      </c>
      <c r="D150" s="2">
        <v>29</v>
      </c>
      <c r="E150" s="2">
        <v>40</v>
      </c>
      <c r="F150" s="2">
        <v>93</v>
      </c>
      <c r="G150" s="2">
        <v>6.2</v>
      </c>
      <c r="H150" s="2">
        <v>80</v>
      </c>
      <c r="I150" s="2">
        <v>31.1</v>
      </c>
      <c r="J150" s="2">
        <v>31</v>
      </c>
      <c r="K150" s="2">
        <v>11</v>
      </c>
      <c r="L150" s="5" t="s">
        <v>13</v>
      </c>
      <c r="M150" s="5">
        <v>0</v>
      </c>
      <c r="N150" s="40"/>
      <c r="O150" s="40"/>
      <c r="P150" s="33"/>
      <c r="AU150" s="2">
        <v>11</v>
      </c>
      <c r="AV150" s="2">
        <v>31.1</v>
      </c>
      <c r="AW150" s="2">
        <v>31</v>
      </c>
    </row>
    <row r="151" spans="1:49" x14ac:dyDescent="0.3">
      <c r="A151" s="4" t="s">
        <v>26</v>
      </c>
      <c r="B151" s="4" t="s">
        <v>63</v>
      </c>
      <c r="C151" s="2">
        <v>505</v>
      </c>
      <c r="D151" s="2">
        <v>25</v>
      </c>
      <c r="E151" s="2">
        <v>35</v>
      </c>
      <c r="F151" s="2">
        <v>82</v>
      </c>
      <c r="G151" s="2">
        <v>5.4</v>
      </c>
      <c r="H151" s="2">
        <v>64.900000000000006</v>
      </c>
      <c r="I151" s="2">
        <v>31</v>
      </c>
      <c r="J151" s="2">
        <v>31</v>
      </c>
      <c r="K151" s="2">
        <v>11</v>
      </c>
      <c r="L151" s="5" t="s">
        <v>13</v>
      </c>
      <c r="M151" s="5">
        <v>0</v>
      </c>
      <c r="N151" s="40"/>
      <c r="O151" s="40"/>
      <c r="P151" s="33"/>
      <c r="AU151" s="2">
        <v>11</v>
      </c>
      <c r="AV151" s="2">
        <v>31</v>
      </c>
      <c r="AW151" s="2">
        <v>31</v>
      </c>
    </row>
    <row r="152" spans="1:49" x14ac:dyDescent="0.3">
      <c r="A152" s="4" t="s">
        <v>26</v>
      </c>
      <c r="B152" s="4" t="s">
        <v>63</v>
      </c>
      <c r="C152" s="2">
        <v>685</v>
      </c>
      <c r="D152" s="2">
        <v>34</v>
      </c>
      <c r="E152" s="2">
        <v>47</v>
      </c>
      <c r="F152" s="2">
        <v>109</v>
      </c>
      <c r="G152" s="2">
        <v>6</v>
      </c>
      <c r="H152" s="2">
        <v>70</v>
      </c>
      <c r="I152" s="2">
        <v>29.3</v>
      </c>
      <c r="J152" s="2">
        <v>31</v>
      </c>
      <c r="K152" s="2">
        <v>11</v>
      </c>
      <c r="L152" s="5" t="s">
        <v>13</v>
      </c>
      <c r="M152" s="5">
        <v>0</v>
      </c>
      <c r="N152" s="40"/>
      <c r="O152" s="40"/>
      <c r="P152" s="33"/>
      <c r="AU152" s="2">
        <v>11</v>
      </c>
      <c r="AV152" s="2">
        <v>29.3</v>
      </c>
      <c r="AW152" s="2">
        <v>31</v>
      </c>
    </row>
    <row r="153" spans="1:49" x14ac:dyDescent="0.3">
      <c r="A153" s="4" t="s">
        <v>26</v>
      </c>
      <c r="B153" s="4" t="s">
        <v>63</v>
      </c>
      <c r="C153" s="2">
        <v>344</v>
      </c>
      <c r="D153" s="2">
        <v>17</v>
      </c>
      <c r="E153" s="2">
        <v>24</v>
      </c>
      <c r="F153" s="2">
        <v>55</v>
      </c>
      <c r="G153" s="2">
        <v>4.5999999999999996</v>
      </c>
      <c r="H153" s="2">
        <v>54</v>
      </c>
      <c r="I153" s="2">
        <v>30.4</v>
      </c>
      <c r="J153" s="2">
        <v>31</v>
      </c>
      <c r="K153" s="2">
        <v>14</v>
      </c>
      <c r="L153" s="5" t="s">
        <v>13</v>
      </c>
      <c r="M153" s="5">
        <v>0</v>
      </c>
      <c r="N153" s="40">
        <v>14</v>
      </c>
      <c r="O153" s="40">
        <f>AVERAGE(I153:I156)</f>
        <v>30.25</v>
      </c>
      <c r="P153" s="33"/>
      <c r="AU153" s="2">
        <v>14</v>
      </c>
      <c r="AV153" s="2">
        <v>30.4</v>
      </c>
      <c r="AW153" s="2">
        <v>31</v>
      </c>
    </row>
    <row r="154" spans="1:49" x14ac:dyDescent="0.3">
      <c r="A154" s="4" t="s">
        <v>26</v>
      </c>
      <c r="B154" s="4" t="s">
        <v>63</v>
      </c>
      <c r="C154" s="2">
        <v>185</v>
      </c>
      <c r="D154" s="2">
        <v>9</v>
      </c>
      <c r="E154" s="2">
        <v>12</v>
      </c>
      <c r="F154" s="2">
        <v>29</v>
      </c>
      <c r="G154" s="2">
        <v>6.2</v>
      </c>
      <c r="H154" s="2">
        <v>25.6</v>
      </c>
      <c r="I154" s="2">
        <v>29.6</v>
      </c>
      <c r="J154" s="2">
        <v>31</v>
      </c>
      <c r="K154" s="2">
        <v>14</v>
      </c>
      <c r="L154" s="5" t="s">
        <v>13</v>
      </c>
      <c r="M154" s="5">
        <v>0</v>
      </c>
      <c r="N154" s="40"/>
      <c r="O154" s="40"/>
      <c r="P154" s="33"/>
      <c r="AU154" s="2">
        <v>14</v>
      </c>
      <c r="AV154" s="2">
        <v>29.6</v>
      </c>
      <c r="AW154" s="2">
        <v>31</v>
      </c>
    </row>
    <row r="155" spans="1:49" x14ac:dyDescent="0.3">
      <c r="A155" s="4" t="s">
        <v>26</v>
      </c>
      <c r="B155" s="4" t="s">
        <v>63</v>
      </c>
      <c r="C155" s="2">
        <v>338</v>
      </c>
      <c r="D155" s="2">
        <v>16</v>
      </c>
      <c r="E155" s="2">
        <v>23</v>
      </c>
      <c r="F155" s="2">
        <v>54</v>
      </c>
      <c r="G155" s="2">
        <v>4.3</v>
      </c>
      <c r="H155" s="2">
        <v>57.2</v>
      </c>
      <c r="I155" s="2">
        <v>29.6</v>
      </c>
      <c r="J155" s="2">
        <v>31</v>
      </c>
      <c r="K155" s="2">
        <v>14</v>
      </c>
      <c r="L155" s="5" t="s">
        <v>13</v>
      </c>
      <c r="M155" s="5">
        <v>0</v>
      </c>
      <c r="N155" s="40"/>
      <c r="O155" s="40"/>
      <c r="P155" s="33"/>
      <c r="AU155" s="2">
        <v>14</v>
      </c>
      <c r="AV155" s="2">
        <v>29.6</v>
      </c>
      <c r="AW155" s="2">
        <v>31</v>
      </c>
    </row>
    <row r="156" spans="1:49" x14ac:dyDescent="0.3">
      <c r="A156" s="4" t="s">
        <v>26</v>
      </c>
      <c r="B156" s="4" t="s">
        <v>63</v>
      </c>
      <c r="C156" s="2">
        <v>327</v>
      </c>
      <c r="D156" s="2">
        <v>26</v>
      </c>
      <c r="E156" s="2">
        <v>22</v>
      </c>
      <c r="F156" s="2">
        <v>52</v>
      </c>
      <c r="G156" s="2">
        <v>4</v>
      </c>
      <c r="H156" s="2">
        <v>57.2</v>
      </c>
      <c r="I156" s="2">
        <v>31.4</v>
      </c>
      <c r="J156" s="2">
        <v>31</v>
      </c>
      <c r="K156" s="2">
        <v>14</v>
      </c>
      <c r="L156" s="5" t="s">
        <v>13</v>
      </c>
      <c r="M156" s="5">
        <v>0</v>
      </c>
      <c r="N156" s="40"/>
      <c r="O156" s="40"/>
      <c r="P156" s="33"/>
      <c r="AU156" s="2">
        <v>14</v>
      </c>
      <c r="AV156" s="2">
        <v>31.4</v>
      </c>
      <c r="AW156" s="2">
        <v>31</v>
      </c>
    </row>
    <row r="157" spans="1:49" x14ac:dyDescent="0.3">
      <c r="A157" s="4" t="s">
        <v>26</v>
      </c>
      <c r="B157" s="4" t="s">
        <v>63</v>
      </c>
      <c r="C157" s="2">
        <v>81</v>
      </c>
      <c r="D157" s="2">
        <v>4</v>
      </c>
      <c r="E157" s="2">
        <v>5</v>
      </c>
      <c r="F157" s="2">
        <v>12</v>
      </c>
      <c r="G157" s="2">
        <v>6.2</v>
      </c>
      <c r="H157" s="2">
        <v>14.7</v>
      </c>
      <c r="I157" s="2">
        <v>34.700000000000003</v>
      </c>
      <c r="J157" s="2">
        <v>31</v>
      </c>
      <c r="K157" s="2">
        <v>48</v>
      </c>
      <c r="L157" s="5" t="s">
        <v>13</v>
      </c>
      <c r="M157" s="5">
        <v>0</v>
      </c>
      <c r="N157" s="40">
        <v>48</v>
      </c>
      <c r="O157" s="40">
        <f>AVERAGE(I157:I160)</f>
        <v>32.725000000000001</v>
      </c>
      <c r="P157" s="33"/>
      <c r="AU157" s="2">
        <v>48</v>
      </c>
      <c r="AV157" s="2">
        <v>34.700000000000003</v>
      </c>
      <c r="AW157" s="2">
        <v>31</v>
      </c>
    </row>
    <row r="158" spans="1:49" x14ac:dyDescent="0.3">
      <c r="A158" s="4" t="s">
        <v>26</v>
      </c>
      <c r="B158" s="4" t="s">
        <v>63</v>
      </c>
      <c r="C158" s="2">
        <v>124</v>
      </c>
      <c r="D158" s="2">
        <v>6</v>
      </c>
      <c r="E158" s="2">
        <v>8</v>
      </c>
      <c r="F158" s="2">
        <v>20</v>
      </c>
      <c r="G158" s="2">
        <v>6.3</v>
      </c>
      <c r="H158" s="2">
        <v>20.2</v>
      </c>
      <c r="I158" s="2">
        <v>30.8</v>
      </c>
      <c r="J158" s="2">
        <v>31</v>
      </c>
      <c r="K158" s="2">
        <v>48</v>
      </c>
      <c r="L158" s="5" t="s">
        <v>13</v>
      </c>
      <c r="M158" s="5">
        <v>0</v>
      </c>
      <c r="N158" s="40"/>
      <c r="O158" s="40"/>
      <c r="P158" s="33"/>
      <c r="AU158" s="2">
        <v>48</v>
      </c>
      <c r="AV158" s="2">
        <v>30.8</v>
      </c>
      <c r="AW158" s="2">
        <v>31</v>
      </c>
    </row>
    <row r="159" spans="1:49" x14ac:dyDescent="0.3">
      <c r="A159" s="4" t="s">
        <v>26</v>
      </c>
      <c r="B159" s="4" t="s">
        <v>63</v>
      </c>
      <c r="C159" s="2">
        <v>89</v>
      </c>
      <c r="D159" s="2">
        <v>4</v>
      </c>
      <c r="E159" s="2">
        <v>6</v>
      </c>
      <c r="F159" s="2">
        <v>14</v>
      </c>
      <c r="G159" s="2">
        <v>6.7</v>
      </c>
      <c r="H159" s="2">
        <v>13.9</v>
      </c>
      <c r="I159" s="2">
        <v>31.3</v>
      </c>
      <c r="J159" s="2">
        <v>31</v>
      </c>
      <c r="K159" s="2">
        <v>48</v>
      </c>
      <c r="L159" s="5" t="s">
        <v>13</v>
      </c>
      <c r="M159" s="5">
        <v>0</v>
      </c>
      <c r="N159" s="40"/>
      <c r="O159" s="40"/>
      <c r="P159" s="33"/>
      <c r="AU159" s="2">
        <v>48</v>
      </c>
      <c r="AV159" s="2">
        <v>31.3</v>
      </c>
      <c r="AW159" s="2">
        <v>31</v>
      </c>
    </row>
    <row r="160" spans="1:49" x14ac:dyDescent="0.3">
      <c r="A160" s="4" t="s">
        <v>26</v>
      </c>
      <c r="B160" s="4" t="s">
        <v>63</v>
      </c>
      <c r="C160" s="2">
        <v>92</v>
      </c>
      <c r="D160" s="2">
        <v>4</v>
      </c>
      <c r="E160" s="2">
        <v>6</v>
      </c>
      <c r="F160" s="2">
        <v>14</v>
      </c>
      <c r="G160" s="2">
        <v>6.9</v>
      </c>
      <c r="H160" s="2">
        <v>14.7</v>
      </c>
      <c r="I160" s="2">
        <v>34.1</v>
      </c>
      <c r="J160" s="2">
        <v>31</v>
      </c>
      <c r="K160" s="2">
        <v>48</v>
      </c>
      <c r="L160" s="5" t="s">
        <v>13</v>
      </c>
      <c r="M160" s="5">
        <v>0</v>
      </c>
      <c r="N160" s="40"/>
      <c r="O160" s="40"/>
      <c r="P160" s="34"/>
      <c r="AU160" s="2">
        <v>48</v>
      </c>
      <c r="AV160" s="2">
        <v>34.1</v>
      </c>
      <c r="AW160" s="2">
        <v>31</v>
      </c>
    </row>
    <row r="161" spans="1:49" x14ac:dyDescent="0.3">
      <c r="A161" t="s">
        <v>72</v>
      </c>
      <c r="L161" s="11"/>
      <c r="M161" s="11"/>
    </row>
    <row r="162" spans="1:49" x14ac:dyDescent="0.3">
      <c r="A162" s="1" t="s">
        <v>14</v>
      </c>
      <c r="B162" s="1" t="s">
        <v>29</v>
      </c>
      <c r="C162" s="2" t="s">
        <v>0</v>
      </c>
      <c r="D162" s="2" t="s">
        <v>1</v>
      </c>
      <c r="E162" s="2" t="s">
        <v>2</v>
      </c>
      <c r="F162" s="2" t="s">
        <v>3</v>
      </c>
      <c r="G162" s="2" t="s">
        <v>4</v>
      </c>
      <c r="H162" s="2" t="s">
        <v>5</v>
      </c>
      <c r="I162" s="2" t="s">
        <v>6</v>
      </c>
      <c r="J162" s="2" t="s">
        <v>7</v>
      </c>
      <c r="K162" s="2" t="s">
        <v>8</v>
      </c>
      <c r="L162" s="2" t="s">
        <v>9</v>
      </c>
      <c r="M162" s="2" t="s">
        <v>10</v>
      </c>
      <c r="N162" s="7"/>
      <c r="O162" s="7"/>
      <c r="P162" s="15"/>
      <c r="AU162" s="2" t="s">
        <v>8</v>
      </c>
      <c r="AV162" s="2" t="s">
        <v>6</v>
      </c>
      <c r="AW162" s="2" t="s">
        <v>7</v>
      </c>
    </row>
    <row r="163" spans="1:49" x14ac:dyDescent="0.3">
      <c r="A163" s="4" t="s">
        <v>16</v>
      </c>
      <c r="B163" s="4" t="s">
        <v>37</v>
      </c>
      <c r="C163" s="2">
        <v>16</v>
      </c>
      <c r="D163" s="2">
        <v>0</v>
      </c>
      <c r="E163" s="2">
        <v>1</v>
      </c>
      <c r="F163" s="2">
        <v>2</v>
      </c>
      <c r="G163" s="2">
        <v>5.5</v>
      </c>
      <c r="H163" s="2">
        <v>27.1</v>
      </c>
      <c r="I163" s="2">
        <v>23.2</v>
      </c>
      <c r="J163" s="2">
        <v>26.8</v>
      </c>
      <c r="K163" s="2">
        <v>1987</v>
      </c>
      <c r="L163" s="5" t="s">
        <v>11</v>
      </c>
      <c r="M163" s="5">
        <v>20</v>
      </c>
      <c r="N163" s="40">
        <v>1987</v>
      </c>
      <c r="O163" s="40">
        <f>AVERAGE(I163:I164)</f>
        <v>23.65</v>
      </c>
      <c r="P163" s="32">
        <v>57122.400000000001</v>
      </c>
      <c r="AU163" s="2">
        <v>1987</v>
      </c>
      <c r="AV163" s="2">
        <v>23.2</v>
      </c>
      <c r="AW163" s="2">
        <v>26.8</v>
      </c>
    </row>
    <row r="164" spans="1:49" x14ac:dyDescent="0.3">
      <c r="A164" s="4" t="s">
        <v>16</v>
      </c>
      <c r="B164" s="4" t="s">
        <v>37</v>
      </c>
      <c r="C164" s="2">
        <v>54</v>
      </c>
      <c r="D164" s="2">
        <v>2</v>
      </c>
      <c r="E164" s="2">
        <v>3</v>
      </c>
      <c r="F164" s="2">
        <v>8</v>
      </c>
      <c r="G164" s="2">
        <v>5</v>
      </c>
      <c r="H164" s="2">
        <v>33.5</v>
      </c>
      <c r="I164" s="2">
        <v>24.1</v>
      </c>
      <c r="J164" s="2">
        <v>26.8</v>
      </c>
      <c r="K164" s="2">
        <v>1987</v>
      </c>
      <c r="L164" s="5" t="s">
        <v>11</v>
      </c>
      <c r="M164" s="5">
        <v>20</v>
      </c>
      <c r="N164" s="40"/>
      <c r="O164" s="40"/>
      <c r="P164" s="33"/>
      <c r="AU164" s="2">
        <v>1987</v>
      </c>
      <c r="AV164" s="2">
        <v>24.1</v>
      </c>
      <c r="AW164" s="2">
        <v>26.8</v>
      </c>
    </row>
    <row r="165" spans="1:49" x14ac:dyDescent="0.3">
      <c r="A165" s="4" t="s">
        <v>16</v>
      </c>
      <c r="B165" s="4" t="s">
        <v>38</v>
      </c>
      <c r="C165" s="2">
        <v>26</v>
      </c>
      <c r="D165" s="2">
        <v>1</v>
      </c>
      <c r="E165" s="2">
        <v>1</v>
      </c>
      <c r="F165" s="2">
        <v>4</v>
      </c>
      <c r="G165" s="2">
        <v>6.2</v>
      </c>
      <c r="H165" s="2">
        <v>18.399999999999999</v>
      </c>
      <c r="I165" s="2">
        <v>22.3</v>
      </c>
      <c r="J165" s="2">
        <v>22.4</v>
      </c>
      <c r="K165" s="2">
        <v>1720</v>
      </c>
      <c r="L165" s="5" t="s">
        <v>11</v>
      </c>
      <c r="M165" s="5">
        <v>17</v>
      </c>
      <c r="N165" s="40">
        <v>1720</v>
      </c>
      <c r="O165" s="40">
        <f>AVERAGE(I165:I166)</f>
        <v>22.8</v>
      </c>
      <c r="P165" s="33"/>
      <c r="AU165" s="2">
        <v>1720</v>
      </c>
      <c r="AV165" s="2">
        <v>22.3</v>
      </c>
      <c r="AW165" s="2">
        <v>22.4</v>
      </c>
    </row>
    <row r="166" spans="1:49" x14ac:dyDescent="0.3">
      <c r="A166" s="4" t="s">
        <v>16</v>
      </c>
      <c r="B166" s="4" t="s">
        <v>38</v>
      </c>
      <c r="C166" s="2">
        <v>22</v>
      </c>
      <c r="D166" s="2">
        <v>1</v>
      </c>
      <c r="E166" s="2">
        <v>1</v>
      </c>
      <c r="F166" s="2">
        <v>3</v>
      </c>
      <c r="G166" s="2">
        <v>6.2</v>
      </c>
      <c r="H166" s="2">
        <v>27.7</v>
      </c>
      <c r="I166" s="2">
        <v>23.3</v>
      </c>
      <c r="J166" s="2">
        <v>22.4</v>
      </c>
      <c r="K166" s="2">
        <v>1720</v>
      </c>
      <c r="L166" s="5" t="s">
        <v>11</v>
      </c>
      <c r="M166" s="5">
        <v>17</v>
      </c>
      <c r="N166" s="40"/>
      <c r="O166" s="40"/>
      <c r="P166" s="34"/>
      <c r="AU166" s="2">
        <v>1720</v>
      </c>
      <c r="AV166" s="2">
        <v>23.3</v>
      </c>
      <c r="AW166" s="2">
        <v>22.4</v>
      </c>
    </row>
    <row r="167" spans="1:49" x14ac:dyDescent="0.3">
      <c r="A167" s="4" t="s">
        <v>18</v>
      </c>
      <c r="B167" s="4" t="s">
        <v>42</v>
      </c>
      <c r="C167" s="2">
        <v>125</v>
      </c>
      <c r="D167" s="2">
        <v>6</v>
      </c>
      <c r="E167" s="2">
        <v>8</v>
      </c>
      <c r="F167" s="2">
        <v>20</v>
      </c>
      <c r="G167" s="2">
        <v>6.2</v>
      </c>
      <c r="H167" s="2">
        <v>30.9</v>
      </c>
      <c r="I167" s="2">
        <v>20.9</v>
      </c>
      <c r="J167" s="2">
        <v>20.9</v>
      </c>
      <c r="K167" s="2">
        <v>1681</v>
      </c>
      <c r="L167" s="5" t="s">
        <v>11</v>
      </c>
      <c r="M167" s="5">
        <v>12</v>
      </c>
      <c r="N167" s="40">
        <v>1681</v>
      </c>
      <c r="O167" s="40">
        <f>AVERAGE(I167:I168)</f>
        <v>21.2</v>
      </c>
      <c r="P167" s="32">
        <v>138401.68100000001</v>
      </c>
      <c r="AU167" s="2">
        <v>1681</v>
      </c>
      <c r="AV167" s="2">
        <v>20.9</v>
      </c>
      <c r="AW167" s="2">
        <v>20.9</v>
      </c>
    </row>
    <row r="168" spans="1:49" x14ac:dyDescent="0.3">
      <c r="A168" s="4" t="s">
        <v>18</v>
      </c>
      <c r="B168" s="4" t="s">
        <v>42</v>
      </c>
      <c r="C168" s="2">
        <v>135</v>
      </c>
      <c r="D168" s="2">
        <v>6</v>
      </c>
      <c r="E168" s="2">
        <v>9</v>
      </c>
      <c r="F168" s="2">
        <v>21</v>
      </c>
      <c r="G168" s="2">
        <v>6.1</v>
      </c>
      <c r="H168" s="2">
        <v>27.6</v>
      </c>
      <c r="I168" s="2">
        <v>21.5</v>
      </c>
      <c r="J168" s="2">
        <v>20.9</v>
      </c>
      <c r="K168" s="2">
        <v>1681</v>
      </c>
      <c r="L168" s="5" t="s">
        <v>11</v>
      </c>
      <c r="M168" s="5">
        <v>12</v>
      </c>
      <c r="N168" s="40"/>
      <c r="O168" s="40"/>
      <c r="P168" s="33"/>
      <c r="AU168" s="2">
        <v>1681</v>
      </c>
      <c r="AV168" s="2">
        <v>21.5</v>
      </c>
      <c r="AW168" s="2">
        <v>20.9</v>
      </c>
    </row>
    <row r="169" spans="1:49" x14ac:dyDescent="0.3">
      <c r="A169" s="4" t="s">
        <v>18</v>
      </c>
      <c r="B169" s="4" t="s">
        <v>42</v>
      </c>
      <c r="C169" s="2">
        <v>126</v>
      </c>
      <c r="D169" s="2">
        <v>6</v>
      </c>
      <c r="E169" s="2">
        <v>8</v>
      </c>
      <c r="F169" s="2">
        <v>20</v>
      </c>
      <c r="G169" s="2">
        <v>4.9000000000000004</v>
      </c>
      <c r="H169" s="2">
        <v>54.4</v>
      </c>
      <c r="I169" s="2">
        <v>20</v>
      </c>
      <c r="J169" s="2">
        <v>20.9</v>
      </c>
      <c r="K169" s="2">
        <v>1675</v>
      </c>
      <c r="L169" s="5" t="s">
        <v>11</v>
      </c>
      <c r="M169" s="5">
        <v>12</v>
      </c>
      <c r="N169" s="40">
        <v>1675</v>
      </c>
      <c r="O169" s="40">
        <f>AVERAGE(I169:I170)</f>
        <v>19.95</v>
      </c>
      <c r="P169" s="33"/>
      <c r="AU169" s="2">
        <v>1675</v>
      </c>
      <c r="AV169" s="2">
        <v>20</v>
      </c>
      <c r="AW169" s="2">
        <v>20.9</v>
      </c>
    </row>
    <row r="170" spans="1:49" x14ac:dyDescent="0.3">
      <c r="A170" s="4" t="s">
        <v>18</v>
      </c>
      <c r="B170" s="4" t="s">
        <v>42</v>
      </c>
      <c r="C170" s="2">
        <v>120</v>
      </c>
      <c r="D170" s="2">
        <v>6</v>
      </c>
      <c r="E170" s="2">
        <v>8</v>
      </c>
      <c r="F170" s="2">
        <v>19</v>
      </c>
      <c r="G170" s="2">
        <v>4.3</v>
      </c>
      <c r="H170" s="2">
        <v>56.7</v>
      </c>
      <c r="I170" s="2">
        <v>19.899999999999999</v>
      </c>
      <c r="J170" s="2">
        <v>20.9</v>
      </c>
      <c r="K170" s="2">
        <v>1675</v>
      </c>
      <c r="L170" s="5" t="s">
        <v>11</v>
      </c>
      <c r="M170" s="5">
        <v>12</v>
      </c>
      <c r="N170" s="40"/>
      <c r="O170" s="40"/>
      <c r="P170" s="33"/>
      <c r="AU170" s="2">
        <v>1675</v>
      </c>
      <c r="AV170" s="2">
        <v>19.899999999999999</v>
      </c>
      <c r="AW170" s="2">
        <v>20.9</v>
      </c>
    </row>
    <row r="171" spans="1:49" x14ac:dyDescent="0.3">
      <c r="A171" s="4" t="s">
        <v>18</v>
      </c>
      <c r="B171" s="4" t="s">
        <v>42</v>
      </c>
      <c r="C171" s="2">
        <v>50</v>
      </c>
      <c r="D171" s="2">
        <v>2</v>
      </c>
      <c r="E171" s="2">
        <v>3</v>
      </c>
      <c r="F171" s="2">
        <v>8</v>
      </c>
      <c r="G171" s="2">
        <v>5.8</v>
      </c>
      <c r="H171" s="2">
        <v>31</v>
      </c>
      <c r="I171" s="2">
        <v>19.7</v>
      </c>
      <c r="J171" s="2">
        <v>20.5</v>
      </c>
      <c r="K171" s="2">
        <v>1779</v>
      </c>
      <c r="L171" s="5" t="s">
        <v>11</v>
      </c>
      <c r="M171" s="5">
        <v>10</v>
      </c>
      <c r="N171" s="40">
        <v>1779</v>
      </c>
      <c r="O171" s="40">
        <f>AVERAGE(I171:I172)</f>
        <v>19.850000000000001</v>
      </c>
      <c r="P171" s="33"/>
      <c r="AU171" s="2">
        <v>1779</v>
      </c>
      <c r="AV171" s="2">
        <v>19.7</v>
      </c>
      <c r="AW171" s="2">
        <v>20.5</v>
      </c>
    </row>
    <row r="172" spans="1:49" x14ac:dyDescent="0.3">
      <c r="A172" s="4" t="s">
        <v>18</v>
      </c>
      <c r="B172" s="4" t="s">
        <v>42</v>
      </c>
      <c r="C172" s="2">
        <v>64</v>
      </c>
      <c r="D172" s="2">
        <v>3</v>
      </c>
      <c r="E172" s="2">
        <v>4</v>
      </c>
      <c r="F172" s="2">
        <v>10</v>
      </c>
      <c r="G172" s="2">
        <v>5.8</v>
      </c>
      <c r="H172" s="2">
        <v>43</v>
      </c>
      <c r="I172" s="2">
        <v>20</v>
      </c>
      <c r="J172" s="2">
        <v>20.5</v>
      </c>
      <c r="K172" s="2">
        <v>1779</v>
      </c>
      <c r="L172" s="5" t="s">
        <v>11</v>
      </c>
      <c r="M172" s="5">
        <v>10</v>
      </c>
      <c r="N172" s="40"/>
      <c r="O172" s="40"/>
      <c r="P172" s="34"/>
      <c r="AU172" s="2">
        <v>1779</v>
      </c>
      <c r="AV172" s="2">
        <v>20</v>
      </c>
      <c r="AW172" s="2">
        <v>20.5</v>
      </c>
    </row>
    <row r="173" spans="1:49" x14ac:dyDescent="0.3">
      <c r="A173" s="4" t="s">
        <v>20</v>
      </c>
      <c r="B173" s="4" t="s">
        <v>49</v>
      </c>
      <c r="C173" s="2">
        <v>46</v>
      </c>
      <c r="D173" s="2">
        <v>2</v>
      </c>
      <c r="E173" s="2">
        <v>3</v>
      </c>
      <c r="F173" s="2">
        <v>2</v>
      </c>
      <c r="G173" s="2">
        <v>6.3</v>
      </c>
      <c r="H173" s="2">
        <v>21.3</v>
      </c>
      <c r="I173" s="2">
        <v>29.4</v>
      </c>
      <c r="J173" s="2">
        <v>26</v>
      </c>
      <c r="K173" s="2">
        <v>727</v>
      </c>
      <c r="L173" s="5" t="s">
        <v>13</v>
      </c>
      <c r="M173" s="5">
        <v>0</v>
      </c>
      <c r="N173" s="40">
        <v>727</v>
      </c>
      <c r="O173" s="40">
        <f>AVERAGE(I173:I176)</f>
        <v>30.15</v>
      </c>
      <c r="P173" s="32">
        <v>29198.5</v>
      </c>
      <c r="AU173" s="2">
        <v>727</v>
      </c>
      <c r="AV173" s="2">
        <v>29.4</v>
      </c>
      <c r="AW173" s="2">
        <v>26</v>
      </c>
    </row>
    <row r="174" spans="1:49" x14ac:dyDescent="0.3">
      <c r="A174" s="4" t="s">
        <v>20</v>
      </c>
      <c r="B174" s="4" t="s">
        <v>49</v>
      </c>
      <c r="C174" s="2">
        <v>21</v>
      </c>
      <c r="D174" s="2">
        <v>1</v>
      </c>
      <c r="E174" s="2">
        <v>1</v>
      </c>
      <c r="F174" s="2">
        <v>3</v>
      </c>
      <c r="G174" s="2">
        <v>6</v>
      </c>
      <c r="H174" s="2">
        <v>22</v>
      </c>
      <c r="I174" s="2">
        <v>30.5</v>
      </c>
      <c r="J174" s="2">
        <v>26</v>
      </c>
      <c r="K174" s="2">
        <v>727</v>
      </c>
      <c r="L174" s="5" t="s">
        <v>13</v>
      </c>
      <c r="M174" s="5">
        <v>0</v>
      </c>
      <c r="N174" s="40"/>
      <c r="O174" s="40"/>
      <c r="P174" s="33"/>
      <c r="AU174" s="2">
        <v>727</v>
      </c>
      <c r="AV174" s="2">
        <v>30.5</v>
      </c>
      <c r="AW174" s="2">
        <v>26</v>
      </c>
    </row>
    <row r="175" spans="1:49" x14ac:dyDescent="0.3">
      <c r="A175" s="4" t="s">
        <v>20</v>
      </c>
      <c r="B175" s="4" t="s">
        <v>49</v>
      </c>
      <c r="C175" s="2">
        <v>27</v>
      </c>
      <c r="D175" s="2">
        <v>1</v>
      </c>
      <c r="E175" s="2">
        <v>1</v>
      </c>
      <c r="F175" s="2">
        <v>4</v>
      </c>
      <c r="G175" s="2">
        <v>6</v>
      </c>
      <c r="H175" s="2">
        <v>19.600000000000001</v>
      </c>
      <c r="I175" s="2">
        <v>30.7</v>
      </c>
      <c r="J175" s="2">
        <v>26</v>
      </c>
      <c r="K175" s="2">
        <v>727</v>
      </c>
      <c r="L175" s="5" t="s">
        <v>13</v>
      </c>
      <c r="M175" s="5">
        <v>0</v>
      </c>
      <c r="N175" s="40"/>
      <c r="O175" s="40"/>
      <c r="P175" s="33"/>
      <c r="AU175" s="2">
        <v>727</v>
      </c>
      <c r="AV175" s="2">
        <v>30.7</v>
      </c>
      <c r="AW175" s="2">
        <v>26</v>
      </c>
    </row>
    <row r="176" spans="1:49" x14ac:dyDescent="0.3">
      <c r="A176" s="4" t="s">
        <v>20</v>
      </c>
      <c r="B176" s="4" t="s">
        <v>49</v>
      </c>
      <c r="C176" s="2">
        <v>31</v>
      </c>
      <c r="D176" s="2">
        <v>1</v>
      </c>
      <c r="E176" s="2">
        <v>2</v>
      </c>
      <c r="F176" s="2">
        <v>4</v>
      </c>
      <c r="G176" s="2">
        <v>5.9</v>
      </c>
      <c r="H176" s="2">
        <v>21.3</v>
      </c>
      <c r="I176" s="2">
        <v>30</v>
      </c>
      <c r="J176" s="2">
        <v>26</v>
      </c>
      <c r="K176" s="2">
        <v>727</v>
      </c>
      <c r="L176" s="5" t="s">
        <v>13</v>
      </c>
      <c r="M176" s="5">
        <v>0</v>
      </c>
      <c r="N176" s="40"/>
      <c r="O176" s="40"/>
      <c r="P176" s="34"/>
      <c r="AU176" s="2">
        <v>727</v>
      </c>
      <c r="AV176" s="2">
        <v>30</v>
      </c>
      <c r="AW176" s="2">
        <v>26</v>
      </c>
    </row>
    <row r="177" spans="1:49" x14ac:dyDescent="0.3">
      <c r="A177" s="4" t="s">
        <v>22</v>
      </c>
      <c r="B177" s="4" t="s">
        <v>53</v>
      </c>
      <c r="C177" s="2">
        <v>91</v>
      </c>
      <c r="D177" s="2">
        <v>4</v>
      </c>
      <c r="E177" s="2">
        <v>6</v>
      </c>
      <c r="F177" s="2">
        <v>14</v>
      </c>
      <c r="G177" s="2">
        <v>6.2</v>
      </c>
      <c r="H177" s="2">
        <v>34.799999999999997</v>
      </c>
      <c r="I177" s="2">
        <v>21.5</v>
      </c>
      <c r="J177" s="2">
        <v>20</v>
      </c>
      <c r="K177" s="2">
        <v>1558</v>
      </c>
      <c r="L177" s="5" t="s">
        <v>11</v>
      </c>
      <c r="M177" s="5">
        <v>40</v>
      </c>
      <c r="N177" s="40">
        <v>1558</v>
      </c>
      <c r="O177" s="40">
        <f>AVERAGE(I177:I178)</f>
        <v>21.35</v>
      </c>
      <c r="P177" s="35"/>
      <c r="AU177" s="2">
        <v>1558</v>
      </c>
      <c r="AV177" s="2">
        <v>21.5</v>
      </c>
      <c r="AW177" s="2">
        <v>20</v>
      </c>
    </row>
    <row r="178" spans="1:49" x14ac:dyDescent="0.3">
      <c r="A178" s="4" t="s">
        <v>22</v>
      </c>
      <c r="B178" s="4" t="s">
        <v>53</v>
      </c>
      <c r="C178" s="2">
        <v>72</v>
      </c>
      <c r="D178" s="2">
        <v>3</v>
      </c>
      <c r="E178" s="2">
        <v>5</v>
      </c>
      <c r="F178" s="2">
        <v>11</v>
      </c>
      <c r="G178" s="2">
        <v>6.6</v>
      </c>
      <c r="H178" s="2">
        <v>27.4</v>
      </c>
      <c r="I178" s="2">
        <v>21.2</v>
      </c>
      <c r="J178" s="2">
        <v>20</v>
      </c>
      <c r="K178" s="2">
        <v>1558</v>
      </c>
      <c r="L178" s="5" t="s">
        <v>11</v>
      </c>
      <c r="M178" s="5">
        <v>40</v>
      </c>
      <c r="N178" s="40"/>
      <c r="O178" s="40"/>
      <c r="P178" s="33"/>
      <c r="AU178" s="2">
        <v>1558</v>
      </c>
      <c r="AV178" s="2">
        <v>21.2</v>
      </c>
      <c r="AW178" s="2">
        <v>20</v>
      </c>
    </row>
    <row r="179" spans="1:49" x14ac:dyDescent="0.3">
      <c r="A179" s="4" t="s">
        <v>22</v>
      </c>
      <c r="B179" s="4" t="s">
        <v>54</v>
      </c>
      <c r="C179" s="2">
        <v>67</v>
      </c>
      <c r="D179" s="2">
        <v>3</v>
      </c>
      <c r="E179" s="2">
        <v>4</v>
      </c>
      <c r="F179" s="2">
        <v>10</v>
      </c>
      <c r="G179" s="2">
        <v>5.8</v>
      </c>
      <c r="H179" s="2">
        <v>31.2</v>
      </c>
      <c r="I179" s="2">
        <v>20</v>
      </c>
      <c r="J179" s="2">
        <v>20</v>
      </c>
      <c r="K179" s="2">
        <v>1535</v>
      </c>
      <c r="L179" s="5" t="s">
        <v>11</v>
      </c>
      <c r="M179" s="5">
        <v>25</v>
      </c>
      <c r="N179" s="40">
        <v>1535</v>
      </c>
      <c r="O179" s="40">
        <f>AVERAGE(I179:I180)</f>
        <v>20.25</v>
      </c>
      <c r="P179" s="33"/>
      <c r="AU179" s="2">
        <v>1535</v>
      </c>
      <c r="AV179" s="2">
        <v>20</v>
      </c>
      <c r="AW179" s="2">
        <v>20</v>
      </c>
    </row>
    <row r="180" spans="1:49" x14ac:dyDescent="0.3">
      <c r="A180" s="4" t="s">
        <v>22</v>
      </c>
      <c r="B180" s="4" t="s">
        <v>54</v>
      </c>
      <c r="C180" s="2">
        <v>33</v>
      </c>
      <c r="D180" s="2">
        <v>1</v>
      </c>
      <c r="E180" s="2">
        <v>2</v>
      </c>
      <c r="F180" s="2">
        <v>5</v>
      </c>
      <c r="G180" s="2">
        <v>6.1</v>
      </c>
      <c r="H180" s="2">
        <v>32.4</v>
      </c>
      <c r="I180" s="2">
        <v>20.5</v>
      </c>
      <c r="J180" s="2">
        <v>20</v>
      </c>
      <c r="K180" s="2">
        <v>1535</v>
      </c>
      <c r="L180" s="5" t="s">
        <v>11</v>
      </c>
      <c r="M180" s="5">
        <v>25</v>
      </c>
      <c r="N180" s="40"/>
      <c r="O180" s="40"/>
      <c r="P180" s="33"/>
      <c r="AU180" s="2">
        <v>1535</v>
      </c>
      <c r="AV180" s="2">
        <v>20.5</v>
      </c>
      <c r="AW180" s="2">
        <v>20</v>
      </c>
    </row>
    <row r="181" spans="1:49" x14ac:dyDescent="0.3">
      <c r="A181" s="4" t="s">
        <v>22</v>
      </c>
      <c r="B181" s="4" t="s">
        <v>55</v>
      </c>
      <c r="C181" s="2">
        <v>134</v>
      </c>
      <c r="D181" s="2">
        <v>6</v>
      </c>
      <c r="E181" s="2">
        <v>9</v>
      </c>
      <c r="F181" s="2">
        <v>21</v>
      </c>
      <c r="G181" s="2">
        <v>5.5</v>
      </c>
      <c r="H181" s="2">
        <v>56</v>
      </c>
      <c r="I181" s="2">
        <v>28</v>
      </c>
      <c r="J181" s="2">
        <v>25</v>
      </c>
      <c r="K181" s="2">
        <v>749</v>
      </c>
      <c r="L181" s="5" t="s">
        <v>12</v>
      </c>
      <c r="M181" s="5"/>
      <c r="N181" s="8">
        <v>749</v>
      </c>
      <c r="O181" s="8">
        <f>AVERAGE(I181)</f>
        <v>28</v>
      </c>
      <c r="P181" s="34"/>
      <c r="AU181" s="2">
        <v>749</v>
      </c>
      <c r="AV181" s="2">
        <v>28</v>
      </c>
      <c r="AW181" s="2">
        <v>25</v>
      </c>
    </row>
    <row r="182" spans="1:49" x14ac:dyDescent="0.3">
      <c r="A182" s="4" t="s">
        <v>23</v>
      </c>
      <c r="B182" s="4" t="s">
        <v>56</v>
      </c>
      <c r="C182" s="2">
        <v>31</v>
      </c>
      <c r="D182" s="2">
        <v>1</v>
      </c>
      <c r="E182" s="2">
        <v>2</v>
      </c>
      <c r="F182" s="2">
        <v>5</v>
      </c>
      <c r="G182" s="2">
        <v>6.1</v>
      </c>
      <c r="H182" s="2">
        <v>28.1</v>
      </c>
      <c r="I182" s="2">
        <v>26.5</v>
      </c>
      <c r="J182" s="2">
        <v>22</v>
      </c>
      <c r="K182" s="2">
        <v>1213</v>
      </c>
      <c r="L182" s="5" t="s">
        <v>11</v>
      </c>
      <c r="M182" s="5">
        <v>18</v>
      </c>
      <c r="N182" s="8">
        <v>1213</v>
      </c>
      <c r="O182" s="8">
        <f>AVERAGE(I182)</f>
        <v>26.5</v>
      </c>
      <c r="P182" s="35">
        <v>545</v>
      </c>
      <c r="AU182" s="2">
        <v>1213</v>
      </c>
      <c r="AV182" s="2">
        <v>26.5</v>
      </c>
      <c r="AW182" s="2">
        <v>22</v>
      </c>
    </row>
    <row r="183" spans="1:49" x14ac:dyDescent="0.3">
      <c r="A183" s="4" t="s">
        <v>23</v>
      </c>
      <c r="B183" s="4" t="s">
        <v>56</v>
      </c>
      <c r="C183" s="2">
        <v>22</v>
      </c>
      <c r="D183" s="2">
        <v>1</v>
      </c>
      <c r="E183" s="2">
        <v>1</v>
      </c>
      <c r="F183" s="2">
        <v>3</v>
      </c>
      <c r="G183" s="2">
        <v>6.3</v>
      </c>
      <c r="H183" s="2">
        <v>25.5</v>
      </c>
      <c r="I183" s="2">
        <v>26.2</v>
      </c>
      <c r="J183" s="2">
        <v>22</v>
      </c>
      <c r="K183" s="2">
        <v>1203</v>
      </c>
      <c r="L183" s="5" t="s">
        <v>11</v>
      </c>
      <c r="M183" s="5">
        <v>18</v>
      </c>
      <c r="N183" s="8">
        <v>1203</v>
      </c>
      <c r="O183" s="8">
        <f>AVERAGE(I183)</f>
        <v>26.2</v>
      </c>
      <c r="P183" s="34"/>
      <c r="AU183" s="2">
        <v>1203</v>
      </c>
      <c r="AV183" s="2">
        <v>26.2</v>
      </c>
      <c r="AW183" s="2">
        <v>22</v>
      </c>
    </row>
    <row r="184" spans="1:49" x14ac:dyDescent="0.3">
      <c r="A184" s="4" t="s">
        <v>24</v>
      </c>
      <c r="B184" s="4" t="s">
        <v>59</v>
      </c>
      <c r="C184" s="2">
        <v>34</v>
      </c>
      <c r="D184" s="2">
        <v>1</v>
      </c>
      <c r="E184" s="2">
        <v>2</v>
      </c>
      <c r="F184" s="2">
        <v>5</v>
      </c>
      <c r="G184" s="2">
        <v>6.3</v>
      </c>
      <c r="H184" s="2">
        <v>21.8</v>
      </c>
      <c r="I184" s="2">
        <v>24.6</v>
      </c>
      <c r="J184" s="2">
        <v>20</v>
      </c>
      <c r="K184" s="2">
        <v>1265</v>
      </c>
      <c r="L184" s="5" t="s">
        <v>11</v>
      </c>
      <c r="M184" s="5">
        <v>45</v>
      </c>
      <c r="N184" s="40">
        <v>1265</v>
      </c>
      <c r="O184" s="40">
        <f>AVERAGE(I184:I185)</f>
        <v>24.6</v>
      </c>
      <c r="P184" s="32">
        <v>185927.7</v>
      </c>
      <c r="AU184" s="2">
        <v>1265</v>
      </c>
      <c r="AV184" s="2">
        <v>24.6</v>
      </c>
      <c r="AW184" s="2">
        <v>20</v>
      </c>
    </row>
    <row r="185" spans="1:49" x14ac:dyDescent="0.3">
      <c r="A185" s="4" t="s">
        <v>24</v>
      </c>
      <c r="B185" s="4" t="s">
        <v>59</v>
      </c>
      <c r="C185" s="2">
        <v>32</v>
      </c>
      <c r="D185" s="2">
        <v>1</v>
      </c>
      <c r="E185" s="2">
        <v>2</v>
      </c>
      <c r="F185" s="2">
        <v>5</v>
      </c>
      <c r="G185" s="2">
        <v>6.2</v>
      </c>
      <c r="H185" s="2">
        <v>20.3</v>
      </c>
      <c r="I185" s="2">
        <v>24.6</v>
      </c>
      <c r="J185" s="2">
        <v>20</v>
      </c>
      <c r="K185" s="2">
        <v>1265</v>
      </c>
      <c r="L185" s="5" t="s">
        <v>11</v>
      </c>
      <c r="M185" s="5">
        <v>45</v>
      </c>
      <c r="N185" s="40"/>
      <c r="O185" s="40"/>
      <c r="P185" s="34"/>
      <c r="AU185" s="2">
        <v>1265</v>
      </c>
      <c r="AV185" s="2">
        <v>24.6</v>
      </c>
      <c r="AW185" s="2">
        <v>20</v>
      </c>
    </row>
  </sheetData>
  <mergeCells count="152">
    <mergeCell ref="N184:N185"/>
    <mergeCell ref="O184:O185"/>
    <mergeCell ref="N45:N46"/>
    <mergeCell ref="O45:O46"/>
    <mergeCell ref="N47:N48"/>
    <mergeCell ref="O47:O48"/>
    <mergeCell ref="N177:N178"/>
    <mergeCell ref="O177:O178"/>
    <mergeCell ref="N179:N180"/>
    <mergeCell ref="O179:O180"/>
    <mergeCell ref="N171:N172"/>
    <mergeCell ref="O171:O172"/>
    <mergeCell ref="N173:N176"/>
    <mergeCell ref="O173:O176"/>
    <mergeCell ref="N167:N168"/>
    <mergeCell ref="O167:O168"/>
    <mergeCell ref="N169:N170"/>
    <mergeCell ref="O169:O170"/>
    <mergeCell ref="N163:N164"/>
    <mergeCell ref="O163:O164"/>
    <mergeCell ref="N165:N166"/>
    <mergeCell ref="O165:O166"/>
    <mergeCell ref="N153:N156"/>
    <mergeCell ref="O153:O156"/>
    <mergeCell ref="N157:N160"/>
    <mergeCell ref="O157:O160"/>
    <mergeCell ref="N147:N148"/>
    <mergeCell ref="O147:O148"/>
    <mergeCell ref="N149:N152"/>
    <mergeCell ref="O149:O152"/>
    <mergeCell ref="O143:O144"/>
    <mergeCell ref="N143:N144"/>
    <mergeCell ref="N145:N146"/>
    <mergeCell ref="O145:O146"/>
    <mergeCell ref="N139:N140"/>
    <mergeCell ref="O139:O140"/>
    <mergeCell ref="N141:N142"/>
    <mergeCell ref="O141:O142"/>
    <mergeCell ref="N129:N132"/>
    <mergeCell ref="O129:O132"/>
    <mergeCell ref="N133:N136"/>
    <mergeCell ref="O133:O136"/>
    <mergeCell ref="N125:N126"/>
    <mergeCell ref="O125:O126"/>
    <mergeCell ref="N127:N128"/>
    <mergeCell ref="O127:O128"/>
    <mergeCell ref="N119:N122"/>
    <mergeCell ref="O119:O122"/>
    <mergeCell ref="N123:N124"/>
    <mergeCell ref="O123:O124"/>
    <mergeCell ref="N113:N114"/>
    <mergeCell ref="O113:O114"/>
    <mergeCell ref="N115:N118"/>
    <mergeCell ref="O115:O118"/>
    <mergeCell ref="N109:N110"/>
    <mergeCell ref="O109:O110"/>
    <mergeCell ref="N111:N112"/>
    <mergeCell ref="O111:O112"/>
    <mergeCell ref="N105:N106"/>
    <mergeCell ref="O105:O106"/>
    <mergeCell ref="N107:N108"/>
    <mergeCell ref="O107:O108"/>
    <mergeCell ref="N101:N102"/>
    <mergeCell ref="O101:O102"/>
    <mergeCell ref="N103:N104"/>
    <mergeCell ref="O103:O104"/>
    <mergeCell ref="N97:N98"/>
    <mergeCell ref="O97:O98"/>
    <mergeCell ref="N99:N100"/>
    <mergeCell ref="O99:O100"/>
    <mergeCell ref="N93:N94"/>
    <mergeCell ref="O93:O94"/>
    <mergeCell ref="N95:N96"/>
    <mergeCell ref="O95:O96"/>
    <mergeCell ref="N89:N90"/>
    <mergeCell ref="O89:O90"/>
    <mergeCell ref="N91:N92"/>
    <mergeCell ref="O91:O92"/>
    <mergeCell ref="N81:N84"/>
    <mergeCell ref="O81:O84"/>
    <mergeCell ref="N85:N88"/>
    <mergeCell ref="O85:O88"/>
    <mergeCell ref="N75:N76"/>
    <mergeCell ref="O75:O76"/>
    <mergeCell ref="N77:N80"/>
    <mergeCell ref="O77:O80"/>
    <mergeCell ref="N71:N72"/>
    <mergeCell ref="O71:O72"/>
    <mergeCell ref="N73:N74"/>
    <mergeCell ref="O73:O74"/>
    <mergeCell ref="N65:N66"/>
    <mergeCell ref="O65:O66"/>
    <mergeCell ref="N67:N68"/>
    <mergeCell ref="O67:O68"/>
    <mergeCell ref="N55:N62"/>
    <mergeCell ref="O55:O62"/>
    <mergeCell ref="N63:N64"/>
    <mergeCell ref="O63:O64"/>
    <mergeCell ref="N51:N52"/>
    <mergeCell ref="O51:O52"/>
    <mergeCell ref="N53:N54"/>
    <mergeCell ref="O53:O54"/>
    <mergeCell ref="N49:N50"/>
    <mergeCell ref="O49:O50"/>
    <mergeCell ref="N37:N40"/>
    <mergeCell ref="O37:O40"/>
    <mergeCell ref="N41:N44"/>
    <mergeCell ref="O41:O44"/>
    <mergeCell ref="N29:N32"/>
    <mergeCell ref="O29:O32"/>
    <mergeCell ref="N33:N36"/>
    <mergeCell ref="O33:O36"/>
    <mergeCell ref="N21:N24"/>
    <mergeCell ref="O21:O24"/>
    <mergeCell ref="N25:N28"/>
    <mergeCell ref="O25:O28"/>
    <mergeCell ref="N15:N16"/>
    <mergeCell ref="O15:O16"/>
    <mergeCell ref="N17:N20"/>
    <mergeCell ref="O17:O20"/>
    <mergeCell ref="N11:N12"/>
    <mergeCell ref="O11:O12"/>
    <mergeCell ref="N13:N14"/>
    <mergeCell ref="O13:O14"/>
    <mergeCell ref="N3:N6"/>
    <mergeCell ref="O3:O6"/>
    <mergeCell ref="N7:N10"/>
    <mergeCell ref="O7:O10"/>
    <mergeCell ref="P3:P10"/>
    <mergeCell ref="P11:P14"/>
    <mergeCell ref="P15:P20"/>
    <mergeCell ref="P21:P32"/>
    <mergeCell ref="P33:P36"/>
    <mergeCell ref="P37:P44"/>
    <mergeCell ref="P45:P54"/>
    <mergeCell ref="P55:P62"/>
    <mergeCell ref="P63:P68"/>
    <mergeCell ref="P163:P166"/>
    <mergeCell ref="P167:P172"/>
    <mergeCell ref="P173:P176"/>
    <mergeCell ref="P177:P181"/>
    <mergeCell ref="P182:P183"/>
    <mergeCell ref="P184:P185"/>
    <mergeCell ref="P71:P84"/>
    <mergeCell ref="P85:P88"/>
    <mergeCell ref="P89:P90"/>
    <mergeCell ref="P91:P106"/>
    <mergeCell ref="P107:P128"/>
    <mergeCell ref="P129:P136"/>
    <mergeCell ref="P137:P142"/>
    <mergeCell ref="P143:P148"/>
    <mergeCell ref="P149:P16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7A60-93E0-4E61-BC90-47459F37706C}">
  <dimension ref="A1:P277"/>
  <sheetViews>
    <sheetView zoomScale="93" zoomScaleNormal="93" workbookViewId="0">
      <selection activeCell="M76" sqref="M76:M79"/>
    </sheetView>
  </sheetViews>
  <sheetFormatPr defaultRowHeight="14.4" x14ac:dyDescent="0.3"/>
  <cols>
    <col min="1" max="1" width="14.6640625" style="7" customWidth="1"/>
    <col min="2" max="2" width="13.33203125" style="7" customWidth="1"/>
    <col min="3" max="8" width="8.88671875" style="7"/>
    <col min="9" max="9" width="11.6640625" style="7" customWidth="1"/>
    <col min="10" max="11" width="8.88671875" style="7"/>
    <col min="12" max="12" width="10.33203125" style="8" customWidth="1"/>
    <col min="13" max="13" width="11.33203125" style="8" customWidth="1"/>
  </cols>
  <sheetData>
    <row r="1" spans="1:16" x14ac:dyDescent="0.3">
      <c r="A1" s="1" t="s">
        <v>14</v>
      </c>
      <c r="B1" s="1" t="s">
        <v>29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68</v>
      </c>
      <c r="M1" s="2" t="s">
        <v>10</v>
      </c>
    </row>
    <row r="2" spans="1:16" x14ac:dyDescent="0.3">
      <c r="A2" s="3" t="s">
        <v>15</v>
      </c>
      <c r="B2" s="4" t="s">
        <v>30</v>
      </c>
      <c r="C2" s="2">
        <v>101</v>
      </c>
      <c r="D2" s="2">
        <v>5</v>
      </c>
      <c r="E2" s="2">
        <v>7</v>
      </c>
      <c r="F2" s="2">
        <v>16</v>
      </c>
      <c r="G2" s="2">
        <v>6.2</v>
      </c>
      <c r="H2" s="2">
        <v>26.9</v>
      </c>
      <c r="I2" s="2">
        <v>20.8</v>
      </c>
      <c r="J2" s="2">
        <v>28.1</v>
      </c>
      <c r="K2" s="2">
        <v>2002</v>
      </c>
      <c r="L2" s="5">
        <v>1</v>
      </c>
      <c r="M2" s="5">
        <v>30</v>
      </c>
    </row>
    <row r="3" spans="1:16" x14ac:dyDescent="0.3">
      <c r="A3" s="3" t="s">
        <v>15</v>
      </c>
      <c r="B3" s="4" t="s">
        <v>30</v>
      </c>
      <c r="C3" s="2">
        <v>41</v>
      </c>
      <c r="D3" s="2">
        <v>2</v>
      </c>
      <c r="E3" s="2">
        <v>2</v>
      </c>
      <c r="F3" s="2">
        <v>6</v>
      </c>
      <c r="G3" s="2">
        <v>6.3</v>
      </c>
      <c r="H3" s="2">
        <v>26.4</v>
      </c>
      <c r="I3" s="2">
        <v>19.899999999999999</v>
      </c>
      <c r="J3" s="2">
        <v>28.1</v>
      </c>
      <c r="K3" s="2">
        <v>2002</v>
      </c>
      <c r="L3" s="5">
        <v>1</v>
      </c>
      <c r="M3" s="5">
        <v>30</v>
      </c>
    </row>
    <row r="4" spans="1:16" x14ac:dyDescent="0.3">
      <c r="A4" s="3" t="s">
        <v>15</v>
      </c>
      <c r="B4" s="4" t="s">
        <v>31</v>
      </c>
      <c r="C4" s="2">
        <v>118</v>
      </c>
      <c r="D4" s="2">
        <v>5</v>
      </c>
      <c r="E4" s="2">
        <v>8</v>
      </c>
      <c r="F4" s="2">
        <v>18</v>
      </c>
      <c r="G4" s="2">
        <v>5.5</v>
      </c>
      <c r="H4" s="2">
        <v>44.9</v>
      </c>
      <c r="I4" s="2">
        <v>21.8</v>
      </c>
      <c r="J4" s="2">
        <v>27</v>
      </c>
      <c r="K4" s="2">
        <v>1823</v>
      </c>
      <c r="L4" s="5">
        <v>1</v>
      </c>
      <c r="M4" s="5">
        <v>25</v>
      </c>
    </row>
    <row r="5" spans="1:16" x14ac:dyDescent="0.3">
      <c r="A5" s="3" t="s">
        <v>15</v>
      </c>
      <c r="B5" s="4" t="s">
        <v>32</v>
      </c>
      <c r="C5" s="2">
        <v>22</v>
      </c>
      <c r="D5" s="2">
        <v>1</v>
      </c>
      <c r="E5" s="2">
        <v>1</v>
      </c>
      <c r="F5" s="2">
        <v>3</v>
      </c>
      <c r="G5" s="2">
        <v>6.5</v>
      </c>
      <c r="H5" s="2">
        <v>37.799999999999997</v>
      </c>
      <c r="I5" s="2">
        <v>25.2</v>
      </c>
      <c r="J5" s="2">
        <v>20</v>
      </c>
      <c r="K5" s="2">
        <v>1612</v>
      </c>
      <c r="L5" s="5">
        <v>1</v>
      </c>
      <c r="M5" s="5">
        <v>25</v>
      </c>
      <c r="P5">
        <f>COUNTIF(L2:L162, "1")</f>
        <v>122</v>
      </c>
    </row>
    <row r="6" spans="1:16" x14ac:dyDescent="0.3">
      <c r="A6" s="3" t="s">
        <v>15</v>
      </c>
      <c r="B6" s="4" t="s">
        <v>32</v>
      </c>
      <c r="C6" s="2">
        <v>7</v>
      </c>
      <c r="D6" s="2">
        <v>0</v>
      </c>
      <c r="E6" s="2">
        <v>0</v>
      </c>
      <c r="F6" s="2">
        <v>1</v>
      </c>
      <c r="G6" s="2">
        <v>6.6</v>
      </c>
      <c r="H6" s="2">
        <v>27.2</v>
      </c>
      <c r="I6" s="2">
        <v>22.6</v>
      </c>
      <c r="J6" s="2">
        <v>20</v>
      </c>
      <c r="K6" s="2">
        <v>1612</v>
      </c>
      <c r="L6" s="5">
        <v>1</v>
      </c>
      <c r="M6" s="5">
        <v>25</v>
      </c>
      <c r="P6">
        <f>COUNTIF(L2:L162, "0")</f>
        <v>25</v>
      </c>
    </row>
    <row r="7" spans="1:16" x14ac:dyDescent="0.3">
      <c r="A7" s="4" t="s">
        <v>15</v>
      </c>
      <c r="B7" s="4" t="s">
        <v>33</v>
      </c>
      <c r="C7" s="2">
        <v>45</v>
      </c>
      <c r="D7" s="2">
        <v>2</v>
      </c>
      <c r="E7" s="2">
        <v>3</v>
      </c>
      <c r="F7" s="2">
        <v>7</v>
      </c>
      <c r="G7" s="2">
        <v>6.2</v>
      </c>
      <c r="H7" s="2">
        <v>32.6</v>
      </c>
      <c r="I7" s="2">
        <v>19.5</v>
      </c>
      <c r="J7" s="2">
        <v>18</v>
      </c>
      <c r="K7" s="2">
        <v>1900</v>
      </c>
      <c r="L7" s="5">
        <v>1</v>
      </c>
      <c r="M7" s="5">
        <v>20</v>
      </c>
      <c r="P7">
        <f>COUNTIF(L2:L162, "-1")</f>
        <v>14</v>
      </c>
    </row>
    <row r="8" spans="1:16" x14ac:dyDescent="0.3">
      <c r="A8" s="4" t="s">
        <v>15</v>
      </c>
      <c r="B8" s="4" t="s">
        <v>33</v>
      </c>
      <c r="C8" s="2">
        <v>69</v>
      </c>
      <c r="D8" s="2">
        <v>3</v>
      </c>
      <c r="E8" s="2">
        <v>4</v>
      </c>
      <c r="F8" s="2">
        <v>11</v>
      </c>
      <c r="G8" s="2">
        <v>5.5</v>
      </c>
      <c r="H8" s="2">
        <v>34.5</v>
      </c>
      <c r="I8" s="2">
        <v>21.6</v>
      </c>
      <c r="J8" s="2">
        <v>18</v>
      </c>
      <c r="K8" s="2">
        <v>1900</v>
      </c>
      <c r="L8" s="5">
        <v>1</v>
      </c>
      <c r="M8" s="5">
        <v>20</v>
      </c>
      <c r="P8">
        <f>SUM(P7,P5,P6)</f>
        <v>161</v>
      </c>
    </row>
    <row r="9" spans="1:16" x14ac:dyDescent="0.3">
      <c r="A9" s="4" t="s">
        <v>15</v>
      </c>
      <c r="B9" s="4" t="s">
        <v>33</v>
      </c>
      <c r="C9" s="2">
        <v>41</v>
      </c>
      <c r="D9" s="2">
        <v>2</v>
      </c>
      <c r="E9" s="2">
        <v>2</v>
      </c>
      <c r="F9" s="2">
        <v>6</v>
      </c>
      <c r="G9" s="2">
        <v>6</v>
      </c>
      <c r="H9" s="2">
        <v>37</v>
      </c>
      <c r="I9" s="2">
        <v>20.3</v>
      </c>
      <c r="J9" s="2">
        <v>18</v>
      </c>
      <c r="K9" s="2">
        <v>1900</v>
      </c>
      <c r="L9" s="5">
        <v>1</v>
      </c>
      <c r="M9" s="5">
        <v>20</v>
      </c>
    </row>
    <row r="10" spans="1:16" x14ac:dyDescent="0.3">
      <c r="A10" s="4" t="s">
        <v>15</v>
      </c>
      <c r="B10" s="4" t="s">
        <v>33</v>
      </c>
      <c r="C10" s="2">
        <v>66</v>
      </c>
      <c r="D10" s="2">
        <v>3</v>
      </c>
      <c r="E10" s="2">
        <v>4</v>
      </c>
      <c r="F10" s="2">
        <v>10</v>
      </c>
      <c r="G10" s="2">
        <v>5.8</v>
      </c>
      <c r="H10" s="2">
        <v>35.1</v>
      </c>
      <c r="I10" s="2">
        <v>20.5</v>
      </c>
      <c r="J10" s="2">
        <v>18</v>
      </c>
      <c r="K10" s="2">
        <v>1900</v>
      </c>
      <c r="L10" s="5">
        <v>1</v>
      </c>
      <c r="M10" s="5">
        <v>20</v>
      </c>
    </row>
    <row r="11" spans="1:16" x14ac:dyDescent="0.3">
      <c r="A11" s="4" t="s">
        <v>15</v>
      </c>
      <c r="B11" s="4" t="s">
        <v>33</v>
      </c>
      <c r="C11" s="2">
        <v>92</v>
      </c>
      <c r="D11" s="2">
        <v>4</v>
      </c>
      <c r="E11" s="2">
        <v>6</v>
      </c>
      <c r="F11" s="2">
        <v>14</v>
      </c>
      <c r="G11" s="2">
        <v>6.8</v>
      </c>
      <c r="H11" s="2">
        <v>33.799999999999997</v>
      </c>
      <c r="I11" s="2">
        <v>18.2</v>
      </c>
      <c r="J11" s="2">
        <v>18</v>
      </c>
      <c r="K11" s="2">
        <v>1895</v>
      </c>
      <c r="L11" s="5">
        <v>1</v>
      </c>
      <c r="M11" s="5">
        <v>20</v>
      </c>
    </row>
    <row r="12" spans="1:16" x14ac:dyDescent="0.3">
      <c r="A12" s="4" t="s">
        <v>15</v>
      </c>
      <c r="B12" s="4" t="s">
        <v>33</v>
      </c>
      <c r="C12" s="2">
        <v>76</v>
      </c>
      <c r="D12" s="2">
        <v>3</v>
      </c>
      <c r="E12" s="2">
        <v>5</v>
      </c>
      <c r="F12" s="2">
        <v>12</v>
      </c>
      <c r="G12" s="2">
        <v>5.5</v>
      </c>
      <c r="H12" s="2">
        <v>32.6</v>
      </c>
      <c r="I12" s="2">
        <v>17.3</v>
      </c>
      <c r="J12" s="2">
        <v>18</v>
      </c>
      <c r="K12" s="2">
        <v>1895</v>
      </c>
      <c r="L12" s="5">
        <v>1</v>
      </c>
      <c r="M12" s="5">
        <v>20</v>
      </c>
    </row>
    <row r="13" spans="1:16" x14ac:dyDescent="0.3">
      <c r="A13" s="4" t="s">
        <v>15</v>
      </c>
      <c r="B13" s="4" t="s">
        <v>33</v>
      </c>
      <c r="C13" s="2">
        <v>78</v>
      </c>
      <c r="D13" s="2">
        <v>3</v>
      </c>
      <c r="E13" s="2">
        <v>5</v>
      </c>
      <c r="F13" s="2">
        <v>12</v>
      </c>
      <c r="G13" s="2">
        <v>5.5</v>
      </c>
      <c r="H13" s="2">
        <v>26.7</v>
      </c>
      <c r="I13" s="2">
        <v>18.7</v>
      </c>
      <c r="J13" s="2">
        <v>18</v>
      </c>
      <c r="K13" s="2">
        <v>1895</v>
      </c>
      <c r="L13" s="5">
        <v>1</v>
      </c>
      <c r="M13" s="5">
        <v>20</v>
      </c>
    </row>
    <row r="14" spans="1:16" x14ac:dyDescent="0.3">
      <c r="A14" s="4" t="s">
        <v>15</v>
      </c>
      <c r="B14" s="4" t="s">
        <v>34</v>
      </c>
      <c r="C14" s="2">
        <v>93</v>
      </c>
      <c r="D14" s="2">
        <v>4</v>
      </c>
      <c r="E14" s="2">
        <v>6</v>
      </c>
      <c r="F14" s="2">
        <v>14</v>
      </c>
      <c r="G14" s="2">
        <v>6.1</v>
      </c>
      <c r="H14" s="2">
        <v>32.1</v>
      </c>
      <c r="I14" s="2">
        <v>19.8</v>
      </c>
      <c r="J14" s="2">
        <v>19</v>
      </c>
      <c r="K14" s="2">
        <v>2122</v>
      </c>
      <c r="L14" s="5">
        <v>1</v>
      </c>
      <c r="M14" s="5">
        <v>20</v>
      </c>
    </row>
    <row r="15" spans="1:16" x14ac:dyDescent="0.3">
      <c r="A15" s="4" t="s">
        <v>15</v>
      </c>
      <c r="B15" s="4" t="s">
        <v>34</v>
      </c>
      <c r="C15" s="2">
        <v>97</v>
      </c>
      <c r="D15" s="2">
        <v>3</v>
      </c>
      <c r="E15" s="2">
        <v>4</v>
      </c>
      <c r="F15" s="2">
        <v>10</v>
      </c>
      <c r="G15" s="2">
        <v>6</v>
      </c>
      <c r="H15" s="2">
        <v>32</v>
      </c>
      <c r="I15" s="2">
        <v>16.899999999999999</v>
      </c>
      <c r="J15" s="2">
        <v>19</v>
      </c>
      <c r="K15" s="2">
        <v>2122</v>
      </c>
      <c r="L15" s="5">
        <v>1</v>
      </c>
      <c r="M15" s="5">
        <v>20</v>
      </c>
    </row>
    <row r="16" spans="1:16" x14ac:dyDescent="0.3">
      <c r="A16" s="4" t="s">
        <v>15</v>
      </c>
      <c r="B16" s="4" t="s">
        <v>34</v>
      </c>
      <c r="C16" s="2">
        <v>61</v>
      </c>
      <c r="D16" s="2">
        <v>3</v>
      </c>
      <c r="E16" s="2">
        <v>4</v>
      </c>
      <c r="F16" s="2">
        <v>9</v>
      </c>
      <c r="G16" s="2">
        <v>6.1</v>
      </c>
      <c r="H16" s="2">
        <v>34</v>
      </c>
      <c r="I16" s="2">
        <v>18</v>
      </c>
      <c r="J16" s="2">
        <v>19</v>
      </c>
      <c r="K16" s="2">
        <v>2122</v>
      </c>
      <c r="L16" s="5">
        <v>1</v>
      </c>
      <c r="M16" s="5">
        <v>20</v>
      </c>
    </row>
    <row r="17" spans="1:13" x14ac:dyDescent="0.3">
      <c r="A17" s="4" t="s">
        <v>15</v>
      </c>
      <c r="B17" s="4" t="s">
        <v>34</v>
      </c>
      <c r="C17" s="2">
        <v>62</v>
      </c>
      <c r="D17" s="2">
        <v>3</v>
      </c>
      <c r="E17" s="2">
        <v>4</v>
      </c>
      <c r="F17" s="2">
        <v>10</v>
      </c>
      <c r="G17" s="2">
        <v>6</v>
      </c>
      <c r="H17" s="2">
        <v>33.9</v>
      </c>
      <c r="I17" s="2">
        <v>19.2</v>
      </c>
      <c r="J17" s="2">
        <v>19</v>
      </c>
      <c r="K17" s="2">
        <v>2122</v>
      </c>
      <c r="L17" s="5">
        <v>1</v>
      </c>
      <c r="M17" s="5">
        <v>20</v>
      </c>
    </row>
    <row r="18" spans="1:13" x14ac:dyDescent="0.3">
      <c r="A18" s="4" t="s">
        <v>15</v>
      </c>
      <c r="B18" s="4" t="s">
        <v>34</v>
      </c>
      <c r="C18" s="2">
        <v>108</v>
      </c>
      <c r="D18" s="2">
        <v>5</v>
      </c>
      <c r="E18" s="2">
        <v>7</v>
      </c>
      <c r="F18" s="2">
        <v>17</v>
      </c>
      <c r="G18" s="2">
        <v>5.8</v>
      </c>
      <c r="H18" s="2">
        <v>41.8</v>
      </c>
      <c r="I18" s="2">
        <v>24.2</v>
      </c>
      <c r="J18" s="2">
        <v>19</v>
      </c>
      <c r="K18" s="2">
        <v>2077</v>
      </c>
      <c r="L18" s="5">
        <v>1</v>
      </c>
      <c r="M18" s="5">
        <v>20</v>
      </c>
    </row>
    <row r="19" spans="1:13" x14ac:dyDescent="0.3">
      <c r="A19" s="4" t="s">
        <v>15</v>
      </c>
      <c r="B19" s="4" t="s">
        <v>34</v>
      </c>
      <c r="C19" s="2">
        <v>153</v>
      </c>
      <c r="D19" s="2">
        <v>7</v>
      </c>
      <c r="E19" s="2">
        <v>10</v>
      </c>
      <c r="F19" s="2">
        <v>24</v>
      </c>
      <c r="G19" s="2">
        <v>5.7</v>
      </c>
      <c r="H19" s="2">
        <v>25.8</v>
      </c>
      <c r="I19" s="2">
        <v>24</v>
      </c>
      <c r="J19" s="2">
        <v>19</v>
      </c>
      <c r="K19" s="2">
        <v>2077</v>
      </c>
      <c r="L19" s="5">
        <v>1</v>
      </c>
      <c r="M19" s="5">
        <v>20</v>
      </c>
    </row>
    <row r="20" spans="1:13" x14ac:dyDescent="0.3">
      <c r="A20" s="4" t="s">
        <v>15</v>
      </c>
      <c r="B20" s="4" t="s">
        <v>34</v>
      </c>
      <c r="C20" s="2">
        <v>188</v>
      </c>
      <c r="D20" s="2">
        <v>9</v>
      </c>
      <c r="E20" s="2">
        <v>13</v>
      </c>
      <c r="F20" s="2">
        <v>30</v>
      </c>
      <c r="G20" s="2">
        <v>5.8</v>
      </c>
      <c r="H20" s="2">
        <v>41.5</v>
      </c>
      <c r="I20" s="2">
        <v>25.2</v>
      </c>
      <c r="J20" s="2">
        <v>19</v>
      </c>
      <c r="K20" s="2">
        <v>2077</v>
      </c>
      <c r="L20" s="5">
        <v>1</v>
      </c>
      <c r="M20" s="5">
        <v>20</v>
      </c>
    </row>
    <row r="21" spans="1:13" x14ac:dyDescent="0.3">
      <c r="A21" s="4" t="s">
        <v>15</v>
      </c>
      <c r="B21" s="4" t="s">
        <v>34</v>
      </c>
      <c r="C21" s="2">
        <v>123</v>
      </c>
      <c r="D21" s="2">
        <v>6</v>
      </c>
      <c r="E21" s="2">
        <v>8</v>
      </c>
      <c r="F21" s="2">
        <v>20</v>
      </c>
      <c r="G21" s="2">
        <v>6.1</v>
      </c>
      <c r="H21" s="2">
        <v>29</v>
      </c>
      <c r="I21" s="2">
        <v>24</v>
      </c>
      <c r="J21" s="2">
        <v>19</v>
      </c>
      <c r="K21" s="2">
        <v>2077</v>
      </c>
      <c r="L21" s="5">
        <v>1</v>
      </c>
      <c r="M21" s="5">
        <v>20</v>
      </c>
    </row>
    <row r="22" spans="1:13" x14ac:dyDescent="0.3">
      <c r="A22" s="3" t="s">
        <v>16</v>
      </c>
      <c r="B22" s="4" t="s">
        <v>35</v>
      </c>
      <c r="C22" s="2">
        <v>29</v>
      </c>
      <c r="D22" s="2">
        <v>1</v>
      </c>
      <c r="E22" s="2">
        <v>2</v>
      </c>
      <c r="F22" s="2">
        <v>4</v>
      </c>
      <c r="G22" s="2">
        <v>6.3</v>
      </c>
      <c r="H22" s="2">
        <v>22.9</v>
      </c>
      <c r="I22" s="2">
        <v>17.399999999999999</v>
      </c>
      <c r="J22" s="2">
        <v>26.7</v>
      </c>
      <c r="K22" s="2">
        <v>1635</v>
      </c>
      <c r="L22" s="5">
        <v>1</v>
      </c>
      <c r="M22" s="5">
        <v>20</v>
      </c>
    </row>
    <row r="23" spans="1:13" x14ac:dyDescent="0.3">
      <c r="A23" s="3" t="s">
        <v>16</v>
      </c>
      <c r="B23" s="4" t="s">
        <v>35</v>
      </c>
      <c r="C23" s="2">
        <v>110</v>
      </c>
      <c r="D23" s="2">
        <v>5</v>
      </c>
      <c r="E23" s="2">
        <v>7</v>
      </c>
      <c r="F23" s="2">
        <v>17</v>
      </c>
      <c r="G23" s="2">
        <v>5.9</v>
      </c>
      <c r="H23" s="2">
        <v>43.3</v>
      </c>
      <c r="I23" s="2">
        <v>16.7</v>
      </c>
      <c r="J23" s="2">
        <v>28.5</v>
      </c>
      <c r="K23" s="2">
        <v>1647</v>
      </c>
      <c r="L23" s="5">
        <v>1</v>
      </c>
      <c r="M23" s="5">
        <v>20</v>
      </c>
    </row>
    <row r="24" spans="1:13" x14ac:dyDescent="0.3">
      <c r="A24" s="3" t="s">
        <v>16</v>
      </c>
      <c r="B24" s="4" t="s">
        <v>35</v>
      </c>
      <c r="C24" s="2">
        <v>73</v>
      </c>
      <c r="D24" s="2">
        <v>3</v>
      </c>
      <c r="E24" s="2">
        <v>5</v>
      </c>
      <c r="F24" s="2">
        <v>11</v>
      </c>
      <c r="G24" s="2">
        <v>5.9</v>
      </c>
      <c r="H24" s="2">
        <v>31.2</v>
      </c>
      <c r="I24" s="2">
        <v>18.3</v>
      </c>
      <c r="J24" s="2">
        <v>28.5</v>
      </c>
      <c r="K24" s="2">
        <v>1647</v>
      </c>
      <c r="L24" s="5">
        <v>1</v>
      </c>
      <c r="M24" s="5">
        <v>20</v>
      </c>
    </row>
    <row r="25" spans="1:13" x14ac:dyDescent="0.3">
      <c r="A25" s="3" t="s">
        <v>16</v>
      </c>
      <c r="B25" s="4" t="s">
        <v>36</v>
      </c>
      <c r="C25" s="2">
        <v>18</v>
      </c>
      <c r="D25" s="2">
        <v>0</v>
      </c>
      <c r="E25" s="2">
        <v>1</v>
      </c>
      <c r="F25" s="2">
        <v>2</v>
      </c>
      <c r="G25" s="2">
        <v>6.2</v>
      </c>
      <c r="H25" s="2">
        <v>22.2</v>
      </c>
      <c r="I25" s="2">
        <v>22.8</v>
      </c>
      <c r="J25" s="2">
        <v>28.7</v>
      </c>
      <c r="K25" s="2">
        <v>2074</v>
      </c>
      <c r="L25" s="5">
        <v>1</v>
      </c>
      <c r="M25" s="5">
        <v>25</v>
      </c>
    </row>
    <row r="26" spans="1:13" x14ac:dyDescent="0.3">
      <c r="A26" s="3" t="s">
        <v>16</v>
      </c>
      <c r="B26" s="4" t="s">
        <v>36</v>
      </c>
      <c r="C26" s="2">
        <v>87</v>
      </c>
      <c r="D26" s="2">
        <v>4</v>
      </c>
      <c r="E26" s="2">
        <v>6</v>
      </c>
      <c r="F26" s="2">
        <v>13</v>
      </c>
      <c r="G26" s="2">
        <v>6.3</v>
      </c>
      <c r="H26" s="2">
        <v>37.4</v>
      </c>
      <c r="I26" s="2">
        <v>20.7</v>
      </c>
      <c r="J26" s="2">
        <v>28.7</v>
      </c>
      <c r="K26" s="2">
        <v>2074</v>
      </c>
      <c r="L26" s="5">
        <v>1</v>
      </c>
      <c r="M26" s="5">
        <v>25</v>
      </c>
    </row>
    <row r="27" spans="1:13" x14ac:dyDescent="0.3">
      <c r="A27" s="3" t="s">
        <v>16</v>
      </c>
      <c r="B27" s="4" t="s">
        <v>36</v>
      </c>
      <c r="C27" s="2">
        <v>66</v>
      </c>
      <c r="D27" s="2">
        <v>3</v>
      </c>
      <c r="E27" s="2">
        <v>4</v>
      </c>
      <c r="F27" s="2">
        <v>10</v>
      </c>
      <c r="G27" s="2">
        <v>6.1</v>
      </c>
      <c r="H27" s="2">
        <v>36.700000000000003</v>
      </c>
      <c r="I27" s="2">
        <v>20.5</v>
      </c>
      <c r="J27" s="2">
        <v>28.7</v>
      </c>
      <c r="K27" s="2">
        <v>2074</v>
      </c>
      <c r="L27" s="5">
        <v>1</v>
      </c>
      <c r="M27" s="5">
        <v>25</v>
      </c>
    </row>
    <row r="28" spans="1:13" x14ac:dyDescent="0.3">
      <c r="A28" s="3" t="s">
        <v>16</v>
      </c>
      <c r="B28" s="4" t="s">
        <v>37</v>
      </c>
      <c r="C28" s="2">
        <v>16</v>
      </c>
      <c r="D28" s="2">
        <v>0</v>
      </c>
      <c r="E28" s="2">
        <v>1</v>
      </c>
      <c r="F28" s="2">
        <v>2</v>
      </c>
      <c r="G28" s="2">
        <v>5.5</v>
      </c>
      <c r="H28" s="2">
        <v>27.1</v>
      </c>
      <c r="I28" s="2">
        <v>23.2</v>
      </c>
      <c r="J28" s="2">
        <v>26.8</v>
      </c>
      <c r="K28" s="2">
        <v>1987</v>
      </c>
      <c r="L28" s="5">
        <v>1</v>
      </c>
      <c r="M28" s="5">
        <v>20</v>
      </c>
    </row>
    <row r="29" spans="1:13" x14ac:dyDescent="0.3">
      <c r="A29" s="3" t="s">
        <v>16</v>
      </c>
      <c r="B29" s="4" t="s">
        <v>37</v>
      </c>
      <c r="C29" s="2">
        <v>54</v>
      </c>
      <c r="D29" s="2">
        <v>2</v>
      </c>
      <c r="E29" s="2">
        <v>3</v>
      </c>
      <c r="F29" s="2">
        <v>8</v>
      </c>
      <c r="G29" s="2">
        <v>5</v>
      </c>
      <c r="H29" s="2">
        <v>33.5</v>
      </c>
      <c r="I29" s="2">
        <v>24.1</v>
      </c>
      <c r="J29" s="2">
        <v>26.8</v>
      </c>
      <c r="K29" s="2">
        <v>1987</v>
      </c>
      <c r="L29" s="5">
        <v>1</v>
      </c>
      <c r="M29" s="5">
        <v>20</v>
      </c>
    </row>
    <row r="30" spans="1:13" x14ac:dyDescent="0.3">
      <c r="A30" s="3" t="s">
        <v>16</v>
      </c>
      <c r="B30" s="4" t="s">
        <v>38</v>
      </c>
      <c r="C30" s="2">
        <v>22</v>
      </c>
      <c r="D30" s="2">
        <v>1</v>
      </c>
      <c r="E30" s="2">
        <v>1</v>
      </c>
      <c r="F30" s="2">
        <v>3</v>
      </c>
      <c r="G30" s="2">
        <v>6.2</v>
      </c>
      <c r="H30" s="2">
        <v>27.7</v>
      </c>
      <c r="I30" s="2">
        <v>23.3</v>
      </c>
      <c r="J30" s="2">
        <v>22.4</v>
      </c>
      <c r="K30" s="2">
        <v>1720</v>
      </c>
      <c r="L30" s="5">
        <v>1</v>
      </c>
      <c r="M30" s="5">
        <v>17</v>
      </c>
    </row>
    <row r="31" spans="1:13" x14ac:dyDescent="0.3">
      <c r="A31" s="3" t="s">
        <v>17</v>
      </c>
      <c r="B31" s="4" t="s">
        <v>39</v>
      </c>
      <c r="C31" s="2">
        <v>10</v>
      </c>
      <c r="D31" s="2">
        <v>0</v>
      </c>
      <c r="E31" s="2">
        <v>0</v>
      </c>
      <c r="F31" s="2">
        <v>1</v>
      </c>
      <c r="G31" s="2">
        <v>6.2</v>
      </c>
      <c r="H31" s="2">
        <v>29.5</v>
      </c>
      <c r="I31" s="2">
        <v>15.9</v>
      </c>
      <c r="J31" s="2">
        <v>23.3</v>
      </c>
      <c r="K31" s="2">
        <v>1467</v>
      </c>
      <c r="L31" s="5">
        <v>1</v>
      </c>
      <c r="M31" s="5">
        <v>30</v>
      </c>
    </row>
    <row r="32" spans="1:13" x14ac:dyDescent="0.3">
      <c r="A32" s="3" t="s">
        <v>17</v>
      </c>
      <c r="B32" s="4" t="s">
        <v>39</v>
      </c>
      <c r="C32" s="2">
        <v>5</v>
      </c>
      <c r="D32" s="2">
        <v>0</v>
      </c>
      <c r="E32" s="2">
        <v>0</v>
      </c>
      <c r="F32" s="2">
        <v>0</v>
      </c>
      <c r="G32" s="2">
        <v>6.3</v>
      </c>
      <c r="H32" s="2">
        <v>20</v>
      </c>
      <c r="I32" s="2">
        <v>17.7</v>
      </c>
      <c r="J32" s="2">
        <v>22.2</v>
      </c>
      <c r="K32" s="2">
        <v>1471</v>
      </c>
      <c r="L32" s="5">
        <v>1</v>
      </c>
      <c r="M32" s="5">
        <v>30</v>
      </c>
    </row>
    <row r="33" spans="1:13" x14ac:dyDescent="0.3">
      <c r="A33" s="3" t="s">
        <v>17</v>
      </c>
      <c r="B33" s="4" t="s">
        <v>39</v>
      </c>
      <c r="C33" s="2">
        <v>12</v>
      </c>
      <c r="D33" s="2">
        <v>0</v>
      </c>
      <c r="E33" s="2">
        <v>0</v>
      </c>
      <c r="F33" s="2">
        <v>1</v>
      </c>
      <c r="G33" s="2">
        <v>6.6</v>
      </c>
      <c r="H33" s="2">
        <v>35.9</v>
      </c>
      <c r="I33" s="2">
        <v>17.399999999999999</v>
      </c>
      <c r="J33" s="2">
        <v>22.2</v>
      </c>
      <c r="K33" s="2">
        <v>1471</v>
      </c>
      <c r="L33" s="5">
        <v>1</v>
      </c>
      <c r="M33" s="5">
        <v>30</v>
      </c>
    </row>
    <row r="34" spans="1:13" x14ac:dyDescent="0.3">
      <c r="A34" s="3" t="s">
        <v>17</v>
      </c>
      <c r="B34" s="4" t="s">
        <v>39</v>
      </c>
      <c r="C34" s="2">
        <v>960</v>
      </c>
      <c r="D34" s="2">
        <v>47</v>
      </c>
      <c r="E34" s="2">
        <v>67</v>
      </c>
      <c r="F34" s="2">
        <v>153</v>
      </c>
      <c r="G34" s="2">
        <v>5.3</v>
      </c>
      <c r="H34" s="2">
        <v>25.6</v>
      </c>
      <c r="I34" s="2">
        <v>19.399999999999999</v>
      </c>
      <c r="J34" s="2">
        <v>22.2</v>
      </c>
      <c r="K34" s="2">
        <v>1471</v>
      </c>
      <c r="L34" s="5">
        <v>1</v>
      </c>
      <c r="M34" s="5">
        <v>30</v>
      </c>
    </row>
    <row r="35" spans="1:13" x14ac:dyDescent="0.3">
      <c r="A35" s="3" t="s">
        <v>17</v>
      </c>
      <c r="B35" s="4" t="s">
        <v>39</v>
      </c>
      <c r="C35" s="2">
        <v>4</v>
      </c>
      <c r="D35" s="2">
        <v>0</v>
      </c>
      <c r="E35" s="2">
        <v>0</v>
      </c>
      <c r="F35" s="2">
        <v>0</v>
      </c>
      <c r="G35" s="2">
        <v>6.3</v>
      </c>
      <c r="H35" s="2">
        <v>22.8</v>
      </c>
      <c r="I35" s="2">
        <v>17.899999999999999</v>
      </c>
      <c r="J35" s="2">
        <v>24.1</v>
      </c>
      <c r="K35" s="2">
        <v>1434</v>
      </c>
      <c r="L35" s="5">
        <v>1</v>
      </c>
      <c r="M35" s="5">
        <v>30</v>
      </c>
    </row>
    <row r="36" spans="1:13" x14ac:dyDescent="0.3">
      <c r="A36" s="3" t="s">
        <v>17</v>
      </c>
      <c r="B36" s="4" t="s">
        <v>39</v>
      </c>
      <c r="C36" s="2">
        <v>768</v>
      </c>
      <c r="D36" s="2">
        <v>44</v>
      </c>
      <c r="E36" s="2">
        <v>62</v>
      </c>
      <c r="F36" s="2">
        <v>143</v>
      </c>
      <c r="G36" s="2">
        <v>5.5</v>
      </c>
      <c r="H36" s="2">
        <v>47.6</v>
      </c>
      <c r="I36" s="2">
        <v>19.2</v>
      </c>
      <c r="J36" s="2">
        <v>22.2</v>
      </c>
      <c r="K36" s="2">
        <v>1471</v>
      </c>
      <c r="L36" s="5">
        <v>1</v>
      </c>
      <c r="M36" s="5">
        <v>30</v>
      </c>
    </row>
    <row r="37" spans="1:13" x14ac:dyDescent="0.3">
      <c r="A37" s="3" t="s">
        <v>17</v>
      </c>
      <c r="B37" s="4" t="s">
        <v>39</v>
      </c>
      <c r="C37" s="2">
        <v>39</v>
      </c>
      <c r="D37" s="2">
        <v>1</v>
      </c>
      <c r="E37" s="2">
        <v>2</v>
      </c>
      <c r="F37" s="2">
        <v>6</v>
      </c>
      <c r="G37" s="2">
        <v>6.3</v>
      </c>
      <c r="H37" s="2">
        <v>27.1</v>
      </c>
      <c r="I37" s="2">
        <v>17.399999999999999</v>
      </c>
      <c r="J37" s="2">
        <v>24.1</v>
      </c>
      <c r="K37" s="2">
        <v>1434</v>
      </c>
      <c r="L37" s="5">
        <v>1</v>
      </c>
      <c r="M37" s="5">
        <v>30</v>
      </c>
    </row>
    <row r="38" spans="1:13" x14ac:dyDescent="0.3">
      <c r="A38" s="4" t="s">
        <v>18</v>
      </c>
      <c r="B38" s="4" t="s">
        <v>40</v>
      </c>
      <c r="C38" s="2">
        <v>18</v>
      </c>
      <c r="D38" s="2">
        <v>0</v>
      </c>
      <c r="E38" s="2">
        <v>1</v>
      </c>
      <c r="F38" s="2">
        <v>2</v>
      </c>
      <c r="G38" s="2">
        <v>5.5</v>
      </c>
      <c r="H38" s="2">
        <v>22.7</v>
      </c>
      <c r="I38" s="2">
        <v>20.8</v>
      </c>
      <c r="J38" s="2">
        <v>27.1</v>
      </c>
      <c r="K38" s="2">
        <v>2176</v>
      </c>
      <c r="L38" s="5">
        <v>1</v>
      </c>
      <c r="M38" s="5">
        <v>10</v>
      </c>
    </row>
    <row r="39" spans="1:13" x14ac:dyDescent="0.3">
      <c r="A39" s="4" t="s">
        <v>18</v>
      </c>
      <c r="B39" s="4" t="s">
        <v>40</v>
      </c>
      <c r="C39" s="2">
        <v>27</v>
      </c>
      <c r="D39" s="2">
        <v>1</v>
      </c>
      <c r="E39" s="2">
        <v>1</v>
      </c>
      <c r="F39" s="2">
        <v>5</v>
      </c>
      <c r="G39" s="2">
        <v>5.9</v>
      </c>
      <c r="H39" s="2">
        <v>20.399999999999999</v>
      </c>
      <c r="I39" s="2">
        <v>20.8</v>
      </c>
      <c r="J39" s="2">
        <v>27.1</v>
      </c>
      <c r="K39" s="2">
        <v>2176</v>
      </c>
      <c r="L39" s="5">
        <v>1</v>
      </c>
      <c r="M39" s="5">
        <v>10</v>
      </c>
    </row>
    <row r="40" spans="1:13" x14ac:dyDescent="0.3">
      <c r="A40" s="4" t="s">
        <v>18</v>
      </c>
      <c r="B40" s="4" t="s">
        <v>40</v>
      </c>
      <c r="C40" s="2">
        <v>13</v>
      </c>
      <c r="D40" s="2">
        <v>0</v>
      </c>
      <c r="E40" s="2">
        <v>0</v>
      </c>
      <c r="F40" s="2">
        <v>2</v>
      </c>
      <c r="G40" s="2">
        <v>5.4</v>
      </c>
      <c r="H40" s="2">
        <v>28</v>
      </c>
      <c r="I40" s="2">
        <v>19.899999999999999</v>
      </c>
      <c r="J40" s="2">
        <v>25.9</v>
      </c>
      <c r="K40" s="2">
        <v>2193</v>
      </c>
      <c r="L40" s="5">
        <v>1</v>
      </c>
      <c r="M40" s="5">
        <v>10</v>
      </c>
    </row>
    <row r="41" spans="1:13" x14ac:dyDescent="0.3">
      <c r="A41" s="4" t="s">
        <v>18</v>
      </c>
      <c r="B41" s="4" t="s">
        <v>41</v>
      </c>
      <c r="C41" s="2">
        <v>19</v>
      </c>
      <c r="D41" s="2">
        <v>0</v>
      </c>
      <c r="E41" s="2">
        <v>1</v>
      </c>
      <c r="F41" s="2">
        <v>3</v>
      </c>
      <c r="G41" s="2">
        <v>5.4</v>
      </c>
      <c r="H41" s="2">
        <v>25.8</v>
      </c>
      <c r="I41" s="2">
        <v>20.2</v>
      </c>
      <c r="J41" s="2">
        <v>22.1</v>
      </c>
      <c r="K41" s="2">
        <v>2088</v>
      </c>
      <c r="L41" s="5">
        <v>1</v>
      </c>
      <c r="M41" s="5">
        <v>13</v>
      </c>
    </row>
    <row r="42" spans="1:13" x14ac:dyDescent="0.3">
      <c r="A42" s="4" t="s">
        <v>18</v>
      </c>
      <c r="B42" s="4" t="s">
        <v>41</v>
      </c>
      <c r="C42" s="2">
        <v>13</v>
      </c>
      <c r="D42" s="2">
        <v>0</v>
      </c>
      <c r="E42" s="2">
        <v>0</v>
      </c>
      <c r="F42" s="2">
        <v>2</v>
      </c>
      <c r="G42" s="2">
        <v>5.0999999999999996</v>
      </c>
      <c r="H42" s="2">
        <v>26.9</v>
      </c>
      <c r="I42" s="2">
        <v>20.7</v>
      </c>
      <c r="J42" s="2">
        <v>22.1</v>
      </c>
      <c r="K42" s="2">
        <v>2088</v>
      </c>
      <c r="L42" s="5">
        <v>1</v>
      </c>
      <c r="M42" s="5">
        <v>13</v>
      </c>
    </row>
    <row r="43" spans="1:13" x14ac:dyDescent="0.3">
      <c r="A43" s="4" t="s">
        <v>18</v>
      </c>
      <c r="B43" s="4" t="s">
        <v>42</v>
      </c>
      <c r="C43" s="2">
        <v>130</v>
      </c>
      <c r="D43" s="2">
        <v>6</v>
      </c>
      <c r="E43" s="2">
        <v>9</v>
      </c>
      <c r="F43" s="2">
        <v>20</v>
      </c>
      <c r="G43" s="2">
        <v>5.2</v>
      </c>
      <c r="H43" s="2">
        <v>19.7</v>
      </c>
      <c r="I43" s="2">
        <v>19.3</v>
      </c>
      <c r="J43" s="2">
        <v>20.3</v>
      </c>
      <c r="K43" s="2">
        <v>1894</v>
      </c>
      <c r="L43" s="5">
        <v>1</v>
      </c>
      <c r="M43" s="5">
        <v>12</v>
      </c>
    </row>
    <row r="44" spans="1:13" x14ac:dyDescent="0.3">
      <c r="A44" s="4" t="s">
        <v>18</v>
      </c>
      <c r="B44" s="4" t="s">
        <v>42</v>
      </c>
      <c r="C44" s="2">
        <v>24</v>
      </c>
      <c r="D44" s="2">
        <v>1</v>
      </c>
      <c r="E44" s="2">
        <v>1</v>
      </c>
      <c r="F44" s="2">
        <v>3</v>
      </c>
      <c r="G44" s="2">
        <v>5.7</v>
      </c>
      <c r="H44" s="2">
        <v>23.2</v>
      </c>
      <c r="I44" s="2">
        <v>20.100000000000001</v>
      </c>
      <c r="J44" s="2">
        <v>20.3</v>
      </c>
      <c r="K44" s="2">
        <v>1894</v>
      </c>
      <c r="L44" s="5">
        <v>1</v>
      </c>
      <c r="M44" s="5">
        <v>12</v>
      </c>
    </row>
    <row r="45" spans="1:13" x14ac:dyDescent="0.3">
      <c r="A45" s="4" t="s">
        <v>18</v>
      </c>
      <c r="B45" s="4" t="s">
        <v>42</v>
      </c>
      <c r="C45" s="2">
        <v>125</v>
      </c>
      <c r="D45" s="2">
        <v>6</v>
      </c>
      <c r="E45" s="2">
        <v>8</v>
      </c>
      <c r="F45" s="2">
        <v>20</v>
      </c>
      <c r="G45" s="2">
        <v>6.2</v>
      </c>
      <c r="H45" s="2">
        <v>30.9</v>
      </c>
      <c r="I45" s="2">
        <v>20.9</v>
      </c>
      <c r="J45" s="2">
        <v>20.9</v>
      </c>
      <c r="K45" s="2">
        <v>1681</v>
      </c>
      <c r="L45" s="5">
        <v>1</v>
      </c>
      <c r="M45" s="5">
        <v>12</v>
      </c>
    </row>
    <row r="46" spans="1:13" x14ac:dyDescent="0.3">
      <c r="A46" s="4" t="s">
        <v>18</v>
      </c>
      <c r="B46" s="4" t="s">
        <v>42</v>
      </c>
      <c r="C46" s="2">
        <v>135</v>
      </c>
      <c r="D46" s="2">
        <v>6</v>
      </c>
      <c r="E46" s="2">
        <v>9</v>
      </c>
      <c r="F46" s="2">
        <v>21</v>
      </c>
      <c r="G46" s="2">
        <v>6.1</v>
      </c>
      <c r="H46" s="2">
        <v>27.6</v>
      </c>
      <c r="I46" s="2">
        <v>21.5</v>
      </c>
      <c r="J46" s="2">
        <v>20.9</v>
      </c>
      <c r="K46" s="2">
        <v>1681</v>
      </c>
      <c r="L46" s="5">
        <v>1</v>
      </c>
      <c r="M46" s="5">
        <v>12</v>
      </c>
    </row>
    <row r="47" spans="1:13" x14ac:dyDescent="0.3">
      <c r="A47" s="4" t="s">
        <v>18</v>
      </c>
      <c r="B47" s="4" t="s">
        <v>42</v>
      </c>
      <c r="C47" s="2">
        <v>126</v>
      </c>
      <c r="D47" s="2">
        <v>6</v>
      </c>
      <c r="E47" s="2">
        <v>8</v>
      </c>
      <c r="F47" s="2">
        <v>20</v>
      </c>
      <c r="G47" s="2">
        <v>4.9000000000000004</v>
      </c>
      <c r="H47" s="2">
        <v>54.4</v>
      </c>
      <c r="I47" s="2">
        <v>20</v>
      </c>
      <c r="J47" s="2">
        <v>20.9</v>
      </c>
      <c r="K47" s="2">
        <v>1675</v>
      </c>
      <c r="L47" s="5">
        <v>1</v>
      </c>
      <c r="M47" s="5">
        <v>12</v>
      </c>
    </row>
    <row r="48" spans="1:13" x14ac:dyDescent="0.3">
      <c r="A48" s="4" t="s">
        <v>18</v>
      </c>
      <c r="B48" s="4" t="s">
        <v>42</v>
      </c>
      <c r="C48" s="2">
        <v>120</v>
      </c>
      <c r="D48" s="2">
        <v>6</v>
      </c>
      <c r="E48" s="2">
        <v>8</v>
      </c>
      <c r="F48" s="2">
        <v>19</v>
      </c>
      <c r="G48" s="2">
        <v>4.3</v>
      </c>
      <c r="H48" s="2">
        <v>56.7</v>
      </c>
      <c r="I48" s="2">
        <v>19.899999999999999</v>
      </c>
      <c r="J48" s="2">
        <v>20.9</v>
      </c>
      <c r="K48" s="2">
        <v>1675</v>
      </c>
      <c r="L48" s="5">
        <v>1</v>
      </c>
      <c r="M48" s="5">
        <v>12</v>
      </c>
    </row>
    <row r="49" spans="1:13" x14ac:dyDescent="0.3">
      <c r="A49" s="4" t="s">
        <v>18</v>
      </c>
      <c r="B49" s="4" t="s">
        <v>42</v>
      </c>
      <c r="C49" s="2">
        <v>50</v>
      </c>
      <c r="D49" s="2">
        <v>2</v>
      </c>
      <c r="E49" s="2">
        <v>3</v>
      </c>
      <c r="F49" s="2">
        <v>8</v>
      </c>
      <c r="G49" s="2">
        <v>5.8</v>
      </c>
      <c r="H49" s="2">
        <v>31</v>
      </c>
      <c r="I49" s="2">
        <v>19.7</v>
      </c>
      <c r="J49" s="2">
        <v>20.5</v>
      </c>
      <c r="K49" s="2">
        <v>1779</v>
      </c>
      <c r="L49" s="5">
        <v>1</v>
      </c>
      <c r="M49" s="5">
        <v>10</v>
      </c>
    </row>
    <row r="50" spans="1:13" x14ac:dyDescent="0.3">
      <c r="A50" s="4" t="s">
        <v>18</v>
      </c>
      <c r="B50" s="4" t="s">
        <v>42</v>
      </c>
      <c r="C50" s="2">
        <v>64</v>
      </c>
      <c r="D50" s="2">
        <v>3</v>
      </c>
      <c r="E50" s="2">
        <v>4</v>
      </c>
      <c r="F50" s="2">
        <v>10</v>
      </c>
      <c r="G50" s="2">
        <v>5.8</v>
      </c>
      <c r="H50" s="2">
        <v>43</v>
      </c>
      <c r="I50" s="2">
        <v>20</v>
      </c>
      <c r="J50" s="2">
        <v>20.5</v>
      </c>
      <c r="K50" s="2">
        <v>1779</v>
      </c>
      <c r="L50" s="5">
        <v>1</v>
      </c>
      <c r="M50" s="5">
        <v>10</v>
      </c>
    </row>
    <row r="51" spans="1:13" x14ac:dyDescent="0.3">
      <c r="A51" s="3" t="s">
        <v>18</v>
      </c>
      <c r="B51" s="4" t="s">
        <v>41</v>
      </c>
      <c r="C51" s="2">
        <v>54</v>
      </c>
      <c r="D51" s="2">
        <v>2</v>
      </c>
      <c r="E51" s="2">
        <v>3</v>
      </c>
      <c r="F51" s="2">
        <v>8</v>
      </c>
      <c r="G51" s="2">
        <v>5.5</v>
      </c>
      <c r="H51" s="2">
        <v>22.2</v>
      </c>
      <c r="I51" s="2">
        <v>21.4</v>
      </c>
      <c r="J51" s="2">
        <v>29.7</v>
      </c>
      <c r="K51" s="2">
        <v>1709</v>
      </c>
      <c r="L51" s="5">
        <v>1</v>
      </c>
      <c r="M51" s="5">
        <v>15</v>
      </c>
    </row>
    <row r="52" spans="1:13" x14ac:dyDescent="0.3">
      <c r="A52" s="3" t="s">
        <v>18</v>
      </c>
      <c r="B52" s="4" t="s">
        <v>41</v>
      </c>
      <c r="C52" s="2">
        <v>49</v>
      </c>
      <c r="D52" s="2">
        <v>2</v>
      </c>
      <c r="E52" s="2">
        <v>3</v>
      </c>
      <c r="F52" s="2">
        <v>7</v>
      </c>
      <c r="G52" s="2">
        <v>5.5</v>
      </c>
      <c r="H52" s="2">
        <v>19.3</v>
      </c>
      <c r="I52" s="2">
        <v>23.5</v>
      </c>
      <c r="J52" s="2">
        <v>27</v>
      </c>
      <c r="K52" s="2">
        <v>1597</v>
      </c>
      <c r="L52" s="5">
        <v>1</v>
      </c>
      <c r="M52" s="5">
        <v>18</v>
      </c>
    </row>
    <row r="53" spans="1:13" x14ac:dyDescent="0.3">
      <c r="A53" s="3" t="s">
        <v>18</v>
      </c>
      <c r="B53" s="4" t="s">
        <v>41</v>
      </c>
      <c r="C53" s="2">
        <v>32</v>
      </c>
      <c r="D53" s="2">
        <v>1</v>
      </c>
      <c r="E53" s="2">
        <v>2</v>
      </c>
      <c r="F53" s="2">
        <v>5</v>
      </c>
      <c r="G53" s="2">
        <v>5.8</v>
      </c>
      <c r="H53" s="2">
        <v>29.3</v>
      </c>
      <c r="I53" s="2">
        <v>22.7</v>
      </c>
      <c r="J53" s="2">
        <v>27</v>
      </c>
      <c r="K53" s="2">
        <v>1597</v>
      </c>
      <c r="L53" s="5">
        <v>1</v>
      </c>
      <c r="M53" s="5">
        <v>18</v>
      </c>
    </row>
    <row r="54" spans="1:13" x14ac:dyDescent="0.3">
      <c r="A54" s="3" t="s">
        <v>18</v>
      </c>
      <c r="B54" s="4" t="s">
        <v>43</v>
      </c>
      <c r="C54" s="2">
        <v>34</v>
      </c>
      <c r="D54" s="2">
        <v>1</v>
      </c>
      <c r="E54" s="2">
        <v>2</v>
      </c>
      <c r="F54" s="2">
        <v>5</v>
      </c>
      <c r="G54" s="2">
        <v>5.5</v>
      </c>
      <c r="H54" s="2">
        <v>25.7</v>
      </c>
      <c r="I54" s="2">
        <v>20.6</v>
      </c>
      <c r="J54" s="2">
        <v>26</v>
      </c>
      <c r="K54" s="2">
        <v>1866</v>
      </c>
      <c r="L54" s="5">
        <v>1</v>
      </c>
      <c r="M54" s="5">
        <v>20</v>
      </c>
    </row>
    <row r="55" spans="1:13" x14ac:dyDescent="0.3">
      <c r="A55" s="3" t="s">
        <v>18</v>
      </c>
      <c r="B55" s="4" t="s">
        <v>43</v>
      </c>
      <c r="C55" s="2">
        <v>6</v>
      </c>
      <c r="D55" s="2">
        <v>0</v>
      </c>
      <c r="E55" s="2">
        <v>0</v>
      </c>
      <c r="F55" s="2">
        <v>0</v>
      </c>
      <c r="G55" s="2">
        <v>5.9</v>
      </c>
      <c r="H55" s="2">
        <v>22.1</v>
      </c>
      <c r="I55" s="2">
        <v>21</v>
      </c>
      <c r="J55" s="2">
        <v>26</v>
      </c>
      <c r="K55" s="2">
        <v>1866</v>
      </c>
      <c r="L55" s="5">
        <v>1</v>
      </c>
      <c r="M55" s="5">
        <v>20</v>
      </c>
    </row>
    <row r="56" spans="1:13" x14ac:dyDescent="0.3">
      <c r="A56" s="3" t="s">
        <v>18</v>
      </c>
      <c r="B56" s="4" t="s">
        <v>43</v>
      </c>
      <c r="C56" s="2">
        <v>27</v>
      </c>
      <c r="D56" s="2">
        <v>1</v>
      </c>
      <c r="E56" s="2">
        <v>1</v>
      </c>
      <c r="F56" s="2">
        <v>4</v>
      </c>
      <c r="G56" s="2">
        <v>5.4</v>
      </c>
      <c r="H56" s="2">
        <v>30</v>
      </c>
      <c r="I56" s="2">
        <v>18.899999999999999</v>
      </c>
      <c r="J56" s="2">
        <v>26</v>
      </c>
      <c r="K56" s="2">
        <v>1870</v>
      </c>
      <c r="L56" s="5">
        <v>1</v>
      </c>
      <c r="M56" s="5">
        <v>20</v>
      </c>
    </row>
    <row r="57" spans="1:13" x14ac:dyDescent="0.3">
      <c r="A57" s="3" t="s">
        <v>18</v>
      </c>
      <c r="B57" s="4" t="s">
        <v>43</v>
      </c>
      <c r="C57" s="2">
        <v>32</v>
      </c>
      <c r="D57" s="2">
        <v>1</v>
      </c>
      <c r="E57" s="2">
        <v>2</v>
      </c>
      <c r="F57" s="2">
        <v>5</v>
      </c>
      <c r="G57" s="2">
        <v>5.4</v>
      </c>
      <c r="H57" s="2">
        <v>25.8</v>
      </c>
      <c r="I57" s="2">
        <v>19.100000000000001</v>
      </c>
      <c r="J57" s="2">
        <v>26</v>
      </c>
      <c r="K57" s="2">
        <v>1870</v>
      </c>
      <c r="L57" s="5">
        <v>1</v>
      </c>
      <c r="M57" s="5">
        <v>20</v>
      </c>
    </row>
    <row r="58" spans="1:13" x14ac:dyDescent="0.3">
      <c r="A58" s="4" t="s">
        <v>19</v>
      </c>
      <c r="B58" s="4" t="s">
        <v>44</v>
      </c>
      <c r="C58" s="2">
        <v>0</v>
      </c>
      <c r="D58" s="2">
        <v>0</v>
      </c>
      <c r="E58" s="2">
        <v>0</v>
      </c>
      <c r="F58" s="2">
        <v>0</v>
      </c>
      <c r="G58" s="2">
        <v>7</v>
      </c>
      <c r="H58" s="2">
        <v>13.9</v>
      </c>
      <c r="I58" s="2">
        <v>37.799999999999997</v>
      </c>
      <c r="J58" s="2">
        <v>32.6</v>
      </c>
      <c r="K58" s="2">
        <v>1763</v>
      </c>
      <c r="L58" s="5">
        <v>1</v>
      </c>
      <c r="M58" s="5">
        <v>7</v>
      </c>
    </row>
    <row r="59" spans="1:13" x14ac:dyDescent="0.3">
      <c r="A59" s="4" t="s">
        <v>19</v>
      </c>
      <c r="B59" s="4" t="s">
        <v>44</v>
      </c>
      <c r="C59" s="2">
        <v>0</v>
      </c>
      <c r="D59" s="2">
        <v>0</v>
      </c>
      <c r="E59" s="2">
        <v>0</v>
      </c>
      <c r="F59" s="2">
        <v>0</v>
      </c>
      <c r="G59" s="2">
        <v>6.2</v>
      </c>
      <c r="H59" s="2">
        <v>22.3</v>
      </c>
      <c r="I59" s="2">
        <v>30.3</v>
      </c>
      <c r="J59" s="2">
        <v>34.5</v>
      </c>
      <c r="K59" s="2">
        <v>1816</v>
      </c>
      <c r="L59" s="5">
        <v>1</v>
      </c>
      <c r="M59" s="5">
        <v>26</v>
      </c>
    </row>
    <row r="60" spans="1:13" x14ac:dyDescent="0.3">
      <c r="A60" s="4" t="s">
        <v>19</v>
      </c>
      <c r="B60" s="4" t="s">
        <v>44</v>
      </c>
      <c r="C60" s="2">
        <v>6</v>
      </c>
      <c r="D60" s="2">
        <v>0</v>
      </c>
      <c r="E60" s="2">
        <v>0</v>
      </c>
      <c r="F60" s="2">
        <v>0</v>
      </c>
      <c r="G60" s="2">
        <v>6.3</v>
      </c>
      <c r="H60" s="2">
        <v>23.4</v>
      </c>
      <c r="I60" s="2">
        <v>28.4</v>
      </c>
      <c r="J60" s="2">
        <v>34.5</v>
      </c>
      <c r="K60" s="2">
        <v>1816</v>
      </c>
      <c r="L60" s="5">
        <v>1</v>
      </c>
      <c r="M60" s="5">
        <v>26</v>
      </c>
    </row>
    <row r="61" spans="1:13" x14ac:dyDescent="0.3">
      <c r="A61" s="4" t="s">
        <v>19</v>
      </c>
      <c r="B61" s="4" t="s">
        <v>44</v>
      </c>
      <c r="C61" s="2">
        <v>12</v>
      </c>
      <c r="D61" s="2">
        <v>0</v>
      </c>
      <c r="E61" s="2">
        <v>0</v>
      </c>
      <c r="F61" s="2">
        <v>1</v>
      </c>
      <c r="G61" s="2">
        <v>6</v>
      </c>
      <c r="H61" s="2">
        <v>18.8</v>
      </c>
      <c r="I61" s="2">
        <v>18.7</v>
      </c>
      <c r="J61" s="2">
        <v>19.2</v>
      </c>
      <c r="K61" s="2">
        <v>1839</v>
      </c>
      <c r="L61" s="5">
        <v>1</v>
      </c>
      <c r="M61" s="5">
        <v>40</v>
      </c>
    </row>
    <row r="62" spans="1:13" x14ac:dyDescent="0.3">
      <c r="A62" s="4" t="s">
        <v>19</v>
      </c>
      <c r="B62" s="4" t="s">
        <v>44</v>
      </c>
      <c r="C62" s="2">
        <v>30</v>
      </c>
      <c r="D62" s="2">
        <v>1</v>
      </c>
      <c r="E62" s="2">
        <v>2</v>
      </c>
      <c r="F62" s="2">
        <v>4</v>
      </c>
      <c r="G62" s="2">
        <v>5.8</v>
      </c>
      <c r="H62" s="2">
        <v>31.6</v>
      </c>
      <c r="I62" s="2">
        <v>27.7</v>
      </c>
      <c r="J62" s="2">
        <v>19.2</v>
      </c>
      <c r="K62" s="2">
        <v>1839</v>
      </c>
      <c r="L62" s="5">
        <v>1</v>
      </c>
      <c r="M62" s="5">
        <v>40</v>
      </c>
    </row>
    <row r="63" spans="1:13" x14ac:dyDescent="0.3">
      <c r="A63" s="4" t="s">
        <v>19</v>
      </c>
      <c r="B63" s="4" t="s">
        <v>44</v>
      </c>
      <c r="C63" s="2">
        <v>32</v>
      </c>
      <c r="D63" s="2">
        <v>1</v>
      </c>
      <c r="E63" s="2">
        <v>2</v>
      </c>
      <c r="F63" s="2">
        <v>4</v>
      </c>
      <c r="G63" s="2">
        <v>6.2</v>
      </c>
      <c r="H63" s="2">
        <v>23.5</v>
      </c>
      <c r="I63" s="2">
        <v>23.1</v>
      </c>
      <c r="J63" s="2">
        <v>19.2</v>
      </c>
      <c r="K63" s="2">
        <v>1839</v>
      </c>
      <c r="L63" s="5">
        <v>1</v>
      </c>
      <c r="M63" s="5">
        <v>40</v>
      </c>
    </row>
    <row r="64" spans="1:13" x14ac:dyDescent="0.3">
      <c r="A64" s="4" t="s">
        <v>19</v>
      </c>
      <c r="B64" s="4" t="s">
        <v>44</v>
      </c>
      <c r="C64" s="2">
        <v>25</v>
      </c>
      <c r="D64" s="2">
        <v>1</v>
      </c>
      <c r="E64" s="2">
        <v>1</v>
      </c>
      <c r="F64" s="2">
        <v>4</v>
      </c>
      <c r="G64" s="2">
        <v>6.3</v>
      </c>
      <c r="H64" s="2">
        <v>25.9</v>
      </c>
      <c r="I64" s="2">
        <v>25.1</v>
      </c>
      <c r="J64" s="2">
        <v>19.2</v>
      </c>
      <c r="K64" s="2">
        <v>1839</v>
      </c>
      <c r="L64" s="5">
        <v>1</v>
      </c>
      <c r="M64" s="5">
        <v>40</v>
      </c>
    </row>
    <row r="65" spans="1:13" x14ac:dyDescent="0.3">
      <c r="A65" s="4" t="s">
        <v>19</v>
      </c>
      <c r="B65" s="4" t="s">
        <v>44</v>
      </c>
      <c r="C65" s="2">
        <v>58</v>
      </c>
      <c r="D65" s="2">
        <v>2</v>
      </c>
      <c r="E65" s="2">
        <v>3</v>
      </c>
      <c r="F65" s="2">
        <v>8</v>
      </c>
      <c r="G65" s="2">
        <v>5.8</v>
      </c>
      <c r="H65" s="2">
        <v>57</v>
      </c>
      <c r="I65" s="2">
        <v>22.1</v>
      </c>
      <c r="J65" s="2">
        <v>19.2</v>
      </c>
      <c r="K65" s="2">
        <v>1941</v>
      </c>
      <c r="L65" s="5">
        <v>1</v>
      </c>
      <c r="M65" s="5">
        <v>40</v>
      </c>
    </row>
    <row r="66" spans="1:13" x14ac:dyDescent="0.3">
      <c r="A66" s="4" t="s">
        <v>19</v>
      </c>
      <c r="B66" s="4" t="s">
        <v>44</v>
      </c>
      <c r="C66" s="2">
        <v>41</v>
      </c>
      <c r="D66" s="2">
        <v>1</v>
      </c>
      <c r="E66" s="2">
        <v>2</v>
      </c>
      <c r="F66" s="2">
        <v>5</v>
      </c>
      <c r="G66" s="2">
        <v>5.5</v>
      </c>
      <c r="H66" s="2">
        <v>37</v>
      </c>
      <c r="I66" s="2">
        <v>26.1</v>
      </c>
      <c r="J66" s="2">
        <v>19.2</v>
      </c>
      <c r="K66" s="2">
        <v>1941</v>
      </c>
      <c r="L66" s="5">
        <v>1</v>
      </c>
      <c r="M66" s="5">
        <v>40</v>
      </c>
    </row>
    <row r="67" spans="1:13" x14ac:dyDescent="0.3">
      <c r="A67" s="4" t="s">
        <v>19</v>
      </c>
      <c r="B67" s="4" t="s">
        <v>44</v>
      </c>
      <c r="C67" s="2">
        <v>15</v>
      </c>
      <c r="D67" s="2">
        <v>0</v>
      </c>
      <c r="E67" s="2">
        <v>1</v>
      </c>
      <c r="F67" s="2">
        <v>2</v>
      </c>
      <c r="G67" s="2">
        <v>6.1</v>
      </c>
      <c r="H67" s="2">
        <v>43</v>
      </c>
      <c r="I67" s="2">
        <v>20.3</v>
      </c>
      <c r="J67" s="2">
        <v>19.2</v>
      </c>
      <c r="K67" s="2">
        <v>1941</v>
      </c>
      <c r="L67" s="5">
        <v>1</v>
      </c>
      <c r="M67" s="5">
        <v>40</v>
      </c>
    </row>
    <row r="68" spans="1:13" x14ac:dyDescent="0.3">
      <c r="A68" s="4" t="s">
        <v>19</v>
      </c>
      <c r="B68" s="4" t="s">
        <v>44</v>
      </c>
      <c r="C68" s="2">
        <v>43</v>
      </c>
      <c r="D68" s="2">
        <v>2</v>
      </c>
      <c r="E68" s="2">
        <v>2</v>
      </c>
      <c r="F68" s="2">
        <v>6</v>
      </c>
      <c r="G68" s="2">
        <v>4.8</v>
      </c>
      <c r="H68" s="2">
        <v>34.5</v>
      </c>
      <c r="I68" s="2">
        <v>18.399999999999999</v>
      </c>
      <c r="J68" s="2">
        <v>19.2</v>
      </c>
      <c r="K68" s="2">
        <v>1960</v>
      </c>
      <c r="L68" s="5">
        <v>1</v>
      </c>
      <c r="M68" s="5">
        <v>40</v>
      </c>
    </row>
    <row r="69" spans="1:13" x14ac:dyDescent="0.3">
      <c r="A69" s="4" t="s">
        <v>19</v>
      </c>
      <c r="B69" s="4" t="s">
        <v>44</v>
      </c>
      <c r="C69" s="2">
        <v>40</v>
      </c>
      <c r="D69" s="2">
        <v>1</v>
      </c>
      <c r="E69" s="2">
        <v>2</v>
      </c>
      <c r="F69" s="2">
        <v>6</v>
      </c>
      <c r="G69" s="2">
        <v>6</v>
      </c>
      <c r="H69" s="2">
        <v>25.6</v>
      </c>
      <c r="I69" s="2">
        <v>20.3</v>
      </c>
      <c r="J69" s="2">
        <v>19.2</v>
      </c>
      <c r="K69" s="2">
        <v>1960</v>
      </c>
      <c r="L69" s="5">
        <v>1</v>
      </c>
      <c r="M69" s="5">
        <v>40</v>
      </c>
    </row>
    <row r="70" spans="1:13" x14ac:dyDescent="0.3">
      <c r="A70" s="4" t="s">
        <v>19</v>
      </c>
      <c r="B70" s="4" t="s">
        <v>44</v>
      </c>
      <c r="C70" s="2">
        <v>21</v>
      </c>
      <c r="D70" s="2">
        <v>1</v>
      </c>
      <c r="E70" s="2">
        <v>1</v>
      </c>
      <c r="F70" s="2">
        <v>3</v>
      </c>
      <c r="G70" s="2">
        <v>6</v>
      </c>
      <c r="H70" s="2">
        <v>20.100000000000001</v>
      </c>
      <c r="I70" s="2">
        <v>20.3</v>
      </c>
      <c r="J70" s="2">
        <v>19.2</v>
      </c>
      <c r="K70" s="2">
        <v>1960</v>
      </c>
      <c r="L70" s="5">
        <v>1</v>
      </c>
      <c r="M70" s="5">
        <v>40</v>
      </c>
    </row>
    <row r="71" spans="1:13" x14ac:dyDescent="0.3">
      <c r="A71" s="4" t="s">
        <v>19</v>
      </c>
      <c r="B71" s="4" t="s">
        <v>44</v>
      </c>
      <c r="C71" s="2">
        <v>30</v>
      </c>
      <c r="D71" s="2">
        <v>1</v>
      </c>
      <c r="E71" s="2">
        <v>2</v>
      </c>
      <c r="F71" s="2">
        <v>4</v>
      </c>
      <c r="G71" s="2">
        <v>6</v>
      </c>
      <c r="H71" s="2">
        <v>20.9</v>
      </c>
      <c r="I71" s="2">
        <v>20</v>
      </c>
      <c r="J71" s="2">
        <v>19.2</v>
      </c>
      <c r="K71" s="2">
        <v>1960</v>
      </c>
      <c r="L71" s="5">
        <v>1</v>
      </c>
      <c r="M71" s="5">
        <v>40</v>
      </c>
    </row>
    <row r="72" spans="1:13" x14ac:dyDescent="0.3">
      <c r="A72" s="4" t="s">
        <v>19</v>
      </c>
      <c r="B72" s="4" t="s">
        <v>45</v>
      </c>
      <c r="C72" s="2">
        <v>38</v>
      </c>
      <c r="D72" s="2">
        <v>1</v>
      </c>
      <c r="E72" s="2">
        <v>2</v>
      </c>
      <c r="F72" s="2">
        <v>6</v>
      </c>
      <c r="G72" s="2">
        <v>6.2</v>
      </c>
      <c r="H72" s="2">
        <v>18.7</v>
      </c>
      <c r="I72" s="2">
        <v>18.2</v>
      </c>
      <c r="J72" s="2">
        <v>30</v>
      </c>
      <c r="K72" s="2">
        <v>2257</v>
      </c>
      <c r="L72" s="5">
        <v>1</v>
      </c>
      <c r="M72" s="5">
        <v>15</v>
      </c>
    </row>
    <row r="73" spans="1:13" x14ac:dyDescent="0.3">
      <c r="A73" s="4" t="s">
        <v>19</v>
      </c>
      <c r="B73" s="4" t="s">
        <v>45</v>
      </c>
      <c r="C73" s="2">
        <v>12</v>
      </c>
      <c r="D73" s="2">
        <v>0</v>
      </c>
      <c r="E73" s="2">
        <v>0</v>
      </c>
      <c r="F73" s="2">
        <v>1</v>
      </c>
      <c r="G73" s="2">
        <v>6.4</v>
      </c>
      <c r="H73" s="2">
        <v>25.9</v>
      </c>
      <c r="I73" s="2">
        <v>18.8</v>
      </c>
      <c r="J73" s="2">
        <v>30</v>
      </c>
      <c r="K73" s="2">
        <v>2257</v>
      </c>
      <c r="L73" s="5">
        <v>1</v>
      </c>
      <c r="M73" s="5">
        <v>15</v>
      </c>
    </row>
    <row r="74" spans="1:13" x14ac:dyDescent="0.3">
      <c r="A74" s="4" t="s">
        <v>19</v>
      </c>
      <c r="B74" s="4" t="s">
        <v>45</v>
      </c>
      <c r="C74" s="2">
        <v>54</v>
      </c>
      <c r="D74" s="2">
        <v>2</v>
      </c>
      <c r="E74" s="2">
        <v>3</v>
      </c>
      <c r="F74" s="2">
        <v>8</v>
      </c>
      <c r="G74" s="2">
        <v>6.2</v>
      </c>
      <c r="H74" s="2">
        <v>24.4</v>
      </c>
      <c r="I74" s="2">
        <v>19</v>
      </c>
      <c r="J74" s="2">
        <v>30</v>
      </c>
      <c r="K74" s="2">
        <v>2239</v>
      </c>
      <c r="L74" s="5">
        <v>1</v>
      </c>
      <c r="M74" s="5">
        <v>15</v>
      </c>
    </row>
    <row r="75" spans="1:13" x14ac:dyDescent="0.3">
      <c r="A75" s="4" t="s">
        <v>19</v>
      </c>
      <c r="B75" s="4" t="s">
        <v>45</v>
      </c>
      <c r="C75" s="2">
        <v>46</v>
      </c>
      <c r="D75" s="2">
        <v>2</v>
      </c>
      <c r="E75" s="2">
        <v>3</v>
      </c>
      <c r="F75" s="2">
        <v>7</v>
      </c>
      <c r="G75" s="2">
        <v>6.1</v>
      </c>
      <c r="H75" s="2">
        <v>23.5</v>
      </c>
      <c r="I75" s="2">
        <v>19.5</v>
      </c>
      <c r="J75" s="2">
        <v>30</v>
      </c>
      <c r="K75" s="2">
        <v>2239</v>
      </c>
      <c r="L75" s="5">
        <v>1</v>
      </c>
      <c r="M75" s="5">
        <v>15</v>
      </c>
    </row>
    <row r="76" spans="1:13" x14ac:dyDescent="0.3">
      <c r="A76" s="4" t="s">
        <v>19</v>
      </c>
      <c r="B76" s="4" t="s">
        <v>46</v>
      </c>
      <c r="C76" s="2">
        <v>29</v>
      </c>
      <c r="D76" s="2">
        <v>1</v>
      </c>
      <c r="E76" s="2">
        <v>2</v>
      </c>
      <c r="F76" s="2">
        <v>4</v>
      </c>
      <c r="G76" s="2">
        <v>5.9</v>
      </c>
      <c r="H76" s="2">
        <v>22.1</v>
      </c>
      <c r="I76" s="2">
        <v>16.899999999999999</v>
      </c>
      <c r="J76" s="2">
        <v>21</v>
      </c>
      <c r="K76" s="2">
        <v>1751</v>
      </c>
      <c r="L76" s="5">
        <v>1</v>
      </c>
      <c r="M76" s="5">
        <v>35</v>
      </c>
    </row>
    <row r="77" spans="1:13" x14ac:dyDescent="0.3">
      <c r="A77" s="4" t="s">
        <v>19</v>
      </c>
      <c r="B77" s="4" t="s">
        <v>46</v>
      </c>
      <c r="C77" s="2">
        <v>40</v>
      </c>
      <c r="D77" s="2">
        <v>1</v>
      </c>
      <c r="E77" s="2">
        <v>2</v>
      </c>
      <c r="F77" s="2">
        <v>6</v>
      </c>
      <c r="G77" s="2">
        <v>5.5</v>
      </c>
      <c r="H77" s="2">
        <v>29.3</v>
      </c>
      <c r="I77" s="2">
        <v>17</v>
      </c>
      <c r="J77" s="2">
        <v>21</v>
      </c>
      <c r="K77" s="2">
        <v>1751</v>
      </c>
      <c r="L77" s="5">
        <v>1</v>
      </c>
      <c r="M77" s="5">
        <v>35</v>
      </c>
    </row>
    <row r="78" spans="1:13" x14ac:dyDescent="0.3">
      <c r="A78" s="4" t="s">
        <v>19</v>
      </c>
      <c r="B78" s="4" t="s">
        <v>46</v>
      </c>
      <c r="C78" s="2">
        <v>30</v>
      </c>
      <c r="D78" s="2">
        <v>1</v>
      </c>
      <c r="E78" s="2">
        <v>2</v>
      </c>
      <c r="F78" s="2">
        <v>4</v>
      </c>
      <c r="G78" s="2">
        <v>5.4</v>
      </c>
      <c r="H78" s="2">
        <v>33.4</v>
      </c>
      <c r="I78" s="2">
        <v>17.399999999999999</v>
      </c>
      <c r="J78" s="2">
        <v>21</v>
      </c>
      <c r="K78" s="2">
        <v>1751</v>
      </c>
      <c r="L78" s="5">
        <v>1</v>
      </c>
      <c r="M78" s="5">
        <v>35</v>
      </c>
    </row>
    <row r="79" spans="1:13" x14ac:dyDescent="0.3">
      <c r="A79" s="4" t="s">
        <v>19</v>
      </c>
      <c r="B79" s="4" t="s">
        <v>47</v>
      </c>
      <c r="C79" s="2">
        <v>20</v>
      </c>
      <c r="D79" s="2">
        <v>1</v>
      </c>
      <c r="E79" s="2">
        <v>1</v>
      </c>
      <c r="F79" s="2">
        <v>3</v>
      </c>
      <c r="G79" s="2">
        <v>6.2</v>
      </c>
      <c r="H79" s="2">
        <v>15.4</v>
      </c>
      <c r="I79" s="2">
        <v>26.1</v>
      </c>
      <c r="J79" s="2">
        <v>24</v>
      </c>
      <c r="K79" s="2">
        <v>1320</v>
      </c>
      <c r="L79" s="5">
        <v>0</v>
      </c>
      <c r="M79" s="5"/>
    </row>
    <row r="80" spans="1:13" x14ac:dyDescent="0.3">
      <c r="A80" s="4" t="s">
        <v>19</v>
      </c>
      <c r="B80" s="4" t="s">
        <v>47</v>
      </c>
      <c r="C80" s="2">
        <v>23</v>
      </c>
      <c r="D80" s="2">
        <v>1</v>
      </c>
      <c r="E80" s="2">
        <v>1</v>
      </c>
      <c r="F80" s="2">
        <v>3</v>
      </c>
      <c r="G80" s="2">
        <v>6.5</v>
      </c>
      <c r="H80" s="2">
        <v>19.2</v>
      </c>
      <c r="I80" s="2">
        <v>27</v>
      </c>
      <c r="J80" s="2">
        <v>24</v>
      </c>
      <c r="K80" s="2">
        <v>1320</v>
      </c>
      <c r="L80" s="5">
        <v>0</v>
      </c>
      <c r="M80" s="5"/>
    </row>
    <row r="81" spans="1:13" x14ac:dyDescent="0.3">
      <c r="A81" s="4" t="s">
        <v>19</v>
      </c>
      <c r="B81" s="4" t="s">
        <v>47</v>
      </c>
      <c r="C81" s="2">
        <v>19</v>
      </c>
      <c r="D81" s="2">
        <v>0</v>
      </c>
      <c r="E81" s="2">
        <v>1</v>
      </c>
      <c r="F81" s="2">
        <v>3</v>
      </c>
      <c r="G81" s="2">
        <v>5.2</v>
      </c>
      <c r="H81" s="2">
        <v>14.5</v>
      </c>
      <c r="I81" s="2">
        <v>31.4</v>
      </c>
      <c r="J81" s="2">
        <v>24</v>
      </c>
      <c r="K81" s="2">
        <v>1320</v>
      </c>
      <c r="L81" s="5">
        <v>0</v>
      </c>
      <c r="M81" s="5"/>
    </row>
    <row r="82" spans="1:13" x14ac:dyDescent="0.3">
      <c r="A82" s="4" t="s">
        <v>19</v>
      </c>
      <c r="B82" s="4" t="s">
        <v>47</v>
      </c>
      <c r="C82" s="2">
        <v>20</v>
      </c>
      <c r="D82" s="2">
        <v>1</v>
      </c>
      <c r="E82" s="2">
        <v>1</v>
      </c>
      <c r="F82" s="2">
        <v>3</v>
      </c>
      <c r="G82" s="2">
        <v>6.2</v>
      </c>
      <c r="H82" s="2">
        <v>19</v>
      </c>
      <c r="I82" s="2">
        <v>31.4</v>
      </c>
      <c r="J82" s="2">
        <v>24</v>
      </c>
      <c r="K82" s="2">
        <v>1320</v>
      </c>
      <c r="L82" s="5">
        <v>0</v>
      </c>
      <c r="M82" s="5"/>
    </row>
    <row r="83" spans="1:13" x14ac:dyDescent="0.3">
      <c r="A83" s="4" t="s">
        <v>19</v>
      </c>
      <c r="B83" s="4" t="s">
        <v>48</v>
      </c>
      <c r="C83" s="2">
        <v>55</v>
      </c>
      <c r="D83" s="2">
        <v>2</v>
      </c>
      <c r="E83" s="2">
        <v>3</v>
      </c>
      <c r="F83" s="2">
        <v>8</v>
      </c>
      <c r="G83" s="2">
        <v>6.1</v>
      </c>
      <c r="H83" s="2">
        <v>38.4</v>
      </c>
      <c r="I83" s="2">
        <v>26.3</v>
      </c>
      <c r="J83" s="2">
        <v>27.1</v>
      </c>
      <c r="K83" s="2">
        <v>1485</v>
      </c>
      <c r="L83" s="5">
        <v>1</v>
      </c>
      <c r="M83" s="5">
        <v>18</v>
      </c>
    </row>
    <row r="84" spans="1:13" x14ac:dyDescent="0.3">
      <c r="A84" s="4" t="s">
        <v>19</v>
      </c>
      <c r="B84" s="4" t="s">
        <v>48</v>
      </c>
      <c r="C84" s="2">
        <v>15</v>
      </c>
      <c r="D84" s="2">
        <v>0</v>
      </c>
      <c r="E84" s="2">
        <v>1</v>
      </c>
      <c r="F84" s="2">
        <v>2</v>
      </c>
      <c r="G84" s="2">
        <v>6.1</v>
      </c>
      <c r="H84" s="2">
        <v>36.6</v>
      </c>
      <c r="I84" s="2">
        <v>23.6</v>
      </c>
      <c r="J84" s="2">
        <v>27.1</v>
      </c>
      <c r="K84" s="2">
        <v>1485</v>
      </c>
      <c r="L84" s="5">
        <v>1</v>
      </c>
      <c r="M84" s="5">
        <v>18</v>
      </c>
    </row>
    <row r="85" spans="1:13" x14ac:dyDescent="0.3">
      <c r="A85" s="4" t="s">
        <v>19</v>
      </c>
      <c r="B85" s="4" t="s">
        <v>48</v>
      </c>
      <c r="C85" s="2">
        <v>45</v>
      </c>
      <c r="D85" s="2">
        <v>2</v>
      </c>
      <c r="E85" s="2">
        <v>3</v>
      </c>
      <c r="F85" s="2">
        <v>7</v>
      </c>
      <c r="G85" s="2">
        <v>6.2</v>
      </c>
      <c r="H85" s="2">
        <v>31.3</v>
      </c>
      <c r="I85" s="2">
        <v>22.3</v>
      </c>
      <c r="J85" s="2">
        <v>26.8</v>
      </c>
      <c r="K85" s="2">
        <v>1406</v>
      </c>
      <c r="L85" s="5">
        <v>1</v>
      </c>
      <c r="M85" s="5">
        <v>18</v>
      </c>
    </row>
    <row r="86" spans="1:13" x14ac:dyDescent="0.3">
      <c r="A86" s="4" t="s">
        <v>19</v>
      </c>
      <c r="B86" s="4" t="s">
        <v>48</v>
      </c>
      <c r="C86" s="2">
        <v>81</v>
      </c>
      <c r="D86" s="2">
        <v>4</v>
      </c>
      <c r="E86" s="2">
        <v>5</v>
      </c>
      <c r="F86" s="2">
        <v>12</v>
      </c>
      <c r="G86" s="2">
        <v>5.8</v>
      </c>
      <c r="H86" s="2">
        <v>30</v>
      </c>
      <c r="I86" s="2">
        <v>25.2</v>
      </c>
      <c r="J86" s="2">
        <v>26.8</v>
      </c>
      <c r="K86" s="2">
        <v>1406</v>
      </c>
      <c r="L86" s="5">
        <v>1</v>
      </c>
      <c r="M86" s="5">
        <v>18</v>
      </c>
    </row>
    <row r="87" spans="1:13" x14ac:dyDescent="0.3">
      <c r="A87" s="4" t="s">
        <v>19</v>
      </c>
      <c r="B87" s="4" t="s">
        <v>48</v>
      </c>
      <c r="C87" s="2">
        <v>24</v>
      </c>
      <c r="D87" s="2">
        <v>1</v>
      </c>
      <c r="E87" s="2">
        <v>1</v>
      </c>
      <c r="F87" s="2">
        <v>3</v>
      </c>
      <c r="G87" s="2">
        <v>6.1</v>
      </c>
      <c r="H87" s="2">
        <v>30.3</v>
      </c>
      <c r="I87" s="2">
        <v>24.8</v>
      </c>
      <c r="J87" s="2">
        <v>26.2</v>
      </c>
      <c r="K87" s="2">
        <v>1382</v>
      </c>
      <c r="L87" s="5">
        <v>1</v>
      </c>
      <c r="M87" s="5">
        <v>7</v>
      </c>
    </row>
    <row r="88" spans="1:13" x14ac:dyDescent="0.3">
      <c r="A88" s="4" t="s">
        <v>20</v>
      </c>
      <c r="B88" s="4" t="s">
        <v>49</v>
      </c>
      <c r="C88" s="2">
        <v>46</v>
      </c>
      <c r="D88" s="2">
        <v>2</v>
      </c>
      <c r="E88" s="2">
        <v>3</v>
      </c>
      <c r="F88" s="2">
        <v>2</v>
      </c>
      <c r="G88" s="2">
        <v>6.3</v>
      </c>
      <c r="H88" s="2">
        <v>21.3</v>
      </c>
      <c r="I88" s="2">
        <v>29.4</v>
      </c>
      <c r="J88" s="2">
        <v>26</v>
      </c>
      <c r="K88" s="2">
        <v>727</v>
      </c>
      <c r="L88" s="5">
        <v>-1</v>
      </c>
      <c r="M88" s="5"/>
    </row>
    <row r="89" spans="1:13" x14ac:dyDescent="0.3">
      <c r="A89" s="4" t="s">
        <v>20</v>
      </c>
      <c r="B89" s="4" t="s">
        <v>49</v>
      </c>
      <c r="C89" s="2">
        <v>27</v>
      </c>
      <c r="D89" s="2">
        <v>1</v>
      </c>
      <c r="E89" s="2">
        <v>1</v>
      </c>
      <c r="F89" s="2">
        <v>4</v>
      </c>
      <c r="G89" s="2">
        <v>6</v>
      </c>
      <c r="H89" s="2">
        <v>19.600000000000001</v>
      </c>
      <c r="I89" s="2">
        <v>30.7</v>
      </c>
      <c r="J89" s="2">
        <v>26</v>
      </c>
      <c r="K89" s="2">
        <v>727</v>
      </c>
      <c r="L89" s="5">
        <v>-1</v>
      </c>
      <c r="M89" s="5"/>
    </row>
    <row r="90" spans="1:13" x14ac:dyDescent="0.3">
      <c r="A90" s="4" t="s">
        <v>20</v>
      </c>
      <c r="B90" s="4" t="s">
        <v>49</v>
      </c>
      <c r="C90" s="2">
        <v>31</v>
      </c>
      <c r="D90" s="2">
        <v>1</v>
      </c>
      <c r="E90" s="2">
        <v>2</v>
      </c>
      <c r="F90" s="2">
        <v>4</v>
      </c>
      <c r="G90" s="2">
        <v>5.9</v>
      </c>
      <c r="H90" s="2">
        <v>21.3</v>
      </c>
      <c r="I90" s="2">
        <v>30</v>
      </c>
      <c r="J90" s="2">
        <v>26</v>
      </c>
      <c r="K90" s="2">
        <v>727</v>
      </c>
      <c r="L90" s="5">
        <v>-1</v>
      </c>
      <c r="M90" s="5"/>
    </row>
    <row r="91" spans="1:13" x14ac:dyDescent="0.3">
      <c r="A91" s="3" t="s">
        <v>20</v>
      </c>
      <c r="B91" s="4" t="s">
        <v>50</v>
      </c>
      <c r="C91" s="2">
        <v>75</v>
      </c>
      <c r="D91" s="2">
        <v>3</v>
      </c>
      <c r="E91" s="2">
        <v>5</v>
      </c>
      <c r="F91" s="2">
        <v>12</v>
      </c>
      <c r="G91" s="2">
        <v>6.6</v>
      </c>
      <c r="H91" s="2">
        <v>15.7</v>
      </c>
      <c r="I91" s="2">
        <v>26.3</v>
      </c>
      <c r="J91" s="2">
        <v>25.1</v>
      </c>
      <c r="K91" s="2">
        <v>682</v>
      </c>
      <c r="L91" s="5">
        <v>1</v>
      </c>
      <c r="M91" s="5">
        <v>25</v>
      </c>
    </row>
    <row r="92" spans="1:13" x14ac:dyDescent="0.3">
      <c r="A92" s="3" t="s">
        <v>20</v>
      </c>
      <c r="B92" s="4" t="s">
        <v>50</v>
      </c>
      <c r="C92" s="2">
        <v>128</v>
      </c>
      <c r="D92" s="2">
        <v>6</v>
      </c>
      <c r="E92" s="2">
        <v>8</v>
      </c>
      <c r="F92" s="2">
        <v>20</v>
      </c>
      <c r="G92" s="2">
        <v>6.1</v>
      </c>
      <c r="H92" s="2">
        <v>18.3</v>
      </c>
      <c r="I92" s="2">
        <v>24.7</v>
      </c>
      <c r="J92" s="2">
        <v>25.1</v>
      </c>
      <c r="K92" s="2">
        <v>682</v>
      </c>
      <c r="L92" s="5">
        <v>1</v>
      </c>
      <c r="M92" s="5">
        <v>25</v>
      </c>
    </row>
    <row r="93" spans="1:13" x14ac:dyDescent="0.3">
      <c r="A93" s="3" t="s">
        <v>20</v>
      </c>
      <c r="B93" s="4" t="s">
        <v>50</v>
      </c>
      <c r="C93" s="2">
        <v>10.199999999999999</v>
      </c>
      <c r="D93" s="2">
        <v>5</v>
      </c>
      <c r="E93" s="2">
        <v>7</v>
      </c>
      <c r="F93" s="2">
        <v>16</v>
      </c>
      <c r="G93" s="2">
        <v>6.3</v>
      </c>
      <c r="H93" s="2">
        <v>29.6</v>
      </c>
      <c r="I93" s="2">
        <v>24.5</v>
      </c>
      <c r="J93" s="2">
        <v>25.1</v>
      </c>
      <c r="K93" s="2">
        <v>682</v>
      </c>
      <c r="L93" s="5">
        <v>1</v>
      </c>
      <c r="M93" s="5">
        <v>25</v>
      </c>
    </row>
    <row r="94" spans="1:13" x14ac:dyDescent="0.3">
      <c r="A94" s="3" t="s">
        <v>20</v>
      </c>
      <c r="B94" s="4" t="s">
        <v>50</v>
      </c>
      <c r="C94" s="2">
        <v>97</v>
      </c>
      <c r="D94" s="2">
        <v>4</v>
      </c>
      <c r="E94" s="2">
        <v>6</v>
      </c>
      <c r="F94" s="2">
        <v>15</v>
      </c>
      <c r="G94" s="2">
        <v>5.8</v>
      </c>
      <c r="H94" s="2">
        <v>35.1</v>
      </c>
      <c r="I94" s="2">
        <v>24.5</v>
      </c>
      <c r="J94" s="2">
        <v>25.1</v>
      </c>
      <c r="K94" s="2">
        <v>682</v>
      </c>
      <c r="L94" s="5">
        <v>1</v>
      </c>
      <c r="M94" s="5">
        <v>25</v>
      </c>
    </row>
    <row r="95" spans="1:13" x14ac:dyDescent="0.3">
      <c r="A95" s="4" t="s">
        <v>20</v>
      </c>
      <c r="B95" s="4" t="s">
        <v>51</v>
      </c>
      <c r="C95" s="6">
        <v>44</v>
      </c>
      <c r="D95" s="6">
        <v>2</v>
      </c>
      <c r="E95" s="6">
        <v>3</v>
      </c>
      <c r="F95" s="6">
        <v>7</v>
      </c>
      <c r="G95" s="6">
        <v>6.1</v>
      </c>
      <c r="H95" s="6">
        <v>20</v>
      </c>
      <c r="I95" s="6">
        <v>32</v>
      </c>
      <c r="J95" s="2">
        <v>26</v>
      </c>
      <c r="K95" s="2">
        <v>1170</v>
      </c>
      <c r="L95" s="5">
        <v>0</v>
      </c>
      <c r="M95" s="5"/>
    </row>
    <row r="96" spans="1:13" x14ac:dyDescent="0.3">
      <c r="A96" s="4" t="s">
        <v>20</v>
      </c>
      <c r="B96" s="4" t="s">
        <v>51</v>
      </c>
      <c r="C96" s="6">
        <v>29</v>
      </c>
      <c r="D96" s="6">
        <v>1</v>
      </c>
      <c r="E96" s="6">
        <v>2</v>
      </c>
      <c r="F96" s="6">
        <v>6</v>
      </c>
      <c r="G96" s="6">
        <v>6</v>
      </c>
      <c r="H96" s="6">
        <v>22.8</v>
      </c>
      <c r="I96" s="6">
        <v>32.799999999999997</v>
      </c>
      <c r="J96" s="2">
        <v>26</v>
      </c>
      <c r="K96" s="2">
        <v>1170</v>
      </c>
      <c r="L96" s="5">
        <v>0</v>
      </c>
      <c r="M96" s="5"/>
    </row>
    <row r="97" spans="1:13" x14ac:dyDescent="0.3">
      <c r="A97" s="4" t="s">
        <v>20</v>
      </c>
      <c r="B97" s="4" t="s">
        <v>51</v>
      </c>
      <c r="C97" s="6">
        <v>27</v>
      </c>
      <c r="D97" s="6">
        <v>1</v>
      </c>
      <c r="E97" s="6">
        <v>1</v>
      </c>
      <c r="F97" s="6">
        <v>4</v>
      </c>
      <c r="G97" s="6">
        <v>6</v>
      </c>
      <c r="H97" s="6">
        <v>16.2</v>
      </c>
      <c r="I97" s="6">
        <v>30.7</v>
      </c>
      <c r="J97" s="2">
        <v>26</v>
      </c>
      <c r="K97" s="2">
        <v>1170</v>
      </c>
      <c r="L97" s="5">
        <v>0</v>
      </c>
      <c r="M97" s="5"/>
    </row>
    <row r="98" spans="1:13" x14ac:dyDescent="0.3">
      <c r="A98" s="4" t="s">
        <v>20</v>
      </c>
      <c r="B98" s="4" t="s">
        <v>51</v>
      </c>
      <c r="C98" s="6">
        <v>40</v>
      </c>
      <c r="D98" s="6">
        <v>2</v>
      </c>
      <c r="E98" s="6">
        <v>2</v>
      </c>
      <c r="F98" s="6">
        <v>6</v>
      </c>
      <c r="G98" s="6">
        <v>6.2</v>
      </c>
      <c r="H98" s="6">
        <v>17.399999999999999</v>
      </c>
      <c r="I98" s="6">
        <v>32.700000000000003</v>
      </c>
      <c r="J98" s="2">
        <v>26</v>
      </c>
      <c r="K98" s="2">
        <v>1156</v>
      </c>
      <c r="L98" s="5">
        <v>0</v>
      </c>
      <c r="M98" s="5"/>
    </row>
    <row r="99" spans="1:13" x14ac:dyDescent="0.3">
      <c r="A99" s="4" t="s">
        <v>20</v>
      </c>
      <c r="B99" s="4" t="s">
        <v>51</v>
      </c>
      <c r="C99" s="6">
        <v>62</v>
      </c>
      <c r="D99" s="6">
        <v>3</v>
      </c>
      <c r="E99" s="6">
        <v>4</v>
      </c>
      <c r="F99" s="6">
        <v>9</v>
      </c>
      <c r="G99" s="6">
        <v>6.2</v>
      </c>
      <c r="H99" s="6">
        <v>18.600000000000001</v>
      </c>
      <c r="I99" s="6">
        <v>33.299999999999997</v>
      </c>
      <c r="J99" s="2">
        <v>26</v>
      </c>
      <c r="K99" s="2">
        <v>1156</v>
      </c>
      <c r="L99" s="5">
        <v>0</v>
      </c>
      <c r="M99" s="5"/>
    </row>
    <row r="100" spans="1:13" x14ac:dyDescent="0.3">
      <c r="A100" s="4" t="s">
        <v>20</v>
      </c>
      <c r="B100" s="4" t="s">
        <v>51</v>
      </c>
      <c r="C100" s="6">
        <v>38</v>
      </c>
      <c r="D100" s="6">
        <v>1</v>
      </c>
      <c r="E100" s="6">
        <v>2</v>
      </c>
      <c r="F100" s="6">
        <v>6</v>
      </c>
      <c r="G100" s="6">
        <v>6.2</v>
      </c>
      <c r="H100" s="6">
        <v>16.5</v>
      </c>
      <c r="I100" s="6">
        <v>31.3</v>
      </c>
      <c r="J100" s="2">
        <v>26</v>
      </c>
      <c r="K100" s="2">
        <v>1156</v>
      </c>
      <c r="L100" s="5">
        <v>0</v>
      </c>
      <c r="M100" s="5"/>
    </row>
    <row r="101" spans="1:13" x14ac:dyDescent="0.3">
      <c r="A101" s="4" t="s">
        <v>20</v>
      </c>
      <c r="B101" s="4" t="s">
        <v>51</v>
      </c>
      <c r="C101" s="6">
        <v>44</v>
      </c>
      <c r="D101" s="6">
        <v>2</v>
      </c>
      <c r="E101" s="6">
        <v>3</v>
      </c>
      <c r="F101" s="6">
        <v>6</v>
      </c>
      <c r="G101" s="6">
        <v>5.5</v>
      </c>
      <c r="H101" s="6">
        <v>20</v>
      </c>
      <c r="I101" s="6">
        <v>32.299999999999997</v>
      </c>
      <c r="J101" s="2">
        <v>26</v>
      </c>
      <c r="K101" s="2">
        <v>1156</v>
      </c>
      <c r="L101" s="5">
        <v>0</v>
      </c>
      <c r="M101" s="5"/>
    </row>
    <row r="102" spans="1:13" x14ac:dyDescent="0.3">
      <c r="A102" s="4" t="s">
        <v>21</v>
      </c>
      <c r="B102" s="4" t="s">
        <v>52</v>
      </c>
      <c r="C102" s="6">
        <v>93</v>
      </c>
      <c r="D102" s="6">
        <v>4</v>
      </c>
      <c r="E102" s="6">
        <v>6</v>
      </c>
      <c r="F102" s="6">
        <v>14</v>
      </c>
      <c r="G102" s="6">
        <v>5.5</v>
      </c>
      <c r="H102" s="6">
        <v>28.5</v>
      </c>
      <c r="I102" s="6">
        <v>21.3</v>
      </c>
      <c r="J102" s="2">
        <v>21</v>
      </c>
      <c r="K102" s="2">
        <v>1731</v>
      </c>
      <c r="L102" s="5">
        <v>1</v>
      </c>
      <c r="M102" s="5">
        <v>25</v>
      </c>
    </row>
    <row r="103" spans="1:13" x14ac:dyDescent="0.3">
      <c r="A103" s="4" t="s">
        <v>21</v>
      </c>
      <c r="B103" s="4" t="s">
        <v>52</v>
      </c>
      <c r="C103" s="6">
        <v>69</v>
      </c>
      <c r="D103" s="6">
        <v>3</v>
      </c>
      <c r="E103" s="6">
        <v>4</v>
      </c>
      <c r="F103" s="6">
        <v>11</v>
      </c>
      <c r="G103" s="6">
        <v>5.5</v>
      </c>
      <c r="H103" s="6">
        <v>26.9</v>
      </c>
      <c r="I103" s="6">
        <v>18.100000000000001</v>
      </c>
      <c r="J103" s="2">
        <v>21</v>
      </c>
      <c r="K103" s="2">
        <v>1731</v>
      </c>
      <c r="L103" s="5">
        <v>1</v>
      </c>
      <c r="M103" s="5">
        <v>25</v>
      </c>
    </row>
    <row r="104" spans="1:13" x14ac:dyDescent="0.3">
      <c r="A104" s="4" t="s">
        <v>21</v>
      </c>
      <c r="B104" s="4" t="s">
        <v>52</v>
      </c>
      <c r="C104" s="6">
        <v>54</v>
      </c>
      <c r="D104" s="6">
        <v>2</v>
      </c>
      <c r="E104" s="6">
        <v>3</v>
      </c>
      <c r="F104" s="6">
        <v>7</v>
      </c>
      <c r="G104" s="6">
        <v>6.1</v>
      </c>
      <c r="H104" s="6">
        <v>26</v>
      </c>
      <c r="I104" s="6">
        <v>17.600000000000001</v>
      </c>
      <c r="J104" s="2">
        <v>21</v>
      </c>
      <c r="K104" s="2">
        <v>1731</v>
      </c>
      <c r="L104" s="5">
        <v>1</v>
      </c>
      <c r="M104" s="5">
        <v>25</v>
      </c>
    </row>
    <row r="105" spans="1:13" x14ac:dyDescent="0.3">
      <c r="A105" s="4" t="s">
        <v>21</v>
      </c>
      <c r="B105" s="4" t="s">
        <v>52</v>
      </c>
      <c r="C105" s="6">
        <v>52</v>
      </c>
      <c r="D105" s="6">
        <v>2</v>
      </c>
      <c r="E105" s="6">
        <v>3</v>
      </c>
      <c r="F105" s="6">
        <v>8</v>
      </c>
      <c r="G105" s="6">
        <v>6.6</v>
      </c>
      <c r="H105" s="6">
        <v>21</v>
      </c>
      <c r="I105" s="6">
        <v>22.9</v>
      </c>
      <c r="J105" s="2">
        <v>21</v>
      </c>
      <c r="K105" s="2">
        <v>1731</v>
      </c>
      <c r="L105" s="5">
        <v>1</v>
      </c>
      <c r="M105" s="5">
        <v>25</v>
      </c>
    </row>
    <row r="106" spans="1:13" x14ac:dyDescent="0.3">
      <c r="A106" s="4" t="s">
        <v>21</v>
      </c>
      <c r="B106" s="4" t="s">
        <v>52</v>
      </c>
      <c r="C106" s="6">
        <v>46</v>
      </c>
      <c r="D106" s="6">
        <v>2</v>
      </c>
      <c r="E106" s="6">
        <v>3</v>
      </c>
      <c r="F106" s="6">
        <v>7</v>
      </c>
      <c r="G106" s="6">
        <v>6.1</v>
      </c>
      <c r="H106" s="6">
        <v>39</v>
      </c>
      <c r="I106" s="6">
        <v>24</v>
      </c>
      <c r="J106" s="2">
        <v>21</v>
      </c>
      <c r="K106" s="2">
        <v>1628</v>
      </c>
      <c r="L106" s="5">
        <v>1</v>
      </c>
      <c r="M106" s="5">
        <v>25</v>
      </c>
    </row>
    <row r="107" spans="1:13" x14ac:dyDescent="0.3">
      <c r="A107" s="4" t="s">
        <v>21</v>
      </c>
      <c r="B107" s="4" t="s">
        <v>52</v>
      </c>
      <c r="C107" s="6">
        <v>24</v>
      </c>
      <c r="D107" s="6">
        <v>1</v>
      </c>
      <c r="E107" s="6">
        <v>1</v>
      </c>
      <c r="F107" s="6">
        <v>3</v>
      </c>
      <c r="G107" s="6">
        <v>6</v>
      </c>
      <c r="H107" s="6">
        <v>37.4</v>
      </c>
      <c r="I107" s="6">
        <v>23</v>
      </c>
      <c r="J107" s="2">
        <v>21</v>
      </c>
      <c r="K107" s="2">
        <v>1628</v>
      </c>
      <c r="L107" s="5">
        <v>1</v>
      </c>
      <c r="M107" s="5">
        <v>25</v>
      </c>
    </row>
    <row r="108" spans="1:13" x14ac:dyDescent="0.3">
      <c r="A108" s="4" t="s">
        <v>21</v>
      </c>
      <c r="B108" s="4" t="s">
        <v>52</v>
      </c>
      <c r="C108" s="6">
        <v>25</v>
      </c>
      <c r="D108" s="6">
        <v>1</v>
      </c>
      <c r="E108" s="6">
        <v>1</v>
      </c>
      <c r="F108" s="6">
        <v>4</v>
      </c>
      <c r="G108" s="6">
        <v>6.1</v>
      </c>
      <c r="H108" s="6">
        <v>42.2</v>
      </c>
      <c r="I108" s="6">
        <v>23.5</v>
      </c>
      <c r="J108" s="2">
        <v>21</v>
      </c>
      <c r="K108" s="2">
        <v>1628</v>
      </c>
      <c r="L108" s="5">
        <v>1</v>
      </c>
      <c r="M108" s="5">
        <v>25</v>
      </c>
    </row>
    <row r="109" spans="1:13" x14ac:dyDescent="0.3">
      <c r="A109" s="4" t="s">
        <v>22</v>
      </c>
      <c r="B109" s="4" t="s">
        <v>53</v>
      </c>
      <c r="C109" s="2">
        <v>73</v>
      </c>
      <c r="D109" s="2">
        <v>3</v>
      </c>
      <c r="E109" s="2">
        <v>5</v>
      </c>
      <c r="F109" s="2">
        <v>11</v>
      </c>
      <c r="G109" s="2">
        <v>6.3</v>
      </c>
      <c r="H109" s="2">
        <v>65.099999999999994</v>
      </c>
      <c r="I109" s="2">
        <v>20.399999999999999</v>
      </c>
      <c r="J109" s="2">
        <v>20.9</v>
      </c>
      <c r="K109" s="2">
        <v>1519</v>
      </c>
      <c r="L109" s="5">
        <v>1</v>
      </c>
      <c r="M109" s="5">
        <v>18</v>
      </c>
    </row>
    <row r="110" spans="1:13" x14ac:dyDescent="0.3">
      <c r="A110" s="4" t="s">
        <v>22</v>
      </c>
      <c r="B110" s="4" t="s">
        <v>53</v>
      </c>
      <c r="C110" s="2">
        <v>44</v>
      </c>
      <c r="D110" s="2">
        <v>2</v>
      </c>
      <c r="E110" s="2">
        <v>3</v>
      </c>
      <c r="F110" s="2">
        <v>7</v>
      </c>
      <c r="G110" s="2">
        <v>5.9</v>
      </c>
      <c r="H110" s="2">
        <v>22.7</v>
      </c>
      <c r="I110" s="2">
        <v>20.9</v>
      </c>
      <c r="J110" s="2">
        <v>20.9</v>
      </c>
      <c r="K110" s="2">
        <v>1518</v>
      </c>
      <c r="L110" s="5">
        <v>1</v>
      </c>
      <c r="M110" s="5">
        <v>18</v>
      </c>
    </row>
    <row r="111" spans="1:13" x14ac:dyDescent="0.3">
      <c r="A111" s="4" t="s">
        <v>22</v>
      </c>
      <c r="B111" s="4" t="s">
        <v>53</v>
      </c>
      <c r="C111" s="2">
        <v>252</v>
      </c>
      <c r="D111" s="2">
        <v>12</v>
      </c>
      <c r="E111" s="2">
        <v>17</v>
      </c>
      <c r="F111" s="2">
        <v>40</v>
      </c>
      <c r="G111" s="2">
        <v>5.4</v>
      </c>
      <c r="H111" s="2">
        <v>29.4</v>
      </c>
      <c r="I111" s="2">
        <v>20.3</v>
      </c>
      <c r="J111" s="2">
        <v>18.5</v>
      </c>
      <c r="K111" s="2">
        <v>1551</v>
      </c>
      <c r="L111" s="5">
        <v>1</v>
      </c>
      <c r="M111" s="5">
        <v>25</v>
      </c>
    </row>
    <row r="112" spans="1:13" x14ac:dyDescent="0.3">
      <c r="A112" s="4" t="s">
        <v>22</v>
      </c>
      <c r="B112" s="4" t="s">
        <v>53</v>
      </c>
      <c r="C112" s="2">
        <v>256</v>
      </c>
      <c r="D112" s="2">
        <v>12</v>
      </c>
      <c r="E112" s="2">
        <v>18</v>
      </c>
      <c r="F112" s="2">
        <v>41</v>
      </c>
      <c r="G112" s="2">
        <v>5.2</v>
      </c>
      <c r="H112" s="2">
        <v>28.6</v>
      </c>
      <c r="I112" s="2">
        <v>20.2</v>
      </c>
      <c r="J112" s="2">
        <v>18.5</v>
      </c>
      <c r="K112" s="2">
        <v>1551</v>
      </c>
      <c r="L112" s="5">
        <v>1</v>
      </c>
      <c r="M112" s="5">
        <v>25</v>
      </c>
    </row>
    <row r="113" spans="1:13" x14ac:dyDescent="0.3">
      <c r="A113" s="4" t="s">
        <v>22</v>
      </c>
      <c r="B113" s="4" t="s">
        <v>53</v>
      </c>
      <c r="C113" s="2">
        <v>371</v>
      </c>
      <c r="D113" s="2">
        <v>18</v>
      </c>
      <c r="E113" s="2">
        <v>26</v>
      </c>
      <c r="F113" s="2">
        <v>60</v>
      </c>
      <c r="G113" s="2">
        <v>4.5999999999999996</v>
      </c>
      <c r="H113" s="2">
        <v>48.6</v>
      </c>
      <c r="I113" s="2">
        <v>19.899999999999999</v>
      </c>
      <c r="J113" s="2">
        <v>20.6</v>
      </c>
      <c r="K113" s="2">
        <v>1618</v>
      </c>
      <c r="L113" s="5">
        <v>1</v>
      </c>
      <c r="M113" s="5">
        <v>8</v>
      </c>
    </row>
    <row r="114" spans="1:13" x14ac:dyDescent="0.3">
      <c r="A114" s="4" t="s">
        <v>22</v>
      </c>
      <c r="B114" s="4" t="s">
        <v>53</v>
      </c>
      <c r="C114" s="2">
        <v>91</v>
      </c>
      <c r="D114" s="2">
        <v>4</v>
      </c>
      <c r="E114" s="2">
        <v>6</v>
      </c>
      <c r="F114" s="2">
        <v>14</v>
      </c>
      <c r="G114" s="2">
        <v>6.2</v>
      </c>
      <c r="H114" s="2">
        <v>34.799999999999997</v>
      </c>
      <c r="I114" s="2">
        <v>21.5</v>
      </c>
      <c r="J114" s="2">
        <v>20</v>
      </c>
      <c r="K114" s="2">
        <v>1558</v>
      </c>
      <c r="L114" s="5">
        <v>1</v>
      </c>
      <c r="M114" s="5">
        <v>40</v>
      </c>
    </row>
    <row r="115" spans="1:13" x14ac:dyDescent="0.3">
      <c r="A115" s="4" t="s">
        <v>22</v>
      </c>
      <c r="B115" s="4" t="s">
        <v>53</v>
      </c>
      <c r="C115" s="2">
        <v>72</v>
      </c>
      <c r="D115" s="2">
        <v>3</v>
      </c>
      <c r="E115" s="2">
        <v>5</v>
      </c>
      <c r="F115" s="2">
        <v>11</v>
      </c>
      <c r="G115" s="2">
        <v>6.6</v>
      </c>
      <c r="H115" s="2">
        <v>27.4</v>
      </c>
      <c r="I115" s="2">
        <v>21.2</v>
      </c>
      <c r="J115" s="2">
        <v>20</v>
      </c>
      <c r="K115" s="2">
        <v>1558</v>
      </c>
      <c r="L115" s="5">
        <v>1</v>
      </c>
      <c r="M115" s="5">
        <v>40</v>
      </c>
    </row>
    <row r="116" spans="1:13" x14ac:dyDescent="0.3">
      <c r="A116" s="4" t="s">
        <v>22</v>
      </c>
      <c r="B116" s="4" t="s">
        <v>54</v>
      </c>
      <c r="C116" s="2">
        <v>67</v>
      </c>
      <c r="D116" s="2">
        <v>3</v>
      </c>
      <c r="E116" s="2">
        <v>4</v>
      </c>
      <c r="F116" s="2">
        <v>10</v>
      </c>
      <c r="G116" s="2">
        <v>5.8</v>
      </c>
      <c r="H116" s="2">
        <v>31.2</v>
      </c>
      <c r="I116" s="2">
        <v>20</v>
      </c>
      <c r="J116" s="2">
        <v>20</v>
      </c>
      <c r="K116" s="2">
        <v>1535</v>
      </c>
      <c r="L116" s="5">
        <v>1</v>
      </c>
      <c r="M116" s="5">
        <v>25</v>
      </c>
    </row>
    <row r="117" spans="1:13" x14ac:dyDescent="0.3">
      <c r="A117" s="4" t="s">
        <v>22</v>
      </c>
      <c r="B117" s="4" t="s">
        <v>54</v>
      </c>
      <c r="C117" s="2">
        <v>33</v>
      </c>
      <c r="D117" s="2">
        <v>1</v>
      </c>
      <c r="E117" s="2">
        <v>2</v>
      </c>
      <c r="F117" s="2">
        <v>5</v>
      </c>
      <c r="G117" s="2">
        <v>6.1</v>
      </c>
      <c r="H117" s="2">
        <v>32.4</v>
      </c>
      <c r="I117" s="2">
        <v>20.5</v>
      </c>
      <c r="J117" s="2">
        <v>20</v>
      </c>
      <c r="K117" s="2">
        <v>1535</v>
      </c>
      <c r="L117" s="5">
        <v>1</v>
      </c>
      <c r="M117" s="5">
        <v>25</v>
      </c>
    </row>
    <row r="118" spans="1:13" x14ac:dyDescent="0.3">
      <c r="A118" s="3" t="s">
        <v>22</v>
      </c>
      <c r="B118" s="4" t="s">
        <v>55</v>
      </c>
      <c r="C118" s="2">
        <v>134</v>
      </c>
      <c r="D118" s="2">
        <v>6</v>
      </c>
      <c r="E118" s="2">
        <v>9</v>
      </c>
      <c r="F118" s="2">
        <v>21</v>
      </c>
      <c r="G118" s="2">
        <v>5.5</v>
      </c>
      <c r="H118" s="2">
        <v>56</v>
      </c>
      <c r="I118" s="2">
        <v>28</v>
      </c>
      <c r="J118" s="2">
        <v>25</v>
      </c>
      <c r="K118" s="2">
        <v>749</v>
      </c>
      <c r="L118" s="5">
        <v>0</v>
      </c>
      <c r="M118" s="5"/>
    </row>
    <row r="119" spans="1:13" x14ac:dyDescent="0.3">
      <c r="A119" s="4" t="s">
        <v>23</v>
      </c>
      <c r="B119" s="4" t="s">
        <v>56</v>
      </c>
      <c r="C119" s="2">
        <v>31</v>
      </c>
      <c r="D119" s="2">
        <v>1</v>
      </c>
      <c r="E119" s="2">
        <v>2</v>
      </c>
      <c r="F119" s="2">
        <v>5</v>
      </c>
      <c r="G119" s="2">
        <v>6.1</v>
      </c>
      <c r="H119" s="2">
        <v>28.1</v>
      </c>
      <c r="I119" s="2">
        <v>26.5</v>
      </c>
      <c r="J119" s="2">
        <v>22</v>
      </c>
      <c r="K119" s="2">
        <v>1213</v>
      </c>
      <c r="L119" s="5">
        <v>1</v>
      </c>
      <c r="M119" s="5">
        <v>18</v>
      </c>
    </row>
    <row r="120" spans="1:13" x14ac:dyDescent="0.3">
      <c r="A120" s="4" t="s">
        <v>23</v>
      </c>
      <c r="B120" s="4" t="s">
        <v>56</v>
      </c>
      <c r="C120" s="2">
        <v>22</v>
      </c>
      <c r="D120" s="2">
        <v>1</v>
      </c>
      <c r="E120" s="2">
        <v>1</v>
      </c>
      <c r="F120" s="2">
        <v>3</v>
      </c>
      <c r="G120" s="2">
        <v>6.3</v>
      </c>
      <c r="H120" s="2">
        <v>25.5</v>
      </c>
      <c r="I120" s="2">
        <v>26.2</v>
      </c>
      <c r="J120" s="2">
        <v>22</v>
      </c>
      <c r="K120" s="2">
        <v>1203</v>
      </c>
      <c r="L120" s="5">
        <v>1</v>
      </c>
      <c r="M120" s="5">
        <v>18</v>
      </c>
    </row>
    <row r="121" spans="1:13" x14ac:dyDescent="0.3">
      <c r="A121" s="3" t="s">
        <v>24</v>
      </c>
      <c r="B121" s="4" t="s">
        <v>57</v>
      </c>
      <c r="C121" s="2">
        <v>54</v>
      </c>
      <c r="D121" s="2">
        <v>2</v>
      </c>
      <c r="E121" s="2">
        <v>3</v>
      </c>
      <c r="F121" s="2">
        <v>8</v>
      </c>
      <c r="G121" s="2">
        <v>6.4</v>
      </c>
      <c r="H121" s="2">
        <v>33.5</v>
      </c>
      <c r="I121" s="2">
        <v>21.7</v>
      </c>
      <c r="J121" s="2">
        <v>20</v>
      </c>
      <c r="K121" s="2">
        <v>1251</v>
      </c>
      <c r="L121" s="5">
        <v>1</v>
      </c>
      <c r="M121" s="5">
        <v>18</v>
      </c>
    </row>
    <row r="122" spans="1:13" x14ac:dyDescent="0.3">
      <c r="A122" s="3" t="s">
        <v>24</v>
      </c>
      <c r="B122" s="4" t="s">
        <v>57</v>
      </c>
      <c r="C122" s="2">
        <v>21</v>
      </c>
      <c r="D122" s="2">
        <v>1</v>
      </c>
      <c r="E122" s="2">
        <v>1</v>
      </c>
      <c r="F122" s="2">
        <v>3</v>
      </c>
      <c r="G122" s="2">
        <v>6.2</v>
      </c>
      <c r="H122" s="2">
        <v>29.5</v>
      </c>
      <c r="I122" s="2">
        <v>22.5</v>
      </c>
      <c r="J122" s="2">
        <v>20</v>
      </c>
      <c r="K122" s="2">
        <v>1251</v>
      </c>
      <c r="L122" s="5">
        <v>1</v>
      </c>
      <c r="M122" s="5">
        <v>30</v>
      </c>
    </row>
    <row r="123" spans="1:13" x14ac:dyDescent="0.3">
      <c r="A123" s="3" t="s">
        <v>24</v>
      </c>
      <c r="B123" s="4" t="s">
        <v>57</v>
      </c>
      <c r="C123" s="2">
        <v>21</v>
      </c>
      <c r="D123" s="2">
        <v>1</v>
      </c>
      <c r="E123" s="2">
        <v>1</v>
      </c>
      <c r="F123" s="2">
        <v>3</v>
      </c>
      <c r="G123" s="2">
        <v>6.3</v>
      </c>
      <c r="H123" s="2">
        <v>49.2</v>
      </c>
      <c r="I123" s="2">
        <v>22.4</v>
      </c>
      <c r="J123" s="2">
        <v>21</v>
      </c>
      <c r="K123" s="2">
        <v>1284</v>
      </c>
      <c r="L123" s="5">
        <v>1</v>
      </c>
      <c r="M123" s="5">
        <v>30</v>
      </c>
    </row>
    <row r="124" spans="1:13" x14ac:dyDescent="0.3">
      <c r="A124" s="3" t="s">
        <v>24</v>
      </c>
      <c r="B124" s="4" t="s">
        <v>57</v>
      </c>
      <c r="C124" s="2">
        <v>26</v>
      </c>
      <c r="D124" s="2">
        <v>1</v>
      </c>
      <c r="E124" s="2">
        <v>1</v>
      </c>
      <c r="F124" s="2">
        <v>4</v>
      </c>
      <c r="G124" s="2">
        <v>6.9</v>
      </c>
      <c r="H124" s="2">
        <v>54.2</v>
      </c>
      <c r="I124" s="2">
        <v>21.1</v>
      </c>
      <c r="J124" s="2">
        <v>21</v>
      </c>
      <c r="K124" s="2">
        <v>1284</v>
      </c>
      <c r="L124" s="5">
        <v>1</v>
      </c>
      <c r="M124" s="5">
        <v>18</v>
      </c>
    </row>
    <row r="125" spans="1:13" x14ac:dyDescent="0.3">
      <c r="A125" s="3" t="s">
        <v>24</v>
      </c>
      <c r="B125" s="4" t="s">
        <v>58</v>
      </c>
      <c r="C125" s="2">
        <v>346</v>
      </c>
      <c r="D125" s="2">
        <v>17</v>
      </c>
      <c r="E125" s="2">
        <v>24</v>
      </c>
      <c r="F125" s="2">
        <v>55</v>
      </c>
      <c r="G125" s="2">
        <v>6.3</v>
      </c>
      <c r="H125" s="2">
        <v>34</v>
      </c>
      <c r="I125" s="2">
        <v>25.6</v>
      </c>
      <c r="J125" s="2">
        <v>22</v>
      </c>
      <c r="K125" s="2">
        <v>1340</v>
      </c>
      <c r="L125" s="5">
        <v>1</v>
      </c>
      <c r="M125" s="5">
        <v>20</v>
      </c>
    </row>
    <row r="126" spans="1:13" x14ac:dyDescent="0.3">
      <c r="A126" s="3" t="s">
        <v>24</v>
      </c>
      <c r="B126" s="4" t="s">
        <v>58</v>
      </c>
      <c r="C126" s="2">
        <v>182</v>
      </c>
      <c r="D126" s="2">
        <v>9</v>
      </c>
      <c r="E126" s="2">
        <v>12</v>
      </c>
      <c r="F126" s="2">
        <v>29</v>
      </c>
      <c r="G126" s="2">
        <v>6.2</v>
      </c>
      <c r="H126" s="2">
        <v>37</v>
      </c>
      <c r="I126" s="2">
        <v>24.4</v>
      </c>
      <c r="J126" s="2">
        <v>22</v>
      </c>
      <c r="K126" s="2">
        <v>1340</v>
      </c>
      <c r="L126" s="5">
        <v>1</v>
      </c>
      <c r="M126" s="5">
        <v>20</v>
      </c>
    </row>
    <row r="127" spans="1:13" x14ac:dyDescent="0.3">
      <c r="A127" s="3" t="s">
        <v>24</v>
      </c>
      <c r="B127" s="4" t="s">
        <v>58</v>
      </c>
      <c r="C127" s="2">
        <v>52</v>
      </c>
      <c r="D127" s="2">
        <v>2</v>
      </c>
      <c r="E127" s="2">
        <v>3</v>
      </c>
      <c r="F127" s="2">
        <v>8</v>
      </c>
      <c r="G127" s="2">
        <v>6</v>
      </c>
      <c r="H127" s="2">
        <v>27.1</v>
      </c>
      <c r="I127" s="2">
        <v>24.4</v>
      </c>
      <c r="J127" s="2">
        <v>23</v>
      </c>
      <c r="K127" s="2">
        <v>1466</v>
      </c>
      <c r="L127" s="5">
        <v>1</v>
      </c>
      <c r="M127" s="5">
        <v>30</v>
      </c>
    </row>
    <row r="128" spans="1:13" x14ac:dyDescent="0.3">
      <c r="A128" s="3" t="s">
        <v>24</v>
      </c>
      <c r="B128" s="4" t="s">
        <v>58</v>
      </c>
      <c r="C128" s="2">
        <v>75</v>
      </c>
      <c r="D128" s="2">
        <v>3</v>
      </c>
      <c r="E128" s="2">
        <v>5</v>
      </c>
      <c r="F128" s="2">
        <v>12</v>
      </c>
      <c r="G128" s="2">
        <v>6.1</v>
      </c>
      <c r="H128" s="2">
        <v>45.8</v>
      </c>
      <c r="I128" s="2">
        <v>24.9</v>
      </c>
      <c r="J128" s="2">
        <v>23</v>
      </c>
      <c r="K128" s="2">
        <v>1466</v>
      </c>
      <c r="L128" s="5">
        <v>1</v>
      </c>
      <c r="M128" s="5">
        <v>30</v>
      </c>
    </row>
    <row r="129" spans="1:13" x14ac:dyDescent="0.3">
      <c r="A129" s="3" t="s">
        <v>24</v>
      </c>
      <c r="B129" s="4" t="s">
        <v>59</v>
      </c>
      <c r="C129" s="2">
        <v>34</v>
      </c>
      <c r="D129" s="2">
        <v>1</v>
      </c>
      <c r="E129" s="2">
        <v>2</v>
      </c>
      <c r="F129" s="2">
        <v>5</v>
      </c>
      <c r="G129" s="2">
        <v>6.3</v>
      </c>
      <c r="H129" s="2">
        <v>21.8</v>
      </c>
      <c r="I129" s="2">
        <v>24.6</v>
      </c>
      <c r="J129" s="2">
        <v>20</v>
      </c>
      <c r="K129" s="2">
        <v>1265</v>
      </c>
      <c r="L129" s="5">
        <v>1</v>
      </c>
      <c r="M129" s="5">
        <v>45</v>
      </c>
    </row>
    <row r="130" spans="1:13" x14ac:dyDescent="0.3">
      <c r="A130" s="3" t="s">
        <v>24</v>
      </c>
      <c r="B130" s="4" t="s">
        <v>59</v>
      </c>
      <c r="C130" s="2">
        <v>32</v>
      </c>
      <c r="D130" s="2">
        <v>1</v>
      </c>
      <c r="E130" s="2">
        <v>2</v>
      </c>
      <c r="F130" s="2">
        <v>5</v>
      </c>
      <c r="G130" s="2">
        <v>6.2</v>
      </c>
      <c r="H130" s="2">
        <v>20.3</v>
      </c>
      <c r="I130" s="2">
        <v>24.6</v>
      </c>
      <c r="J130" s="2">
        <v>20</v>
      </c>
      <c r="K130" s="2">
        <v>1265</v>
      </c>
      <c r="L130" s="5">
        <v>1</v>
      </c>
      <c r="M130" s="5">
        <v>45</v>
      </c>
    </row>
    <row r="131" spans="1:13" x14ac:dyDescent="0.3">
      <c r="A131" s="3" t="s">
        <v>24</v>
      </c>
      <c r="B131" s="4" t="s">
        <v>60</v>
      </c>
      <c r="C131" s="2">
        <v>74</v>
      </c>
      <c r="D131" s="2">
        <v>3</v>
      </c>
      <c r="E131" s="2">
        <v>5</v>
      </c>
      <c r="F131" s="2">
        <v>12</v>
      </c>
      <c r="G131" s="2">
        <v>6.2</v>
      </c>
      <c r="H131" s="2">
        <v>34.5</v>
      </c>
      <c r="I131" s="2">
        <v>26.2</v>
      </c>
      <c r="J131" s="2">
        <v>22</v>
      </c>
      <c r="K131" s="2">
        <v>1349</v>
      </c>
      <c r="L131" s="5">
        <v>1</v>
      </c>
      <c r="M131" s="5">
        <v>25</v>
      </c>
    </row>
    <row r="132" spans="1:13" x14ac:dyDescent="0.3">
      <c r="A132" s="3" t="s">
        <v>24</v>
      </c>
      <c r="B132" s="4" t="s">
        <v>60</v>
      </c>
      <c r="C132" s="2">
        <v>48</v>
      </c>
      <c r="D132" s="2">
        <v>2</v>
      </c>
      <c r="E132" s="2">
        <v>3</v>
      </c>
      <c r="F132" s="2">
        <v>7</v>
      </c>
      <c r="G132" s="2">
        <v>7.5</v>
      </c>
      <c r="H132" s="2">
        <v>44.9</v>
      </c>
      <c r="I132" s="2">
        <v>30.5</v>
      </c>
      <c r="J132" s="2">
        <v>22</v>
      </c>
      <c r="K132" s="2">
        <v>1349</v>
      </c>
      <c r="L132" s="5">
        <v>1</v>
      </c>
      <c r="M132" s="5">
        <v>25</v>
      </c>
    </row>
    <row r="133" spans="1:13" x14ac:dyDescent="0.3">
      <c r="A133" s="3" t="s">
        <v>24</v>
      </c>
      <c r="B133" s="4" t="s">
        <v>61</v>
      </c>
      <c r="C133" s="2">
        <v>23</v>
      </c>
      <c r="D133" s="2">
        <v>1</v>
      </c>
      <c r="E133" s="2">
        <v>1</v>
      </c>
      <c r="F133" s="2">
        <v>3</v>
      </c>
      <c r="G133" s="2">
        <v>6.3</v>
      </c>
      <c r="H133" s="2">
        <v>33.700000000000003</v>
      </c>
      <c r="I133" s="2">
        <v>18.3</v>
      </c>
      <c r="J133" s="2">
        <v>16</v>
      </c>
      <c r="K133" s="2">
        <v>1753</v>
      </c>
      <c r="L133" s="5">
        <v>1</v>
      </c>
      <c r="M133" s="5">
        <v>30</v>
      </c>
    </row>
    <row r="134" spans="1:13" x14ac:dyDescent="0.3">
      <c r="A134" s="3" t="s">
        <v>24</v>
      </c>
      <c r="B134" s="4" t="s">
        <v>61</v>
      </c>
      <c r="C134" s="2">
        <v>7</v>
      </c>
      <c r="D134" s="2">
        <v>0</v>
      </c>
      <c r="E134" s="2">
        <v>0</v>
      </c>
      <c r="F134" s="2">
        <v>1</v>
      </c>
      <c r="G134" s="2">
        <v>6.2</v>
      </c>
      <c r="H134" s="2">
        <v>22.5</v>
      </c>
      <c r="I134" s="2">
        <v>18.8</v>
      </c>
      <c r="J134" s="2">
        <v>16</v>
      </c>
      <c r="K134" s="2">
        <v>1753</v>
      </c>
      <c r="L134" s="5">
        <v>1</v>
      </c>
      <c r="M134" s="5">
        <v>30</v>
      </c>
    </row>
    <row r="135" spans="1:13" x14ac:dyDescent="0.3">
      <c r="A135" s="3" t="s">
        <v>24</v>
      </c>
      <c r="B135" s="4" t="s">
        <v>61</v>
      </c>
      <c r="C135" s="2">
        <v>84</v>
      </c>
      <c r="D135" s="2">
        <v>4</v>
      </c>
      <c r="E135" s="2">
        <v>5</v>
      </c>
      <c r="F135" s="2">
        <v>13</v>
      </c>
      <c r="G135" s="2">
        <v>6.2</v>
      </c>
      <c r="H135" s="2">
        <v>22.2</v>
      </c>
      <c r="I135" s="2">
        <v>20</v>
      </c>
      <c r="J135" s="2">
        <v>19</v>
      </c>
      <c r="K135" s="2">
        <v>1638.91</v>
      </c>
      <c r="L135" s="5">
        <v>1</v>
      </c>
      <c r="M135" s="5">
        <v>30</v>
      </c>
    </row>
    <row r="136" spans="1:13" x14ac:dyDescent="0.3">
      <c r="A136" s="3" t="s">
        <v>24</v>
      </c>
      <c r="B136" s="4" t="s">
        <v>61</v>
      </c>
      <c r="C136" s="2">
        <v>72</v>
      </c>
      <c r="D136" s="2">
        <v>3</v>
      </c>
      <c r="E136" s="2">
        <v>5</v>
      </c>
      <c r="F136" s="2">
        <v>11</v>
      </c>
      <c r="G136" s="2">
        <v>6.3</v>
      </c>
      <c r="H136" s="2">
        <v>16.7</v>
      </c>
      <c r="I136" s="2">
        <v>20</v>
      </c>
      <c r="J136" s="2">
        <v>19</v>
      </c>
      <c r="K136" s="2">
        <v>1638.91</v>
      </c>
      <c r="L136" s="5">
        <v>1</v>
      </c>
      <c r="M136" s="5">
        <v>30</v>
      </c>
    </row>
    <row r="137" spans="1:13" x14ac:dyDescent="0.3">
      <c r="A137" s="3" t="s">
        <v>24</v>
      </c>
      <c r="B137" s="4" t="s">
        <v>61</v>
      </c>
      <c r="C137" s="2">
        <v>11</v>
      </c>
      <c r="D137" s="2">
        <v>0</v>
      </c>
      <c r="E137" s="2">
        <v>0</v>
      </c>
      <c r="F137" s="2">
        <v>1</v>
      </c>
      <c r="G137" s="2">
        <v>6.4</v>
      </c>
      <c r="H137" s="2">
        <v>16</v>
      </c>
      <c r="I137" s="2">
        <v>22.1</v>
      </c>
      <c r="J137" s="2">
        <v>21</v>
      </c>
      <c r="K137" s="2">
        <v>1567.28</v>
      </c>
      <c r="L137" s="5">
        <v>1</v>
      </c>
      <c r="M137" s="5">
        <v>30</v>
      </c>
    </row>
    <row r="138" spans="1:13" x14ac:dyDescent="0.3">
      <c r="A138" s="3" t="s">
        <v>24</v>
      </c>
      <c r="B138" s="4" t="s">
        <v>61</v>
      </c>
      <c r="C138" s="2">
        <v>62</v>
      </c>
      <c r="D138" s="2">
        <v>3</v>
      </c>
      <c r="E138" s="2">
        <v>4</v>
      </c>
      <c r="F138" s="2">
        <v>10</v>
      </c>
      <c r="G138" s="2">
        <v>6.2</v>
      </c>
      <c r="H138" s="2">
        <v>18.899999999999999</v>
      </c>
      <c r="I138" s="2">
        <v>22.9</v>
      </c>
      <c r="J138" s="2">
        <v>21</v>
      </c>
      <c r="K138" s="2">
        <v>1567.28</v>
      </c>
      <c r="L138" s="5">
        <v>1</v>
      </c>
      <c r="M138" s="5">
        <v>30</v>
      </c>
    </row>
    <row r="139" spans="1:13" x14ac:dyDescent="0.3">
      <c r="A139" s="4" t="s">
        <v>25</v>
      </c>
      <c r="B139" s="4" t="s">
        <v>62</v>
      </c>
      <c r="C139" s="2">
        <v>8</v>
      </c>
      <c r="D139" s="2">
        <v>0</v>
      </c>
      <c r="E139" s="2">
        <v>0</v>
      </c>
      <c r="F139" s="2">
        <v>1</v>
      </c>
      <c r="G139" s="2">
        <v>6.1</v>
      </c>
      <c r="H139" s="2">
        <v>39</v>
      </c>
      <c r="I139" s="2">
        <v>23.6</v>
      </c>
      <c r="J139" s="2">
        <v>23</v>
      </c>
      <c r="K139" s="2">
        <v>738</v>
      </c>
      <c r="L139" s="5">
        <v>0</v>
      </c>
      <c r="M139" s="5"/>
    </row>
    <row r="140" spans="1:13" x14ac:dyDescent="0.3">
      <c r="A140" s="4" t="s">
        <v>25</v>
      </c>
      <c r="B140" s="4" t="s">
        <v>62</v>
      </c>
      <c r="C140" s="2">
        <v>54</v>
      </c>
      <c r="D140" s="2">
        <v>2</v>
      </c>
      <c r="E140" s="2">
        <v>3</v>
      </c>
      <c r="F140" s="2">
        <v>8</v>
      </c>
      <c r="G140" s="2">
        <v>5.5</v>
      </c>
      <c r="H140" s="2">
        <v>49.5</v>
      </c>
      <c r="I140" s="2">
        <v>23.4</v>
      </c>
      <c r="J140" s="2">
        <v>23</v>
      </c>
      <c r="K140" s="2">
        <v>738</v>
      </c>
      <c r="L140" s="5">
        <v>0</v>
      </c>
      <c r="M140" s="5"/>
    </row>
    <row r="141" spans="1:13" x14ac:dyDescent="0.3">
      <c r="A141" s="4" t="s">
        <v>25</v>
      </c>
      <c r="B141" s="4" t="s">
        <v>62</v>
      </c>
      <c r="C141" s="2">
        <v>28</v>
      </c>
      <c r="D141" s="2">
        <v>1</v>
      </c>
      <c r="E141" s="2">
        <v>2</v>
      </c>
      <c r="F141" s="2">
        <v>4</v>
      </c>
      <c r="G141" s="2">
        <v>6.2</v>
      </c>
      <c r="H141" s="2">
        <v>39</v>
      </c>
      <c r="I141" s="2">
        <v>23.6</v>
      </c>
      <c r="J141" s="2">
        <v>23</v>
      </c>
      <c r="K141" s="2">
        <v>738</v>
      </c>
      <c r="L141" s="5">
        <v>0</v>
      </c>
      <c r="M141" s="5"/>
    </row>
    <row r="142" spans="1:13" x14ac:dyDescent="0.3">
      <c r="A142" s="4" t="s">
        <v>25</v>
      </c>
      <c r="B142" s="4" t="s">
        <v>62</v>
      </c>
      <c r="C142" s="2">
        <v>35</v>
      </c>
      <c r="D142" s="2">
        <v>1</v>
      </c>
      <c r="E142" s="2">
        <v>2</v>
      </c>
      <c r="F142" s="2">
        <v>5</v>
      </c>
      <c r="G142" s="2">
        <v>6.9</v>
      </c>
      <c r="H142" s="2">
        <v>57.2</v>
      </c>
      <c r="I142" s="2">
        <v>24.6</v>
      </c>
      <c r="J142" s="2">
        <v>23</v>
      </c>
      <c r="K142" s="2">
        <v>738</v>
      </c>
      <c r="L142" s="5">
        <v>0</v>
      </c>
      <c r="M142" s="5"/>
    </row>
    <row r="143" spans="1:13" x14ac:dyDescent="0.3">
      <c r="A143" s="4" t="s">
        <v>25</v>
      </c>
      <c r="B143" s="4" t="s">
        <v>62</v>
      </c>
      <c r="C143" s="2">
        <v>29</v>
      </c>
      <c r="D143" s="2">
        <v>1</v>
      </c>
      <c r="E143" s="2">
        <v>2</v>
      </c>
      <c r="F143" s="2">
        <v>4</v>
      </c>
      <c r="G143" s="2">
        <v>6.9</v>
      </c>
      <c r="H143" s="2">
        <v>33.4</v>
      </c>
      <c r="I143" s="2">
        <v>25.2</v>
      </c>
      <c r="J143" s="2">
        <v>23</v>
      </c>
      <c r="K143" s="2">
        <v>738</v>
      </c>
      <c r="L143" s="5">
        <v>0</v>
      </c>
      <c r="M143" s="5"/>
    </row>
    <row r="144" spans="1:13" x14ac:dyDescent="0.3">
      <c r="A144" s="4" t="s">
        <v>25</v>
      </c>
      <c r="B144" s="4" t="s">
        <v>62</v>
      </c>
      <c r="C144" s="2">
        <v>13</v>
      </c>
      <c r="D144" s="2">
        <v>0</v>
      </c>
      <c r="E144" s="2">
        <v>0</v>
      </c>
      <c r="F144" s="2">
        <v>2</v>
      </c>
      <c r="G144" s="2">
        <v>6.5</v>
      </c>
      <c r="H144" s="2">
        <v>42.2</v>
      </c>
      <c r="I144" s="2">
        <v>25.1</v>
      </c>
      <c r="J144" s="2">
        <v>23</v>
      </c>
      <c r="K144" s="2">
        <v>738</v>
      </c>
      <c r="L144" s="5">
        <v>0</v>
      </c>
      <c r="M144" s="5"/>
    </row>
    <row r="145" spans="1:13" x14ac:dyDescent="0.3">
      <c r="A145" s="4" t="s">
        <v>25</v>
      </c>
      <c r="B145" s="4" t="s">
        <v>62</v>
      </c>
      <c r="C145" s="2">
        <v>58</v>
      </c>
      <c r="D145" s="2">
        <v>2</v>
      </c>
      <c r="E145" s="2">
        <v>4</v>
      </c>
      <c r="F145" s="2">
        <v>9</v>
      </c>
      <c r="G145" s="2">
        <v>6.7</v>
      </c>
      <c r="H145" s="2">
        <v>59.1</v>
      </c>
      <c r="I145" s="2">
        <v>26.7</v>
      </c>
      <c r="J145" s="2">
        <v>23</v>
      </c>
      <c r="K145" s="2">
        <v>738</v>
      </c>
      <c r="L145" s="5">
        <v>0</v>
      </c>
      <c r="M145" s="5"/>
    </row>
    <row r="146" spans="1:13" x14ac:dyDescent="0.3">
      <c r="A146" s="4" t="s">
        <v>26</v>
      </c>
      <c r="B146" s="4" t="s">
        <v>63</v>
      </c>
      <c r="C146" s="2">
        <v>350</v>
      </c>
      <c r="D146" s="2">
        <v>17</v>
      </c>
      <c r="E146" s="2">
        <v>24</v>
      </c>
      <c r="F146" s="2">
        <v>56</v>
      </c>
      <c r="G146" s="2">
        <v>5.2</v>
      </c>
      <c r="H146" s="2">
        <v>75.400000000000006</v>
      </c>
      <c r="I146" s="2">
        <v>30.6</v>
      </c>
      <c r="J146" s="2">
        <v>31</v>
      </c>
      <c r="K146" s="2">
        <v>11</v>
      </c>
      <c r="L146" s="5">
        <v>-1</v>
      </c>
      <c r="M146" s="5"/>
    </row>
    <row r="147" spans="1:13" x14ac:dyDescent="0.3">
      <c r="A147" s="4" t="s">
        <v>26</v>
      </c>
      <c r="B147" s="4" t="s">
        <v>63</v>
      </c>
      <c r="C147" s="2">
        <v>582</v>
      </c>
      <c r="D147" s="2">
        <v>29</v>
      </c>
      <c r="E147" s="2">
        <v>40</v>
      </c>
      <c r="F147" s="2">
        <v>93</v>
      </c>
      <c r="G147" s="2">
        <v>6.2</v>
      </c>
      <c r="H147" s="2">
        <v>80</v>
      </c>
      <c r="I147" s="2">
        <v>31.1</v>
      </c>
      <c r="J147" s="2">
        <v>31</v>
      </c>
      <c r="K147" s="2">
        <v>11</v>
      </c>
      <c r="L147" s="5">
        <v>-1</v>
      </c>
      <c r="M147" s="5"/>
    </row>
    <row r="148" spans="1:13" x14ac:dyDescent="0.3">
      <c r="A148" s="4" t="s">
        <v>26</v>
      </c>
      <c r="B148" s="4" t="s">
        <v>63</v>
      </c>
      <c r="C148" s="2">
        <v>505</v>
      </c>
      <c r="D148" s="2">
        <v>25</v>
      </c>
      <c r="E148" s="2">
        <v>35</v>
      </c>
      <c r="F148" s="2">
        <v>82</v>
      </c>
      <c r="G148" s="2">
        <v>5.4</v>
      </c>
      <c r="H148" s="2">
        <v>64.900000000000006</v>
      </c>
      <c r="I148" s="2">
        <v>31</v>
      </c>
      <c r="J148" s="2">
        <v>31</v>
      </c>
      <c r="K148" s="2">
        <v>11</v>
      </c>
      <c r="L148" s="5">
        <v>-1</v>
      </c>
      <c r="M148" s="5"/>
    </row>
    <row r="149" spans="1:13" x14ac:dyDescent="0.3">
      <c r="A149" s="4" t="s">
        <v>26</v>
      </c>
      <c r="B149" s="4" t="s">
        <v>63</v>
      </c>
      <c r="C149" s="2">
        <v>685</v>
      </c>
      <c r="D149" s="2">
        <v>34</v>
      </c>
      <c r="E149" s="2">
        <v>47</v>
      </c>
      <c r="F149" s="2">
        <v>109</v>
      </c>
      <c r="G149" s="2">
        <v>6</v>
      </c>
      <c r="H149" s="2">
        <v>70</v>
      </c>
      <c r="I149" s="2">
        <v>29.3</v>
      </c>
      <c r="J149" s="2">
        <v>31</v>
      </c>
      <c r="K149" s="2">
        <v>11</v>
      </c>
      <c r="L149" s="5">
        <v>-1</v>
      </c>
      <c r="M149" s="5"/>
    </row>
    <row r="150" spans="1:13" x14ac:dyDescent="0.3">
      <c r="A150" s="4" t="s">
        <v>26</v>
      </c>
      <c r="B150" s="4" t="s">
        <v>63</v>
      </c>
      <c r="C150" s="2">
        <v>344</v>
      </c>
      <c r="D150" s="2">
        <v>17</v>
      </c>
      <c r="E150" s="2">
        <v>24</v>
      </c>
      <c r="F150" s="2">
        <v>55</v>
      </c>
      <c r="G150" s="2">
        <v>4.5999999999999996</v>
      </c>
      <c r="H150" s="2">
        <v>54</v>
      </c>
      <c r="I150" s="2">
        <v>30.4</v>
      </c>
      <c r="J150" s="2">
        <v>31</v>
      </c>
      <c r="K150" s="2">
        <v>14</v>
      </c>
      <c r="L150" s="5">
        <v>-1</v>
      </c>
      <c r="M150" s="5"/>
    </row>
    <row r="151" spans="1:13" x14ac:dyDescent="0.3">
      <c r="A151" s="4" t="s">
        <v>26</v>
      </c>
      <c r="B151" s="4" t="s">
        <v>63</v>
      </c>
      <c r="C151" s="2">
        <v>185</v>
      </c>
      <c r="D151" s="2">
        <v>9</v>
      </c>
      <c r="E151" s="2">
        <v>12</v>
      </c>
      <c r="F151" s="2">
        <v>29</v>
      </c>
      <c r="G151" s="2">
        <v>6.2</v>
      </c>
      <c r="H151" s="2">
        <v>25.6</v>
      </c>
      <c r="I151" s="2">
        <v>29.6</v>
      </c>
      <c r="J151" s="2">
        <v>31</v>
      </c>
      <c r="K151" s="2">
        <v>14</v>
      </c>
      <c r="L151" s="5">
        <v>-1</v>
      </c>
      <c r="M151" s="5"/>
    </row>
    <row r="152" spans="1:13" x14ac:dyDescent="0.3">
      <c r="A152" s="4" t="s">
        <v>26</v>
      </c>
      <c r="B152" s="4" t="s">
        <v>63</v>
      </c>
      <c r="C152" s="2">
        <v>338</v>
      </c>
      <c r="D152" s="2">
        <v>16</v>
      </c>
      <c r="E152" s="2">
        <v>23</v>
      </c>
      <c r="F152" s="2">
        <v>54</v>
      </c>
      <c r="G152" s="2">
        <v>4.3</v>
      </c>
      <c r="H152" s="2">
        <v>57.2</v>
      </c>
      <c r="I152" s="2">
        <v>29.6</v>
      </c>
      <c r="J152" s="2">
        <v>31</v>
      </c>
      <c r="K152" s="2">
        <v>14</v>
      </c>
      <c r="L152" s="5">
        <v>-1</v>
      </c>
      <c r="M152" s="5"/>
    </row>
    <row r="153" spans="1:13" x14ac:dyDescent="0.3">
      <c r="A153" s="4" t="s">
        <v>26</v>
      </c>
      <c r="B153" s="4" t="s">
        <v>63</v>
      </c>
      <c r="C153" s="2">
        <v>81</v>
      </c>
      <c r="D153" s="2">
        <v>4</v>
      </c>
      <c r="E153" s="2">
        <v>5</v>
      </c>
      <c r="F153" s="2">
        <v>12</v>
      </c>
      <c r="G153" s="2">
        <v>6.2</v>
      </c>
      <c r="H153" s="2">
        <v>14.7</v>
      </c>
      <c r="I153" s="2">
        <v>34.700000000000003</v>
      </c>
      <c r="J153" s="2">
        <v>31</v>
      </c>
      <c r="K153" s="2">
        <v>48</v>
      </c>
      <c r="L153" s="5">
        <v>-1</v>
      </c>
      <c r="M153" s="5"/>
    </row>
    <row r="154" spans="1:13" x14ac:dyDescent="0.3">
      <c r="A154" s="4" t="s">
        <v>26</v>
      </c>
      <c r="B154" s="4" t="s">
        <v>63</v>
      </c>
      <c r="C154" s="2">
        <v>124</v>
      </c>
      <c r="D154" s="2">
        <v>6</v>
      </c>
      <c r="E154" s="2">
        <v>8</v>
      </c>
      <c r="F154" s="2">
        <v>20</v>
      </c>
      <c r="G154" s="2">
        <v>6.3</v>
      </c>
      <c r="H154" s="2">
        <v>20.2</v>
      </c>
      <c r="I154" s="2">
        <v>30.8</v>
      </c>
      <c r="J154" s="2">
        <v>31</v>
      </c>
      <c r="K154" s="2">
        <v>48</v>
      </c>
      <c r="L154" s="5">
        <v>-1</v>
      </c>
      <c r="M154" s="5"/>
    </row>
    <row r="155" spans="1:13" x14ac:dyDescent="0.3">
      <c r="A155" s="4" t="s">
        <v>26</v>
      </c>
      <c r="B155" s="4" t="s">
        <v>63</v>
      </c>
      <c r="C155" s="2">
        <v>89</v>
      </c>
      <c r="D155" s="2">
        <v>4</v>
      </c>
      <c r="E155" s="2">
        <v>6</v>
      </c>
      <c r="F155" s="2">
        <v>14</v>
      </c>
      <c r="G155" s="2">
        <v>6.7</v>
      </c>
      <c r="H155" s="2">
        <v>13.9</v>
      </c>
      <c r="I155" s="2">
        <v>31.3</v>
      </c>
      <c r="J155" s="2">
        <v>31</v>
      </c>
      <c r="K155" s="2">
        <v>48</v>
      </c>
      <c r="L155" s="5">
        <v>-1</v>
      </c>
      <c r="M155" s="5"/>
    </row>
    <row r="156" spans="1:13" x14ac:dyDescent="0.3">
      <c r="A156" s="4" t="s">
        <v>26</v>
      </c>
      <c r="B156" s="4" t="s">
        <v>63</v>
      </c>
      <c r="C156" s="2">
        <v>92</v>
      </c>
      <c r="D156" s="2">
        <v>4</v>
      </c>
      <c r="E156" s="2">
        <v>6</v>
      </c>
      <c r="F156" s="2">
        <v>14</v>
      </c>
      <c r="G156" s="2">
        <v>6.9</v>
      </c>
      <c r="H156" s="2">
        <v>14.7</v>
      </c>
      <c r="I156" s="2">
        <v>34.1</v>
      </c>
      <c r="J156" s="2">
        <v>31</v>
      </c>
      <c r="K156" s="2">
        <v>48</v>
      </c>
      <c r="L156" s="5">
        <v>-1</v>
      </c>
      <c r="M156" s="5"/>
    </row>
    <row r="157" spans="1:13" x14ac:dyDescent="0.3">
      <c r="A157" s="4" t="s">
        <v>27</v>
      </c>
      <c r="B157" s="4" t="s">
        <v>64</v>
      </c>
      <c r="C157" s="2">
        <v>23</v>
      </c>
      <c r="D157" s="2">
        <v>1</v>
      </c>
      <c r="E157" s="2">
        <v>1</v>
      </c>
      <c r="F157" s="2">
        <v>4</v>
      </c>
      <c r="G157" s="2">
        <v>5.5</v>
      </c>
      <c r="H157" s="2">
        <v>48.2</v>
      </c>
      <c r="I157" s="2">
        <v>21</v>
      </c>
      <c r="J157" s="2">
        <v>24</v>
      </c>
      <c r="K157" s="2">
        <v>1083</v>
      </c>
      <c r="L157" s="5">
        <v>0</v>
      </c>
      <c r="M157" s="5"/>
    </row>
    <row r="158" spans="1:13" x14ac:dyDescent="0.3">
      <c r="A158" s="4" t="s">
        <v>27</v>
      </c>
      <c r="B158" s="4" t="s">
        <v>64</v>
      </c>
      <c r="C158" s="2">
        <v>31</v>
      </c>
      <c r="D158" s="2">
        <v>1</v>
      </c>
      <c r="E158" s="2">
        <v>2</v>
      </c>
      <c r="F158" s="2">
        <v>5</v>
      </c>
      <c r="G158" s="2">
        <v>6.3</v>
      </c>
      <c r="H158" s="2">
        <v>39.200000000000003</v>
      </c>
      <c r="I158" s="2">
        <v>20.7</v>
      </c>
      <c r="J158" s="2">
        <v>24</v>
      </c>
      <c r="K158" s="2">
        <v>1083</v>
      </c>
      <c r="L158" s="5">
        <v>0</v>
      </c>
      <c r="M158" s="5"/>
    </row>
    <row r="159" spans="1:13" x14ac:dyDescent="0.3">
      <c r="A159" s="4" t="s">
        <v>27</v>
      </c>
      <c r="B159" s="4" t="s">
        <v>64</v>
      </c>
      <c r="C159" s="2">
        <v>25</v>
      </c>
      <c r="D159" s="2">
        <v>1</v>
      </c>
      <c r="E159" s="2">
        <v>1</v>
      </c>
      <c r="F159" s="2">
        <v>3</v>
      </c>
      <c r="G159" s="2">
        <v>6.3</v>
      </c>
      <c r="H159" s="2">
        <v>66.3</v>
      </c>
      <c r="I159" s="2">
        <v>20.5</v>
      </c>
      <c r="J159" s="2">
        <v>24</v>
      </c>
      <c r="K159" s="2">
        <v>1210</v>
      </c>
      <c r="L159" s="5">
        <v>0</v>
      </c>
      <c r="M159" s="5"/>
    </row>
    <row r="160" spans="1:13" x14ac:dyDescent="0.3">
      <c r="A160" s="4" t="s">
        <v>27</v>
      </c>
      <c r="B160" s="4" t="s">
        <v>64</v>
      </c>
      <c r="C160" s="2">
        <v>31</v>
      </c>
      <c r="D160" s="2">
        <v>1</v>
      </c>
      <c r="E160" s="2">
        <v>2</v>
      </c>
      <c r="F160" s="2">
        <v>4</v>
      </c>
      <c r="G160" s="2">
        <v>6.2</v>
      </c>
      <c r="H160" s="2">
        <v>24.6</v>
      </c>
      <c r="I160" s="2">
        <v>23.3</v>
      </c>
      <c r="J160" s="2">
        <v>24</v>
      </c>
      <c r="K160" s="2">
        <v>1210</v>
      </c>
      <c r="L160" s="5">
        <v>0</v>
      </c>
      <c r="M160" s="5"/>
    </row>
    <row r="161" spans="1:13" x14ac:dyDescent="0.3">
      <c r="A161" s="4" t="s">
        <v>27</v>
      </c>
      <c r="B161" s="4" t="s">
        <v>64</v>
      </c>
      <c r="C161" s="2">
        <v>581</v>
      </c>
      <c r="D161" s="2">
        <v>29</v>
      </c>
      <c r="E161" s="2">
        <v>41</v>
      </c>
      <c r="F161" s="2">
        <v>93</v>
      </c>
      <c r="G161" s="2">
        <v>4.5</v>
      </c>
      <c r="H161" s="2">
        <v>88.4</v>
      </c>
      <c r="I161" s="2">
        <v>27.3</v>
      </c>
      <c r="J161" s="2">
        <v>24</v>
      </c>
      <c r="K161" s="2">
        <v>711</v>
      </c>
      <c r="L161" s="5">
        <v>0</v>
      </c>
      <c r="M161" s="5"/>
    </row>
    <row r="162" spans="1:13" x14ac:dyDescent="0.3">
      <c r="A162" s="4" t="s">
        <v>27</v>
      </c>
      <c r="B162" s="4" t="s">
        <v>64</v>
      </c>
      <c r="C162" s="2">
        <v>256</v>
      </c>
      <c r="D162" s="2">
        <v>19</v>
      </c>
      <c r="E162" s="2">
        <v>26</v>
      </c>
      <c r="F162" s="2">
        <v>61</v>
      </c>
      <c r="G162" s="2">
        <v>4.4000000000000004</v>
      </c>
      <c r="H162" s="2">
        <v>72.5</v>
      </c>
      <c r="I162" s="2">
        <v>29.3</v>
      </c>
      <c r="J162" s="2">
        <v>24</v>
      </c>
      <c r="K162" s="2">
        <v>711</v>
      </c>
      <c r="L162" s="5">
        <v>0</v>
      </c>
      <c r="M162" s="5"/>
    </row>
    <row r="163" spans="1:13" x14ac:dyDescent="0.3">
      <c r="A163" s="5"/>
      <c r="M163" s="5"/>
    </row>
    <row r="164" spans="1:13" x14ac:dyDescent="0.3">
      <c r="A164" s="5"/>
      <c r="M164" s="5"/>
    </row>
    <row r="165" spans="1:13" x14ac:dyDescent="0.3">
      <c r="A165" s="5"/>
      <c r="M165" s="5"/>
    </row>
    <row r="166" spans="1:13" x14ac:dyDescent="0.3">
      <c r="A166" s="5"/>
      <c r="M166" s="5"/>
    </row>
    <row r="167" spans="1:13" x14ac:dyDescent="0.3">
      <c r="A167" s="5"/>
      <c r="M167" s="5"/>
    </row>
    <row r="168" spans="1:13" x14ac:dyDescent="0.3">
      <c r="A168" s="5"/>
      <c r="B168" s="5"/>
      <c r="M168" s="5"/>
    </row>
    <row r="169" spans="1:13" x14ac:dyDescent="0.3">
      <c r="A169" s="5"/>
      <c r="B169" s="5"/>
      <c r="M169" s="5"/>
    </row>
    <row r="170" spans="1:13" x14ac:dyDescent="0.3">
      <c r="A170" s="5"/>
      <c r="B170" s="5"/>
      <c r="M170" s="5"/>
    </row>
    <row r="171" spans="1:13" x14ac:dyDescent="0.3">
      <c r="A171" s="5"/>
      <c r="B171" s="5"/>
      <c r="M171" s="5"/>
    </row>
    <row r="172" spans="1:13" x14ac:dyDescent="0.3">
      <c r="A172" s="5"/>
      <c r="B172" s="5"/>
      <c r="M172" s="5"/>
    </row>
    <row r="173" spans="1:13" x14ac:dyDescent="0.3">
      <c r="A173" s="5"/>
      <c r="B173" s="5"/>
      <c r="M173" s="5"/>
    </row>
    <row r="174" spans="1:13" x14ac:dyDescent="0.3">
      <c r="A174" s="5"/>
      <c r="B174" s="5"/>
      <c r="M174" s="5"/>
    </row>
    <row r="175" spans="1:13" x14ac:dyDescent="0.3">
      <c r="A175" s="5"/>
      <c r="B175" s="5"/>
      <c r="M175" s="5"/>
    </row>
    <row r="176" spans="1:13" x14ac:dyDescent="0.3">
      <c r="A176" s="5"/>
      <c r="B176" s="5"/>
      <c r="M176" s="5"/>
    </row>
    <row r="177" spans="1:13" x14ac:dyDescent="0.3">
      <c r="A177" s="5"/>
      <c r="B177" s="5"/>
      <c r="M177" s="5"/>
    </row>
    <row r="178" spans="1:13" x14ac:dyDescent="0.3">
      <c r="A178" s="5"/>
      <c r="B178" s="5"/>
      <c r="M178" s="5"/>
    </row>
    <row r="179" spans="1:13" x14ac:dyDescent="0.3">
      <c r="A179" s="5"/>
      <c r="B179" s="5"/>
      <c r="M179" s="5"/>
    </row>
    <row r="180" spans="1:13" x14ac:dyDescent="0.3">
      <c r="A180" s="5"/>
      <c r="B180" s="5"/>
      <c r="M180" s="5"/>
    </row>
    <row r="181" spans="1:13" x14ac:dyDescent="0.3">
      <c r="A181" s="5"/>
      <c r="B181" s="5"/>
      <c r="M181" s="5"/>
    </row>
    <row r="182" spans="1:13" x14ac:dyDescent="0.3">
      <c r="A182" s="5"/>
      <c r="B182" s="5"/>
      <c r="M182" s="5"/>
    </row>
    <row r="183" spans="1:13" x14ac:dyDescent="0.3">
      <c r="A183" s="5"/>
      <c r="B183" s="5"/>
      <c r="M183" s="5"/>
    </row>
    <row r="184" spans="1:13" x14ac:dyDescent="0.3">
      <c r="A184" s="5"/>
      <c r="B184" s="5"/>
      <c r="M184" s="5"/>
    </row>
    <row r="185" spans="1:13" x14ac:dyDescent="0.3">
      <c r="A185" s="5"/>
      <c r="B185" s="5"/>
      <c r="M185" s="5"/>
    </row>
    <row r="186" spans="1:13" x14ac:dyDescent="0.3">
      <c r="A186" s="5"/>
      <c r="B186" s="5"/>
      <c r="M186" s="5"/>
    </row>
    <row r="187" spans="1:13" x14ac:dyDescent="0.3">
      <c r="A187" s="5"/>
      <c r="B187" s="5"/>
      <c r="M187" s="5"/>
    </row>
    <row r="188" spans="1:13" x14ac:dyDescent="0.3">
      <c r="A188" s="5"/>
      <c r="B188" s="5"/>
      <c r="M188" s="5"/>
    </row>
    <row r="189" spans="1:13" x14ac:dyDescent="0.3">
      <c r="A189" s="5"/>
      <c r="B189" s="5"/>
      <c r="M189" s="5"/>
    </row>
    <row r="190" spans="1:13" x14ac:dyDescent="0.3">
      <c r="A190" s="5"/>
      <c r="B190" s="5"/>
      <c r="M190" s="5"/>
    </row>
    <row r="191" spans="1:13" x14ac:dyDescent="0.3">
      <c r="A191" s="5"/>
      <c r="B191" s="5"/>
      <c r="M191" s="5"/>
    </row>
    <row r="192" spans="1:13" x14ac:dyDescent="0.3">
      <c r="A192" s="5"/>
      <c r="B192" s="5"/>
      <c r="M192" s="5"/>
    </row>
    <row r="193" spans="1:13" x14ac:dyDescent="0.3">
      <c r="A193" s="5"/>
      <c r="B193" s="5"/>
      <c r="M193" s="5"/>
    </row>
    <row r="194" spans="1:13" x14ac:dyDescent="0.3">
      <c r="A194" s="5"/>
      <c r="B194" s="5"/>
      <c r="M194" s="5"/>
    </row>
    <row r="195" spans="1:13" x14ac:dyDescent="0.3">
      <c r="A195" s="5"/>
      <c r="B195" s="5"/>
      <c r="M195" s="5"/>
    </row>
    <row r="196" spans="1:13" x14ac:dyDescent="0.3">
      <c r="A196" s="5"/>
      <c r="B196" s="5"/>
      <c r="M196" s="5"/>
    </row>
    <row r="197" spans="1:13" x14ac:dyDescent="0.3">
      <c r="A197" s="5"/>
      <c r="B197" s="5"/>
      <c r="M197" s="5"/>
    </row>
    <row r="198" spans="1:13" x14ac:dyDescent="0.3">
      <c r="A198" s="5"/>
      <c r="B198" s="5"/>
      <c r="M198" s="5"/>
    </row>
    <row r="199" spans="1:13" x14ac:dyDescent="0.3">
      <c r="A199" s="5"/>
      <c r="B199" s="5"/>
      <c r="M199" s="5"/>
    </row>
    <row r="200" spans="1:13" x14ac:dyDescent="0.3">
      <c r="A200" s="5"/>
      <c r="B200" s="5"/>
      <c r="M200" s="5"/>
    </row>
    <row r="201" spans="1:13" x14ac:dyDescent="0.3">
      <c r="A201" s="5"/>
      <c r="B201" s="5"/>
      <c r="M201" s="5"/>
    </row>
    <row r="202" spans="1:13" x14ac:dyDescent="0.3">
      <c r="A202" s="5"/>
      <c r="B202" s="5"/>
      <c r="M202" s="5"/>
    </row>
    <row r="203" spans="1:13" x14ac:dyDescent="0.3">
      <c r="A203" s="5"/>
      <c r="B203" s="5"/>
      <c r="M203" s="5"/>
    </row>
    <row r="204" spans="1:13" x14ac:dyDescent="0.3">
      <c r="A204" s="5"/>
      <c r="B204" s="5"/>
      <c r="M204" s="5"/>
    </row>
    <row r="205" spans="1:13" x14ac:dyDescent="0.3">
      <c r="A205" s="5"/>
      <c r="B205" s="5"/>
      <c r="M205" s="5"/>
    </row>
    <row r="206" spans="1:13" x14ac:dyDescent="0.3">
      <c r="A206" s="5"/>
      <c r="B206" s="5"/>
      <c r="M206" s="5"/>
    </row>
    <row r="207" spans="1:13" x14ac:dyDescent="0.3">
      <c r="A207" s="5"/>
      <c r="B207" s="5"/>
      <c r="M207" s="5"/>
    </row>
    <row r="208" spans="1:13" x14ac:dyDescent="0.3">
      <c r="A208" s="5"/>
      <c r="B208" s="5"/>
      <c r="M208" s="5"/>
    </row>
    <row r="209" spans="1:13" x14ac:dyDescent="0.3">
      <c r="A209" s="5"/>
      <c r="B209" s="5"/>
      <c r="M209" s="5"/>
    </row>
    <row r="210" spans="1:13" x14ac:dyDescent="0.3">
      <c r="A210" s="5"/>
      <c r="B210" s="5"/>
      <c r="M210" s="5"/>
    </row>
    <row r="211" spans="1:13" x14ac:dyDescent="0.3">
      <c r="A211" s="5"/>
      <c r="B211" s="5"/>
      <c r="M211" s="5"/>
    </row>
    <row r="212" spans="1:13" x14ac:dyDescent="0.3">
      <c r="A212" s="5"/>
      <c r="B212" s="5"/>
      <c r="M212" s="5"/>
    </row>
    <row r="213" spans="1:13" x14ac:dyDescent="0.3">
      <c r="A213" s="5"/>
      <c r="B213" s="5"/>
      <c r="M213" s="5"/>
    </row>
    <row r="214" spans="1:13" x14ac:dyDescent="0.3">
      <c r="A214" s="5"/>
      <c r="B214" s="5"/>
      <c r="M214" s="5"/>
    </row>
    <row r="215" spans="1:13" x14ac:dyDescent="0.3">
      <c r="A215" s="5"/>
      <c r="B215" s="5"/>
      <c r="M215" s="5"/>
    </row>
    <row r="216" spans="1:13" x14ac:dyDescent="0.3">
      <c r="A216" s="5"/>
      <c r="B216" s="5"/>
      <c r="M216" s="5"/>
    </row>
    <row r="217" spans="1:13" x14ac:dyDescent="0.3">
      <c r="A217" s="5"/>
      <c r="B217" s="5"/>
      <c r="M217" s="5"/>
    </row>
    <row r="218" spans="1:13" x14ac:dyDescent="0.3">
      <c r="A218" s="5"/>
      <c r="B218" s="5"/>
      <c r="M218" s="5"/>
    </row>
    <row r="219" spans="1:13" x14ac:dyDescent="0.3">
      <c r="A219" s="5"/>
      <c r="B219" s="5"/>
      <c r="M219" s="5"/>
    </row>
    <row r="220" spans="1:13" x14ac:dyDescent="0.3">
      <c r="A220" s="5"/>
      <c r="B220" s="5"/>
      <c r="M220" s="5"/>
    </row>
    <row r="221" spans="1:13" x14ac:dyDescent="0.3">
      <c r="A221" s="5"/>
      <c r="B221" s="5"/>
      <c r="M221" s="5"/>
    </row>
    <row r="222" spans="1:13" x14ac:dyDescent="0.3">
      <c r="A222" s="5"/>
      <c r="B222" s="5"/>
      <c r="M222" s="5"/>
    </row>
    <row r="223" spans="1:13" x14ac:dyDescent="0.3">
      <c r="A223" s="5"/>
      <c r="B223" s="5"/>
      <c r="M223" s="5"/>
    </row>
    <row r="224" spans="1:13" x14ac:dyDescent="0.3">
      <c r="A224" s="5"/>
      <c r="B224" s="5"/>
      <c r="M224" s="5"/>
    </row>
    <row r="225" spans="1:13" x14ac:dyDescent="0.3">
      <c r="A225" s="5"/>
      <c r="B225" s="5"/>
      <c r="M225" s="5"/>
    </row>
    <row r="226" spans="1:13" x14ac:dyDescent="0.3">
      <c r="A226" s="5"/>
      <c r="B226" s="5"/>
      <c r="M226" s="5"/>
    </row>
    <row r="227" spans="1:13" x14ac:dyDescent="0.3">
      <c r="A227" s="5"/>
      <c r="B227" s="5"/>
      <c r="M227" s="5"/>
    </row>
    <row r="228" spans="1:13" x14ac:dyDescent="0.3">
      <c r="A228" s="5"/>
      <c r="B228" s="5"/>
      <c r="M228" s="5"/>
    </row>
    <row r="229" spans="1:13" x14ac:dyDescent="0.3">
      <c r="A229" s="5"/>
      <c r="B229" s="5"/>
      <c r="M229" s="5"/>
    </row>
    <row r="230" spans="1:13" x14ac:dyDescent="0.3">
      <c r="A230" s="5"/>
      <c r="B230" s="5"/>
      <c r="M230" s="5"/>
    </row>
    <row r="231" spans="1:13" x14ac:dyDescent="0.3">
      <c r="A231" s="5"/>
      <c r="B231" s="5"/>
      <c r="M231" s="5"/>
    </row>
    <row r="232" spans="1:13" x14ac:dyDescent="0.3">
      <c r="A232" s="5"/>
      <c r="B232" s="5"/>
      <c r="M232" s="5"/>
    </row>
    <row r="233" spans="1:13" x14ac:dyDescent="0.3">
      <c r="A233" s="5"/>
      <c r="B233" s="5"/>
      <c r="M233" s="5"/>
    </row>
    <row r="234" spans="1:13" x14ac:dyDescent="0.3">
      <c r="A234" s="5"/>
      <c r="B234" s="5"/>
      <c r="M234" s="5"/>
    </row>
    <row r="235" spans="1:13" x14ac:dyDescent="0.3">
      <c r="A235" s="5"/>
      <c r="B235" s="5"/>
      <c r="M235" s="5"/>
    </row>
    <row r="236" spans="1:13" x14ac:dyDescent="0.3">
      <c r="A236" s="5"/>
      <c r="B236" s="5"/>
      <c r="M236" s="5"/>
    </row>
    <row r="237" spans="1:13" x14ac:dyDescent="0.3">
      <c r="A237" s="5"/>
      <c r="B237" s="5"/>
      <c r="M237" s="5"/>
    </row>
    <row r="238" spans="1:13" x14ac:dyDescent="0.3">
      <c r="A238" s="5"/>
      <c r="B238" s="5"/>
      <c r="M238" s="5"/>
    </row>
    <row r="239" spans="1:13" x14ac:dyDescent="0.3">
      <c r="A239" s="5"/>
      <c r="B239" s="5"/>
      <c r="M239" s="5"/>
    </row>
    <row r="240" spans="1:13" x14ac:dyDescent="0.3">
      <c r="A240" s="5"/>
      <c r="B240" s="5"/>
      <c r="M240" s="5"/>
    </row>
    <row r="241" spans="1:13" x14ac:dyDescent="0.3">
      <c r="A241" s="5"/>
      <c r="B241" s="5"/>
      <c r="M241" s="5"/>
    </row>
    <row r="242" spans="1:13" x14ac:dyDescent="0.3">
      <c r="A242" s="5"/>
      <c r="B242" s="5"/>
      <c r="M242" s="5"/>
    </row>
    <row r="243" spans="1:13" x14ac:dyDescent="0.3">
      <c r="A243" s="5"/>
      <c r="B243" s="5"/>
      <c r="M243" s="5"/>
    </row>
    <row r="244" spans="1:13" x14ac:dyDescent="0.3">
      <c r="A244" s="5"/>
      <c r="B244" s="5"/>
      <c r="M244" s="5"/>
    </row>
    <row r="245" spans="1:13" x14ac:dyDescent="0.3">
      <c r="A245" s="5"/>
      <c r="B245" s="5"/>
      <c r="M245" s="5"/>
    </row>
    <row r="246" spans="1:13" x14ac:dyDescent="0.3">
      <c r="A246" s="5"/>
      <c r="B246" s="5"/>
      <c r="M246" s="5"/>
    </row>
    <row r="247" spans="1:13" x14ac:dyDescent="0.3">
      <c r="A247" s="5"/>
      <c r="B247" s="5"/>
      <c r="M247" s="5"/>
    </row>
    <row r="248" spans="1:13" x14ac:dyDescent="0.3">
      <c r="A248" s="5"/>
      <c r="B248" s="5"/>
      <c r="M248" s="5"/>
    </row>
    <row r="249" spans="1:13" x14ac:dyDescent="0.3">
      <c r="A249" s="5"/>
      <c r="B249" s="5"/>
      <c r="M249" s="5"/>
    </row>
    <row r="250" spans="1:13" x14ac:dyDescent="0.3">
      <c r="A250" s="5"/>
      <c r="B250" s="5"/>
      <c r="M250" s="5"/>
    </row>
    <row r="251" spans="1:13" x14ac:dyDescent="0.3">
      <c r="A251" s="5"/>
      <c r="B251" s="5"/>
      <c r="M251" s="5"/>
    </row>
    <row r="252" spans="1:13" x14ac:dyDescent="0.3">
      <c r="A252" s="5"/>
      <c r="B252" s="5"/>
      <c r="M252" s="5"/>
    </row>
    <row r="253" spans="1:13" x14ac:dyDescent="0.3">
      <c r="A253" s="5"/>
      <c r="B253" s="5"/>
      <c r="M253" s="5"/>
    </row>
    <row r="254" spans="1:13" x14ac:dyDescent="0.3">
      <c r="A254" s="5"/>
      <c r="B254" s="5"/>
      <c r="M254" s="5"/>
    </row>
    <row r="255" spans="1:13" x14ac:dyDescent="0.3">
      <c r="A255" s="5"/>
      <c r="B255" s="5"/>
      <c r="M255" s="5"/>
    </row>
    <row r="256" spans="1:13" x14ac:dyDescent="0.3">
      <c r="A256" s="5"/>
      <c r="B256" s="5"/>
      <c r="M256" s="5"/>
    </row>
    <row r="257" spans="1:13" x14ac:dyDescent="0.3">
      <c r="A257" s="5"/>
      <c r="B257" s="5"/>
      <c r="M257" s="5"/>
    </row>
    <row r="258" spans="1:13" x14ac:dyDescent="0.3">
      <c r="A258" s="5"/>
      <c r="B258" s="5"/>
      <c r="M258" s="5"/>
    </row>
    <row r="259" spans="1:13" x14ac:dyDescent="0.3">
      <c r="A259" s="5"/>
      <c r="B259" s="5"/>
      <c r="M259" s="5"/>
    </row>
    <row r="260" spans="1:13" x14ac:dyDescent="0.3">
      <c r="A260" s="5"/>
      <c r="B260" s="5"/>
      <c r="M260" s="5"/>
    </row>
    <row r="261" spans="1:13" x14ac:dyDescent="0.3">
      <c r="A261" s="5"/>
      <c r="B261" s="5"/>
      <c r="M261" s="5"/>
    </row>
    <row r="262" spans="1:13" x14ac:dyDescent="0.3">
      <c r="A262" s="5"/>
      <c r="B262" s="5"/>
      <c r="M262" s="5"/>
    </row>
    <row r="263" spans="1:13" x14ac:dyDescent="0.3">
      <c r="A263" s="5"/>
      <c r="B263" s="5"/>
      <c r="M263" s="5"/>
    </row>
    <row r="264" spans="1:13" x14ac:dyDescent="0.3">
      <c r="A264" s="5"/>
      <c r="B264" s="5"/>
      <c r="M264" s="5"/>
    </row>
    <row r="265" spans="1:13" x14ac:dyDescent="0.3">
      <c r="A265" s="5"/>
      <c r="B265" s="5"/>
      <c r="M265" s="5"/>
    </row>
    <row r="266" spans="1:13" x14ac:dyDescent="0.3">
      <c r="A266" s="5"/>
      <c r="B266" s="5"/>
      <c r="M266" s="5"/>
    </row>
    <row r="267" spans="1:13" x14ac:dyDescent="0.3">
      <c r="A267" s="5"/>
      <c r="B267" s="5"/>
      <c r="M267" s="5"/>
    </row>
    <row r="268" spans="1:13" x14ac:dyDescent="0.3">
      <c r="A268" s="5"/>
      <c r="B268" s="5"/>
      <c r="M268" s="5"/>
    </row>
    <row r="269" spans="1:13" x14ac:dyDescent="0.3">
      <c r="A269" s="5"/>
      <c r="B269" s="5"/>
      <c r="M269" s="5"/>
    </row>
    <row r="270" spans="1:13" x14ac:dyDescent="0.3">
      <c r="A270" s="5"/>
      <c r="B270" s="5"/>
      <c r="M270" s="5"/>
    </row>
    <row r="271" spans="1:13" x14ac:dyDescent="0.3">
      <c r="A271" s="5"/>
      <c r="B271" s="5"/>
      <c r="M271" s="5"/>
    </row>
    <row r="272" spans="1:13" x14ac:dyDescent="0.3">
      <c r="A272" s="4" t="s">
        <v>28</v>
      </c>
      <c r="B272" s="9"/>
      <c r="M272" s="5"/>
    </row>
    <row r="273" spans="1:13" x14ac:dyDescent="0.3">
      <c r="A273" s="9"/>
      <c r="B273" s="9"/>
      <c r="M273" s="5"/>
    </row>
    <row r="274" spans="1:13" x14ac:dyDescent="0.3">
      <c r="A274" s="9"/>
      <c r="B274" s="9"/>
      <c r="M274" s="5"/>
    </row>
    <row r="275" spans="1:13" x14ac:dyDescent="0.3">
      <c r="A275" s="9"/>
      <c r="B275" s="9"/>
      <c r="M275" s="5"/>
    </row>
    <row r="276" spans="1:13" x14ac:dyDescent="0.3">
      <c r="A276" s="9"/>
      <c r="B276" s="9"/>
      <c r="M276" s="5"/>
    </row>
    <row r="277" spans="1:13" x14ac:dyDescent="0.3">
      <c r="A277" s="5"/>
      <c r="B277" s="5"/>
      <c r="M27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F2E0-0F48-4104-B6A5-89B2BF1BDE84}">
  <dimension ref="A1:M49"/>
  <sheetViews>
    <sheetView topLeftCell="A7" workbookViewId="0">
      <selection activeCell="L1" sqref="L1"/>
    </sheetView>
  </sheetViews>
  <sheetFormatPr defaultRowHeight="14.4" x14ac:dyDescent="0.3"/>
  <cols>
    <col min="1" max="1" width="13.5546875" customWidth="1"/>
    <col min="2" max="2" width="12.5546875" customWidth="1"/>
    <col min="12" max="12" width="12.44140625" customWidth="1"/>
  </cols>
  <sheetData>
    <row r="1" spans="1:13" x14ac:dyDescent="0.3">
      <c r="A1" s="1" t="s">
        <v>14</v>
      </c>
      <c r="B1" s="1" t="s">
        <v>29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68</v>
      </c>
      <c r="M1" s="2" t="s">
        <v>10</v>
      </c>
    </row>
    <row r="2" spans="1:13" x14ac:dyDescent="0.3">
      <c r="A2" s="3" t="s">
        <v>15</v>
      </c>
      <c r="B2" s="4" t="s">
        <v>30</v>
      </c>
      <c r="C2" s="2">
        <v>101</v>
      </c>
      <c r="D2" s="2">
        <v>5</v>
      </c>
      <c r="E2" s="2">
        <v>7</v>
      </c>
      <c r="F2" s="2">
        <v>16</v>
      </c>
      <c r="G2" s="2">
        <v>6.2</v>
      </c>
      <c r="H2" s="2">
        <v>26.9</v>
      </c>
      <c r="I2" s="2">
        <v>20.8</v>
      </c>
      <c r="J2" s="2">
        <v>28.1</v>
      </c>
      <c r="K2" s="2">
        <v>2002</v>
      </c>
      <c r="L2" s="5">
        <v>1</v>
      </c>
      <c r="M2" s="5">
        <v>30</v>
      </c>
    </row>
    <row r="3" spans="1:13" x14ac:dyDescent="0.3">
      <c r="A3" s="3" t="s">
        <v>15</v>
      </c>
      <c r="B3" s="4" t="s">
        <v>31</v>
      </c>
      <c r="C3" s="2">
        <v>118</v>
      </c>
      <c r="D3" s="2">
        <v>5</v>
      </c>
      <c r="E3" s="2">
        <v>8</v>
      </c>
      <c r="F3" s="2">
        <v>18</v>
      </c>
      <c r="G3" s="2">
        <v>5.5</v>
      </c>
      <c r="H3" s="2">
        <v>44.9</v>
      </c>
      <c r="I3" s="2">
        <v>21.8</v>
      </c>
      <c r="J3" s="2">
        <v>27</v>
      </c>
      <c r="K3" s="2">
        <v>1823</v>
      </c>
      <c r="L3" s="5">
        <v>1</v>
      </c>
      <c r="M3" s="5">
        <v>25</v>
      </c>
    </row>
    <row r="4" spans="1:13" x14ac:dyDescent="0.3">
      <c r="A4" s="3" t="s">
        <v>15</v>
      </c>
      <c r="B4" s="4" t="s">
        <v>32</v>
      </c>
      <c r="C4" s="2">
        <v>7</v>
      </c>
      <c r="D4" s="2">
        <v>0</v>
      </c>
      <c r="E4" s="2">
        <v>0</v>
      </c>
      <c r="F4" s="2">
        <v>1</v>
      </c>
      <c r="G4" s="2">
        <v>6.6</v>
      </c>
      <c r="H4" s="2">
        <v>27.2</v>
      </c>
      <c r="I4" s="2">
        <v>22.6</v>
      </c>
      <c r="J4" s="2">
        <v>20</v>
      </c>
      <c r="K4" s="2">
        <v>1612</v>
      </c>
      <c r="L4" s="5">
        <v>1</v>
      </c>
      <c r="M4" s="5">
        <v>25</v>
      </c>
    </row>
    <row r="5" spans="1:13" x14ac:dyDescent="0.3">
      <c r="A5" s="4" t="s">
        <v>15</v>
      </c>
      <c r="B5" s="4" t="s">
        <v>33</v>
      </c>
      <c r="C5" s="2">
        <v>41</v>
      </c>
      <c r="D5" s="2">
        <v>2</v>
      </c>
      <c r="E5" s="2">
        <v>2</v>
      </c>
      <c r="F5" s="2">
        <v>6</v>
      </c>
      <c r="G5" s="2">
        <v>6</v>
      </c>
      <c r="H5" s="2">
        <v>37</v>
      </c>
      <c r="I5" s="2">
        <v>20.3</v>
      </c>
      <c r="J5" s="2">
        <v>18</v>
      </c>
      <c r="K5" s="2">
        <v>1900</v>
      </c>
      <c r="L5" s="5">
        <v>1</v>
      </c>
      <c r="M5" s="5">
        <v>20</v>
      </c>
    </row>
    <row r="6" spans="1:13" x14ac:dyDescent="0.3">
      <c r="A6" s="4" t="s">
        <v>15</v>
      </c>
      <c r="B6" s="4" t="s">
        <v>34</v>
      </c>
      <c r="C6" s="2">
        <v>93</v>
      </c>
      <c r="D6" s="2">
        <v>4</v>
      </c>
      <c r="E6" s="2">
        <v>6</v>
      </c>
      <c r="F6" s="2">
        <v>14</v>
      </c>
      <c r="G6" s="2">
        <v>6.1</v>
      </c>
      <c r="H6" s="2">
        <v>32.1</v>
      </c>
      <c r="I6" s="2">
        <v>19.8</v>
      </c>
      <c r="J6" s="2">
        <v>19</v>
      </c>
      <c r="K6" s="2">
        <v>2122</v>
      </c>
      <c r="L6" s="5">
        <v>1</v>
      </c>
      <c r="M6" s="5">
        <v>20</v>
      </c>
    </row>
    <row r="7" spans="1:13" x14ac:dyDescent="0.3">
      <c r="A7" s="4" t="s">
        <v>15</v>
      </c>
      <c r="B7" s="4" t="s">
        <v>34</v>
      </c>
      <c r="C7" s="2">
        <v>108</v>
      </c>
      <c r="D7" s="2">
        <v>5</v>
      </c>
      <c r="E7" s="2">
        <v>7</v>
      </c>
      <c r="F7" s="2">
        <v>17</v>
      </c>
      <c r="G7" s="2">
        <v>5.8</v>
      </c>
      <c r="H7" s="2">
        <v>41.8</v>
      </c>
      <c r="I7" s="2">
        <v>24.2</v>
      </c>
      <c r="J7" s="2">
        <v>19</v>
      </c>
      <c r="K7" s="2">
        <v>2077</v>
      </c>
      <c r="L7" s="5">
        <v>1</v>
      </c>
      <c r="M7" s="5">
        <v>20</v>
      </c>
    </row>
    <row r="8" spans="1:13" x14ac:dyDescent="0.3">
      <c r="A8" s="3" t="s">
        <v>16</v>
      </c>
      <c r="B8" s="4" t="s">
        <v>35</v>
      </c>
      <c r="C8" s="2">
        <v>110</v>
      </c>
      <c r="D8" s="2">
        <v>5</v>
      </c>
      <c r="E8" s="2">
        <v>7</v>
      </c>
      <c r="F8" s="2">
        <v>17</v>
      </c>
      <c r="G8" s="2">
        <v>5.9</v>
      </c>
      <c r="H8" s="2">
        <v>43.3</v>
      </c>
      <c r="I8" s="2">
        <v>16.7</v>
      </c>
      <c r="J8" s="2">
        <v>28.5</v>
      </c>
      <c r="K8" s="2">
        <v>1647</v>
      </c>
      <c r="L8" s="5">
        <v>1</v>
      </c>
      <c r="M8" s="5">
        <v>20</v>
      </c>
    </row>
    <row r="9" spans="1:13" x14ac:dyDescent="0.3">
      <c r="A9" s="3" t="s">
        <v>16</v>
      </c>
      <c r="B9" s="4" t="s">
        <v>36</v>
      </c>
      <c r="C9" s="2">
        <v>87</v>
      </c>
      <c r="D9" s="2">
        <v>4</v>
      </c>
      <c r="E9" s="2">
        <v>6</v>
      </c>
      <c r="F9" s="2">
        <v>13</v>
      </c>
      <c r="G9" s="2">
        <v>6.3</v>
      </c>
      <c r="H9" s="2">
        <v>37.4</v>
      </c>
      <c r="I9" s="2">
        <v>20.7</v>
      </c>
      <c r="J9" s="2">
        <v>28.7</v>
      </c>
      <c r="K9" s="2">
        <v>2074</v>
      </c>
      <c r="L9" s="5">
        <v>1</v>
      </c>
      <c r="M9" s="5">
        <v>25</v>
      </c>
    </row>
    <row r="10" spans="1:13" x14ac:dyDescent="0.3">
      <c r="A10" s="3" t="s">
        <v>16</v>
      </c>
      <c r="B10" s="4" t="s">
        <v>37</v>
      </c>
      <c r="C10" s="2">
        <v>16</v>
      </c>
      <c r="D10" s="2">
        <v>0</v>
      </c>
      <c r="E10" s="2">
        <v>1</v>
      </c>
      <c r="F10" s="2">
        <v>2</v>
      </c>
      <c r="G10" s="2">
        <v>5.5</v>
      </c>
      <c r="H10" s="2">
        <v>27.1</v>
      </c>
      <c r="I10" s="2">
        <v>23.2</v>
      </c>
      <c r="J10" s="2">
        <v>26.8</v>
      </c>
      <c r="K10" s="2">
        <v>1987</v>
      </c>
      <c r="L10" s="5">
        <v>1</v>
      </c>
      <c r="M10" s="5">
        <v>20</v>
      </c>
    </row>
    <row r="11" spans="1:13" x14ac:dyDescent="0.3">
      <c r="A11" s="3" t="s">
        <v>17</v>
      </c>
      <c r="B11" s="4" t="s">
        <v>39</v>
      </c>
      <c r="C11" s="2">
        <v>10</v>
      </c>
      <c r="D11" s="2">
        <v>0</v>
      </c>
      <c r="E11" s="2">
        <v>0</v>
      </c>
      <c r="F11" s="2">
        <v>1</v>
      </c>
      <c r="G11" s="2">
        <v>6.2</v>
      </c>
      <c r="H11" s="2">
        <v>29.5</v>
      </c>
      <c r="I11" s="2">
        <v>15.9</v>
      </c>
      <c r="J11" s="2">
        <v>23.3</v>
      </c>
      <c r="K11" s="2">
        <v>1467</v>
      </c>
      <c r="L11" s="5">
        <v>1</v>
      </c>
      <c r="M11" s="5">
        <v>30</v>
      </c>
    </row>
    <row r="12" spans="1:13" x14ac:dyDescent="0.3">
      <c r="A12" s="3" t="s">
        <v>17</v>
      </c>
      <c r="B12" s="4" t="s">
        <v>39</v>
      </c>
      <c r="C12" s="2">
        <v>960</v>
      </c>
      <c r="D12" s="2">
        <v>47</v>
      </c>
      <c r="E12" s="2">
        <v>67</v>
      </c>
      <c r="F12" s="2">
        <v>153</v>
      </c>
      <c r="G12" s="2">
        <v>5.3</v>
      </c>
      <c r="H12" s="2">
        <v>25.6</v>
      </c>
      <c r="I12" s="2">
        <v>19.399999999999999</v>
      </c>
      <c r="J12" s="2">
        <v>22.2</v>
      </c>
      <c r="K12" s="2">
        <v>1471</v>
      </c>
      <c r="L12" s="5">
        <v>1</v>
      </c>
      <c r="M12" s="5">
        <v>30</v>
      </c>
    </row>
    <row r="13" spans="1:13" x14ac:dyDescent="0.3">
      <c r="A13" s="4" t="s">
        <v>18</v>
      </c>
      <c r="B13" s="4" t="s">
        <v>40</v>
      </c>
      <c r="C13" s="2">
        <v>27</v>
      </c>
      <c r="D13" s="2">
        <v>1</v>
      </c>
      <c r="E13" s="2">
        <v>1</v>
      </c>
      <c r="F13" s="2">
        <v>5</v>
      </c>
      <c r="G13" s="2">
        <v>5.9</v>
      </c>
      <c r="H13" s="2">
        <v>20.399999999999999</v>
      </c>
      <c r="I13" s="2">
        <v>20.8</v>
      </c>
      <c r="J13" s="2">
        <v>27.1</v>
      </c>
      <c r="K13" s="2">
        <v>2176</v>
      </c>
      <c r="L13" s="5">
        <v>1</v>
      </c>
      <c r="M13" s="5">
        <v>10</v>
      </c>
    </row>
    <row r="14" spans="1:13" x14ac:dyDescent="0.3">
      <c r="A14" s="4" t="s">
        <v>18</v>
      </c>
      <c r="B14" s="4" t="s">
        <v>41</v>
      </c>
      <c r="C14" s="2">
        <v>13</v>
      </c>
      <c r="D14" s="2">
        <v>0</v>
      </c>
      <c r="E14" s="2">
        <v>0</v>
      </c>
      <c r="F14" s="2">
        <v>2</v>
      </c>
      <c r="G14" s="2">
        <v>5.0999999999999996</v>
      </c>
      <c r="H14" s="2">
        <v>26.9</v>
      </c>
      <c r="I14" s="2">
        <v>20.7</v>
      </c>
      <c r="J14" s="2">
        <v>22.1</v>
      </c>
      <c r="K14" s="2">
        <v>2088</v>
      </c>
      <c r="L14" s="5">
        <v>1</v>
      </c>
      <c r="M14" s="5">
        <v>13</v>
      </c>
    </row>
    <row r="15" spans="1:13" x14ac:dyDescent="0.3">
      <c r="A15" s="4" t="s">
        <v>18</v>
      </c>
      <c r="B15" s="4" t="s">
        <v>42</v>
      </c>
      <c r="C15" s="2">
        <v>135</v>
      </c>
      <c r="D15" s="2">
        <v>6</v>
      </c>
      <c r="E15" s="2">
        <v>9</v>
      </c>
      <c r="F15" s="2">
        <v>21</v>
      </c>
      <c r="G15" s="2">
        <v>6.1</v>
      </c>
      <c r="H15" s="2">
        <v>27.6</v>
      </c>
      <c r="I15" s="2">
        <v>21.5</v>
      </c>
      <c r="J15" s="2">
        <v>20.9</v>
      </c>
      <c r="K15" s="2">
        <v>1681</v>
      </c>
      <c r="L15" s="5">
        <v>1</v>
      </c>
      <c r="M15" s="5">
        <v>12</v>
      </c>
    </row>
    <row r="16" spans="1:13" x14ac:dyDescent="0.3">
      <c r="A16" s="4" t="s">
        <v>18</v>
      </c>
      <c r="B16" s="4" t="s">
        <v>42</v>
      </c>
      <c r="C16" s="2">
        <v>50</v>
      </c>
      <c r="D16" s="2">
        <v>2</v>
      </c>
      <c r="E16" s="2">
        <v>3</v>
      </c>
      <c r="F16" s="2">
        <v>8</v>
      </c>
      <c r="G16" s="2">
        <v>5.8</v>
      </c>
      <c r="H16" s="2">
        <v>31</v>
      </c>
      <c r="I16" s="2">
        <v>19.7</v>
      </c>
      <c r="J16" s="2">
        <v>20.5</v>
      </c>
      <c r="K16" s="2">
        <v>1779</v>
      </c>
      <c r="L16" s="5">
        <v>1</v>
      </c>
      <c r="M16" s="5">
        <v>10</v>
      </c>
    </row>
    <row r="17" spans="1:13" x14ac:dyDescent="0.3">
      <c r="A17" s="3" t="s">
        <v>18</v>
      </c>
      <c r="B17" s="4" t="s">
        <v>41</v>
      </c>
      <c r="C17" s="2">
        <v>49</v>
      </c>
      <c r="D17" s="2">
        <v>2</v>
      </c>
      <c r="E17" s="2">
        <v>3</v>
      </c>
      <c r="F17" s="2">
        <v>7</v>
      </c>
      <c r="G17" s="2">
        <v>5.5</v>
      </c>
      <c r="H17" s="2">
        <v>19.3</v>
      </c>
      <c r="I17" s="2">
        <v>23.5</v>
      </c>
      <c r="J17" s="2">
        <v>27</v>
      </c>
      <c r="K17" s="2">
        <v>1597</v>
      </c>
      <c r="L17" s="5">
        <v>1</v>
      </c>
      <c r="M17" s="5">
        <v>18</v>
      </c>
    </row>
    <row r="18" spans="1:13" x14ac:dyDescent="0.3">
      <c r="A18" s="3" t="s">
        <v>18</v>
      </c>
      <c r="B18" s="4" t="s">
        <v>43</v>
      </c>
      <c r="C18" s="2">
        <v>27</v>
      </c>
      <c r="D18" s="2">
        <v>1</v>
      </c>
      <c r="E18" s="2">
        <v>1</v>
      </c>
      <c r="F18" s="2">
        <v>4</v>
      </c>
      <c r="G18" s="2">
        <v>5.4</v>
      </c>
      <c r="H18" s="2">
        <v>30</v>
      </c>
      <c r="I18" s="2">
        <v>18.899999999999999</v>
      </c>
      <c r="J18" s="2">
        <v>26</v>
      </c>
      <c r="K18" s="2">
        <v>1870</v>
      </c>
      <c r="L18" s="5">
        <v>1</v>
      </c>
      <c r="M18" s="5">
        <v>20</v>
      </c>
    </row>
    <row r="19" spans="1:13" x14ac:dyDescent="0.3">
      <c r="A19" s="4" t="s">
        <v>19</v>
      </c>
      <c r="B19" s="4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6.2</v>
      </c>
      <c r="H19" s="2">
        <v>22.3</v>
      </c>
      <c r="I19" s="2">
        <v>30.3</v>
      </c>
      <c r="J19" s="2">
        <v>34.5</v>
      </c>
      <c r="K19" s="2">
        <v>1816</v>
      </c>
      <c r="L19" s="5">
        <v>1</v>
      </c>
      <c r="M19" s="5">
        <v>26</v>
      </c>
    </row>
    <row r="20" spans="1:13" x14ac:dyDescent="0.3">
      <c r="A20" s="4" t="s">
        <v>19</v>
      </c>
      <c r="B20" s="4" t="s">
        <v>44</v>
      </c>
      <c r="C20" s="2">
        <v>30</v>
      </c>
      <c r="D20" s="2">
        <v>1</v>
      </c>
      <c r="E20" s="2">
        <v>2</v>
      </c>
      <c r="F20" s="2">
        <v>4</v>
      </c>
      <c r="G20" s="2">
        <v>5.8</v>
      </c>
      <c r="H20" s="2">
        <v>31.6</v>
      </c>
      <c r="I20" s="2">
        <v>27.7</v>
      </c>
      <c r="J20" s="2">
        <v>19.2</v>
      </c>
      <c r="K20" s="2">
        <v>1839</v>
      </c>
      <c r="L20" s="5">
        <v>1</v>
      </c>
      <c r="M20" s="5">
        <v>40</v>
      </c>
    </row>
    <row r="21" spans="1:13" x14ac:dyDescent="0.3">
      <c r="A21" s="4" t="s">
        <v>19</v>
      </c>
      <c r="B21" s="4" t="s">
        <v>44</v>
      </c>
      <c r="C21" s="2">
        <v>41</v>
      </c>
      <c r="D21" s="2">
        <v>1</v>
      </c>
      <c r="E21" s="2">
        <v>2</v>
      </c>
      <c r="F21" s="2">
        <v>5</v>
      </c>
      <c r="G21" s="2">
        <v>5.5</v>
      </c>
      <c r="H21" s="2">
        <v>37</v>
      </c>
      <c r="I21" s="2">
        <v>26.1</v>
      </c>
      <c r="J21" s="2">
        <v>19.2</v>
      </c>
      <c r="K21" s="2">
        <v>1941</v>
      </c>
      <c r="L21" s="5">
        <v>1</v>
      </c>
      <c r="M21" s="5">
        <v>40</v>
      </c>
    </row>
    <row r="22" spans="1:13" x14ac:dyDescent="0.3">
      <c r="A22" s="4" t="s">
        <v>19</v>
      </c>
      <c r="B22" s="4" t="s">
        <v>44</v>
      </c>
      <c r="C22" s="2">
        <v>30</v>
      </c>
      <c r="D22" s="2">
        <v>1</v>
      </c>
      <c r="E22" s="2">
        <v>2</v>
      </c>
      <c r="F22" s="2">
        <v>4</v>
      </c>
      <c r="G22" s="2">
        <v>6</v>
      </c>
      <c r="H22" s="2">
        <v>20.9</v>
      </c>
      <c r="I22" s="2">
        <v>20</v>
      </c>
      <c r="J22" s="2">
        <v>19.2</v>
      </c>
      <c r="K22" s="2">
        <v>1960</v>
      </c>
      <c r="L22" s="5">
        <v>1</v>
      </c>
      <c r="M22" s="5">
        <v>40</v>
      </c>
    </row>
    <row r="23" spans="1:13" x14ac:dyDescent="0.3">
      <c r="A23" s="4" t="s">
        <v>19</v>
      </c>
      <c r="B23" s="4" t="s">
        <v>45</v>
      </c>
      <c r="C23" s="2">
        <v>54</v>
      </c>
      <c r="D23" s="2">
        <v>2</v>
      </c>
      <c r="E23" s="2">
        <v>3</v>
      </c>
      <c r="F23" s="2">
        <v>8</v>
      </c>
      <c r="G23" s="2">
        <v>6.2</v>
      </c>
      <c r="H23" s="2">
        <v>24.4</v>
      </c>
      <c r="I23" s="2">
        <v>19</v>
      </c>
      <c r="J23" s="2">
        <v>30</v>
      </c>
      <c r="K23" s="2">
        <v>2239</v>
      </c>
      <c r="L23" s="5">
        <v>1</v>
      </c>
      <c r="M23" s="5">
        <v>15</v>
      </c>
    </row>
    <row r="24" spans="1:13" x14ac:dyDescent="0.3">
      <c r="A24" s="4" t="s">
        <v>19</v>
      </c>
      <c r="B24" s="4" t="s">
        <v>47</v>
      </c>
      <c r="C24" s="2">
        <v>20</v>
      </c>
      <c r="D24" s="2">
        <v>1</v>
      </c>
      <c r="E24" s="2">
        <v>1</v>
      </c>
      <c r="F24" s="2">
        <v>3</v>
      </c>
      <c r="G24" s="2">
        <v>6.2</v>
      </c>
      <c r="H24" s="2">
        <v>15.4</v>
      </c>
      <c r="I24" s="2">
        <v>26.1</v>
      </c>
      <c r="J24" s="2">
        <v>24</v>
      </c>
      <c r="K24" s="2">
        <v>1320</v>
      </c>
      <c r="L24" s="5">
        <v>0</v>
      </c>
      <c r="M24" s="5"/>
    </row>
    <row r="25" spans="1:13" x14ac:dyDescent="0.3">
      <c r="A25" s="4" t="s">
        <v>19</v>
      </c>
      <c r="B25" s="4" t="s">
        <v>47</v>
      </c>
      <c r="C25" s="2">
        <v>19</v>
      </c>
      <c r="D25" s="2">
        <v>0</v>
      </c>
      <c r="E25" s="2">
        <v>1</v>
      </c>
      <c r="F25" s="2">
        <v>3</v>
      </c>
      <c r="G25" s="2">
        <v>5.2</v>
      </c>
      <c r="H25" s="2">
        <v>14.5</v>
      </c>
      <c r="I25" s="2">
        <v>31.4</v>
      </c>
      <c r="J25" s="2">
        <v>24</v>
      </c>
      <c r="K25" s="2">
        <v>1320</v>
      </c>
      <c r="L25" s="5">
        <v>0</v>
      </c>
      <c r="M25" s="5"/>
    </row>
    <row r="26" spans="1:13" x14ac:dyDescent="0.3">
      <c r="A26" s="4" t="s">
        <v>19</v>
      </c>
      <c r="B26" s="4" t="s">
        <v>48</v>
      </c>
      <c r="C26" s="2">
        <v>55</v>
      </c>
      <c r="D26" s="2">
        <v>2</v>
      </c>
      <c r="E26" s="2">
        <v>3</v>
      </c>
      <c r="F26" s="2">
        <v>8</v>
      </c>
      <c r="G26" s="2">
        <v>6.1</v>
      </c>
      <c r="H26" s="2">
        <v>38.4</v>
      </c>
      <c r="I26" s="2">
        <v>26.3</v>
      </c>
      <c r="J26" s="2">
        <v>27.1</v>
      </c>
      <c r="K26" s="2">
        <v>1485</v>
      </c>
      <c r="L26" s="5">
        <v>1</v>
      </c>
      <c r="M26" s="5">
        <v>18</v>
      </c>
    </row>
    <row r="27" spans="1:13" x14ac:dyDescent="0.3">
      <c r="A27" s="4" t="s">
        <v>19</v>
      </c>
      <c r="B27" s="4" t="s">
        <v>48</v>
      </c>
      <c r="C27" s="2">
        <v>81</v>
      </c>
      <c r="D27" s="2">
        <v>4</v>
      </c>
      <c r="E27" s="2">
        <v>5</v>
      </c>
      <c r="F27" s="2">
        <v>12</v>
      </c>
      <c r="G27" s="2">
        <v>5.8</v>
      </c>
      <c r="H27" s="2">
        <v>30</v>
      </c>
      <c r="I27" s="2">
        <v>25.2</v>
      </c>
      <c r="J27" s="2">
        <v>26.8</v>
      </c>
      <c r="K27" s="2">
        <v>1406</v>
      </c>
      <c r="L27" s="5">
        <v>1</v>
      </c>
      <c r="M27" s="5">
        <v>18</v>
      </c>
    </row>
    <row r="28" spans="1:13" x14ac:dyDescent="0.3">
      <c r="A28" s="4" t="s">
        <v>20</v>
      </c>
      <c r="B28" s="4" t="s">
        <v>49</v>
      </c>
      <c r="C28" s="2">
        <v>27</v>
      </c>
      <c r="D28" s="2">
        <v>1</v>
      </c>
      <c r="E28" s="2">
        <v>1</v>
      </c>
      <c r="F28" s="2">
        <v>4</v>
      </c>
      <c r="G28" s="2">
        <v>6</v>
      </c>
      <c r="H28" s="2">
        <v>19.600000000000001</v>
      </c>
      <c r="I28" s="2">
        <v>30.7</v>
      </c>
      <c r="J28" s="2">
        <v>26</v>
      </c>
      <c r="K28" s="2">
        <v>727</v>
      </c>
      <c r="L28" s="5">
        <v>-1</v>
      </c>
      <c r="M28" s="5"/>
    </row>
    <row r="29" spans="1:13" x14ac:dyDescent="0.3">
      <c r="A29" s="3" t="s">
        <v>20</v>
      </c>
      <c r="B29" s="4" t="s">
        <v>50</v>
      </c>
      <c r="C29" s="2">
        <v>128</v>
      </c>
      <c r="D29" s="2">
        <v>6</v>
      </c>
      <c r="E29" s="2">
        <v>8</v>
      </c>
      <c r="F29" s="2">
        <v>20</v>
      </c>
      <c r="G29" s="2">
        <v>6.1</v>
      </c>
      <c r="H29" s="2">
        <v>18.3</v>
      </c>
      <c r="I29" s="2">
        <v>24.7</v>
      </c>
      <c r="J29" s="2">
        <v>25.1</v>
      </c>
      <c r="K29" s="2">
        <v>682</v>
      </c>
      <c r="L29" s="5">
        <v>1</v>
      </c>
      <c r="M29" s="5">
        <v>25</v>
      </c>
    </row>
    <row r="30" spans="1:13" x14ac:dyDescent="0.3">
      <c r="A30" s="4" t="s">
        <v>20</v>
      </c>
      <c r="B30" s="4" t="s">
        <v>51</v>
      </c>
      <c r="C30" s="6">
        <v>29</v>
      </c>
      <c r="D30" s="6">
        <v>1</v>
      </c>
      <c r="E30" s="6">
        <v>2</v>
      </c>
      <c r="F30" s="6">
        <v>6</v>
      </c>
      <c r="G30" s="6">
        <v>6</v>
      </c>
      <c r="H30" s="6">
        <v>22.8</v>
      </c>
      <c r="I30" s="6">
        <v>32.799999999999997</v>
      </c>
      <c r="J30" s="2">
        <v>26</v>
      </c>
      <c r="K30" s="2">
        <v>1170</v>
      </c>
      <c r="L30" s="5">
        <v>0</v>
      </c>
      <c r="M30" s="5"/>
    </row>
    <row r="31" spans="1:13" x14ac:dyDescent="0.3">
      <c r="A31" s="4" t="s">
        <v>20</v>
      </c>
      <c r="B31" s="4" t="s">
        <v>51</v>
      </c>
      <c r="C31" s="6">
        <v>44</v>
      </c>
      <c r="D31" s="6">
        <v>2</v>
      </c>
      <c r="E31" s="6">
        <v>3</v>
      </c>
      <c r="F31" s="6">
        <v>6</v>
      </c>
      <c r="G31" s="6">
        <v>5.5</v>
      </c>
      <c r="H31" s="6">
        <v>20</v>
      </c>
      <c r="I31" s="6">
        <v>32.299999999999997</v>
      </c>
      <c r="J31" s="2">
        <v>26</v>
      </c>
      <c r="K31" s="2">
        <v>1156</v>
      </c>
      <c r="L31" s="5">
        <v>0</v>
      </c>
      <c r="M31" s="5"/>
    </row>
    <row r="32" spans="1:13" x14ac:dyDescent="0.3">
      <c r="A32" s="4" t="s">
        <v>21</v>
      </c>
      <c r="B32" s="4" t="s">
        <v>52</v>
      </c>
      <c r="C32" s="6">
        <v>93</v>
      </c>
      <c r="D32" s="6">
        <v>4</v>
      </c>
      <c r="E32" s="6">
        <v>6</v>
      </c>
      <c r="F32" s="6">
        <v>14</v>
      </c>
      <c r="G32" s="6">
        <v>5.5</v>
      </c>
      <c r="H32" s="6">
        <v>28.5</v>
      </c>
      <c r="I32" s="6">
        <v>21.3</v>
      </c>
      <c r="J32" s="2">
        <v>21</v>
      </c>
      <c r="K32" s="2">
        <v>1731</v>
      </c>
      <c r="L32" s="5">
        <v>1</v>
      </c>
      <c r="M32" s="5">
        <v>25</v>
      </c>
    </row>
    <row r="33" spans="1:13" x14ac:dyDescent="0.3">
      <c r="A33" s="4" t="s">
        <v>21</v>
      </c>
      <c r="B33" s="4" t="s">
        <v>52</v>
      </c>
      <c r="C33" s="6">
        <v>24</v>
      </c>
      <c r="D33" s="6">
        <v>1</v>
      </c>
      <c r="E33" s="6">
        <v>1</v>
      </c>
      <c r="F33" s="6">
        <v>3</v>
      </c>
      <c r="G33" s="6">
        <v>6</v>
      </c>
      <c r="H33" s="6">
        <v>37.4</v>
      </c>
      <c r="I33" s="6">
        <v>23</v>
      </c>
      <c r="J33" s="2">
        <v>21</v>
      </c>
      <c r="K33" s="2">
        <v>1628</v>
      </c>
      <c r="L33" s="5">
        <v>1</v>
      </c>
      <c r="M33" s="5">
        <v>25</v>
      </c>
    </row>
    <row r="34" spans="1:13" x14ac:dyDescent="0.3">
      <c r="A34" s="4" t="s">
        <v>22</v>
      </c>
      <c r="B34" s="4" t="s">
        <v>53</v>
      </c>
      <c r="C34" s="2">
        <v>371</v>
      </c>
      <c r="D34" s="2">
        <v>18</v>
      </c>
      <c r="E34" s="2">
        <v>26</v>
      </c>
      <c r="F34" s="2">
        <v>60</v>
      </c>
      <c r="G34" s="2">
        <v>4.5999999999999996</v>
      </c>
      <c r="H34" s="2">
        <v>48.6</v>
      </c>
      <c r="I34" s="2">
        <v>19.899999999999999</v>
      </c>
      <c r="J34" s="2">
        <v>20.6</v>
      </c>
      <c r="K34" s="2">
        <v>1618</v>
      </c>
      <c r="L34" s="5">
        <v>1</v>
      </c>
      <c r="M34" s="5">
        <v>8</v>
      </c>
    </row>
    <row r="35" spans="1:13" x14ac:dyDescent="0.3">
      <c r="A35" s="4" t="s">
        <v>22</v>
      </c>
      <c r="B35" s="4" t="s">
        <v>54</v>
      </c>
      <c r="C35" s="2">
        <v>67</v>
      </c>
      <c r="D35" s="2">
        <v>3</v>
      </c>
      <c r="E35" s="2">
        <v>4</v>
      </c>
      <c r="F35" s="2">
        <v>10</v>
      </c>
      <c r="G35" s="2">
        <v>5.8</v>
      </c>
      <c r="H35" s="2">
        <v>31.2</v>
      </c>
      <c r="I35" s="2">
        <v>20</v>
      </c>
      <c r="J35" s="2">
        <v>20</v>
      </c>
      <c r="K35" s="2">
        <v>1535</v>
      </c>
      <c r="L35" s="5">
        <v>1</v>
      </c>
      <c r="M35" s="5">
        <v>25</v>
      </c>
    </row>
    <row r="36" spans="1:13" x14ac:dyDescent="0.3">
      <c r="A36" s="3" t="s">
        <v>22</v>
      </c>
      <c r="B36" s="4" t="s">
        <v>55</v>
      </c>
      <c r="C36" s="2">
        <v>134</v>
      </c>
      <c r="D36" s="2">
        <v>6</v>
      </c>
      <c r="E36" s="2">
        <v>9</v>
      </c>
      <c r="F36" s="2">
        <v>21</v>
      </c>
      <c r="G36" s="2">
        <v>5.5</v>
      </c>
      <c r="H36" s="2">
        <v>56</v>
      </c>
      <c r="I36" s="2">
        <v>28</v>
      </c>
      <c r="J36" s="2">
        <v>25</v>
      </c>
      <c r="K36" s="2">
        <v>749</v>
      </c>
      <c r="L36" s="5">
        <v>0</v>
      </c>
      <c r="M36" s="5"/>
    </row>
    <row r="37" spans="1:13" x14ac:dyDescent="0.3">
      <c r="A37" s="4" t="s">
        <v>23</v>
      </c>
      <c r="B37" s="4" t="s">
        <v>56</v>
      </c>
      <c r="C37" s="2">
        <v>22</v>
      </c>
      <c r="D37" s="2">
        <v>1</v>
      </c>
      <c r="E37" s="2">
        <v>1</v>
      </c>
      <c r="F37" s="2">
        <v>3</v>
      </c>
      <c r="G37" s="2">
        <v>6.3</v>
      </c>
      <c r="H37" s="2">
        <v>25.5</v>
      </c>
      <c r="I37" s="2">
        <v>26.2</v>
      </c>
      <c r="J37" s="2">
        <v>22</v>
      </c>
      <c r="K37" s="2">
        <v>1203</v>
      </c>
      <c r="L37" s="5">
        <v>1</v>
      </c>
      <c r="M37" s="5">
        <v>18</v>
      </c>
    </row>
    <row r="38" spans="1:13" x14ac:dyDescent="0.3">
      <c r="A38" s="3" t="s">
        <v>24</v>
      </c>
      <c r="B38" s="4" t="s">
        <v>57</v>
      </c>
      <c r="C38" s="2">
        <v>21</v>
      </c>
      <c r="D38" s="2">
        <v>1</v>
      </c>
      <c r="E38" s="2">
        <v>1</v>
      </c>
      <c r="F38" s="2">
        <v>3</v>
      </c>
      <c r="G38" s="2">
        <v>6.3</v>
      </c>
      <c r="H38" s="2">
        <v>49.2</v>
      </c>
      <c r="I38" s="2">
        <v>22.4</v>
      </c>
      <c r="J38" s="2">
        <v>21</v>
      </c>
      <c r="K38" s="2">
        <v>1284</v>
      </c>
      <c r="L38" s="5">
        <v>1</v>
      </c>
      <c r="M38" s="5">
        <v>30</v>
      </c>
    </row>
    <row r="39" spans="1:13" x14ac:dyDescent="0.3">
      <c r="A39" s="3" t="s">
        <v>24</v>
      </c>
      <c r="B39" s="4" t="s">
        <v>58</v>
      </c>
      <c r="C39" s="2">
        <v>346</v>
      </c>
      <c r="D39" s="2">
        <v>17</v>
      </c>
      <c r="E39" s="2">
        <v>24</v>
      </c>
      <c r="F39" s="2">
        <v>55</v>
      </c>
      <c r="G39" s="2">
        <v>6.3</v>
      </c>
      <c r="H39" s="2">
        <v>34</v>
      </c>
      <c r="I39" s="2">
        <v>25.6</v>
      </c>
      <c r="J39" s="2">
        <v>22</v>
      </c>
      <c r="K39" s="2">
        <v>1340</v>
      </c>
      <c r="L39" s="5">
        <v>1</v>
      </c>
      <c r="M39" s="5">
        <v>20</v>
      </c>
    </row>
    <row r="40" spans="1:13" x14ac:dyDescent="0.3">
      <c r="A40" s="3" t="s">
        <v>24</v>
      </c>
      <c r="B40" s="4" t="s">
        <v>59</v>
      </c>
      <c r="C40" s="2">
        <v>34</v>
      </c>
      <c r="D40" s="2">
        <v>1</v>
      </c>
      <c r="E40" s="2">
        <v>2</v>
      </c>
      <c r="F40" s="2">
        <v>5</v>
      </c>
      <c r="G40" s="2">
        <v>6.3</v>
      </c>
      <c r="H40" s="2">
        <v>21.8</v>
      </c>
      <c r="I40" s="2">
        <v>24.6</v>
      </c>
      <c r="J40" s="2">
        <v>20</v>
      </c>
      <c r="K40" s="2">
        <v>1265</v>
      </c>
      <c r="L40" s="5">
        <v>1</v>
      </c>
      <c r="M40" s="5">
        <v>45</v>
      </c>
    </row>
    <row r="41" spans="1:13" x14ac:dyDescent="0.3">
      <c r="A41" s="3" t="s">
        <v>24</v>
      </c>
      <c r="B41" s="4" t="s">
        <v>61</v>
      </c>
      <c r="C41" s="2">
        <v>23</v>
      </c>
      <c r="D41" s="2">
        <v>1</v>
      </c>
      <c r="E41" s="2">
        <v>1</v>
      </c>
      <c r="F41" s="2">
        <v>3</v>
      </c>
      <c r="G41" s="2">
        <v>6.3</v>
      </c>
      <c r="H41" s="2">
        <v>33.700000000000003</v>
      </c>
      <c r="I41" s="2">
        <v>18.3</v>
      </c>
      <c r="J41" s="2">
        <v>16</v>
      </c>
      <c r="K41" s="2">
        <v>1753</v>
      </c>
      <c r="L41" s="5">
        <v>1</v>
      </c>
      <c r="M41" s="5">
        <v>30</v>
      </c>
    </row>
    <row r="42" spans="1:13" x14ac:dyDescent="0.3">
      <c r="A42" s="3" t="s">
        <v>24</v>
      </c>
      <c r="B42" s="4" t="s">
        <v>61</v>
      </c>
      <c r="C42" s="2">
        <v>11</v>
      </c>
      <c r="D42" s="2">
        <v>0</v>
      </c>
      <c r="E42" s="2">
        <v>0</v>
      </c>
      <c r="F42" s="2">
        <v>1</v>
      </c>
      <c r="G42" s="2">
        <v>6.4</v>
      </c>
      <c r="H42" s="2">
        <v>16</v>
      </c>
      <c r="I42" s="2">
        <v>22.1</v>
      </c>
      <c r="J42" s="2">
        <v>21</v>
      </c>
      <c r="K42" s="2">
        <v>1567.28</v>
      </c>
      <c r="L42" s="5">
        <v>1</v>
      </c>
      <c r="M42" s="5">
        <v>30</v>
      </c>
    </row>
    <row r="43" spans="1:13" x14ac:dyDescent="0.3">
      <c r="A43" s="4" t="s">
        <v>25</v>
      </c>
      <c r="B43" s="4" t="s">
        <v>62</v>
      </c>
      <c r="C43" s="2">
        <v>8</v>
      </c>
      <c r="D43" s="2">
        <v>0</v>
      </c>
      <c r="E43" s="2">
        <v>0</v>
      </c>
      <c r="F43" s="2">
        <v>1</v>
      </c>
      <c r="G43" s="2">
        <v>6.1</v>
      </c>
      <c r="H43" s="2">
        <v>39</v>
      </c>
      <c r="I43" s="2">
        <v>23.6</v>
      </c>
      <c r="J43" s="2">
        <v>23</v>
      </c>
      <c r="K43" s="2">
        <v>738</v>
      </c>
      <c r="L43" s="5">
        <v>0</v>
      </c>
      <c r="M43" s="5"/>
    </row>
    <row r="44" spans="1:13" x14ac:dyDescent="0.3">
      <c r="A44" s="4" t="s">
        <v>25</v>
      </c>
      <c r="B44" s="4" t="s">
        <v>62</v>
      </c>
      <c r="C44" s="2">
        <v>29</v>
      </c>
      <c r="D44" s="2">
        <v>1</v>
      </c>
      <c r="E44" s="2">
        <v>2</v>
      </c>
      <c r="F44" s="2">
        <v>4</v>
      </c>
      <c r="G44" s="2">
        <v>6.9</v>
      </c>
      <c r="H44" s="2">
        <v>33.4</v>
      </c>
      <c r="I44" s="2">
        <v>25.2</v>
      </c>
      <c r="J44" s="2">
        <v>23</v>
      </c>
      <c r="K44" s="2">
        <v>738</v>
      </c>
      <c r="L44" s="5">
        <v>0</v>
      </c>
      <c r="M44" s="5"/>
    </row>
    <row r="45" spans="1:13" x14ac:dyDescent="0.3">
      <c r="A45" s="4" t="s">
        <v>26</v>
      </c>
      <c r="B45" s="4" t="s">
        <v>63</v>
      </c>
      <c r="C45" s="2">
        <v>505</v>
      </c>
      <c r="D45" s="2">
        <v>25</v>
      </c>
      <c r="E45" s="2">
        <v>35</v>
      </c>
      <c r="F45" s="2">
        <v>82</v>
      </c>
      <c r="G45" s="2">
        <v>5.4</v>
      </c>
      <c r="H45" s="2">
        <v>64.900000000000006</v>
      </c>
      <c r="I45" s="2">
        <v>31</v>
      </c>
      <c r="J45" s="2">
        <v>31</v>
      </c>
      <c r="K45" s="2">
        <v>11</v>
      </c>
      <c r="L45" s="5">
        <v>-1</v>
      </c>
      <c r="M45" s="5"/>
    </row>
    <row r="46" spans="1:13" x14ac:dyDescent="0.3">
      <c r="A46" s="4" t="s">
        <v>26</v>
      </c>
      <c r="B46" s="4" t="s">
        <v>63</v>
      </c>
      <c r="C46" s="2">
        <v>338</v>
      </c>
      <c r="D46" s="2">
        <v>16</v>
      </c>
      <c r="E46" s="2">
        <v>23</v>
      </c>
      <c r="F46" s="2">
        <v>54</v>
      </c>
      <c r="G46" s="2">
        <v>4.3</v>
      </c>
      <c r="H46" s="2">
        <v>57.2</v>
      </c>
      <c r="I46" s="2">
        <v>29.6</v>
      </c>
      <c r="J46" s="2">
        <v>31</v>
      </c>
      <c r="K46" s="2">
        <v>14</v>
      </c>
      <c r="L46" s="5">
        <v>-1</v>
      </c>
      <c r="M46" s="5"/>
    </row>
    <row r="47" spans="1:13" x14ac:dyDescent="0.3">
      <c r="A47" s="4" t="s">
        <v>26</v>
      </c>
      <c r="B47" s="4" t="s">
        <v>63</v>
      </c>
      <c r="C47" s="2">
        <v>92</v>
      </c>
      <c r="D47" s="2">
        <v>4</v>
      </c>
      <c r="E47" s="2">
        <v>6</v>
      </c>
      <c r="F47" s="2">
        <v>14</v>
      </c>
      <c r="G47" s="2">
        <v>6.9</v>
      </c>
      <c r="H47" s="2">
        <v>14.7</v>
      </c>
      <c r="I47" s="2">
        <v>34.1</v>
      </c>
      <c r="J47" s="2">
        <v>31</v>
      </c>
      <c r="K47" s="2">
        <v>48</v>
      </c>
      <c r="L47" s="5">
        <v>-1</v>
      </c>
      <c r="M47" s="5"/>
    </row>
    <row r="48" spans="1:13" x14ac:dyDescent="0.3">
      <c r="A48" s="4" t="s">
        <v>27</v>
      </c>
      <c r="B48" s="4" t="s">
        <v>64</v>
      </c>
      <c r="C48" s="2">
        <v>25</v>
      </c>
      <c r="D48" s="2">
        <v>1</v>
      </c>
      <c r="E48" s="2">
        <v>1</v>
      </c>
      <c r="F48" s="2">
        <v>3</v>
      </c>
      <c r="G48" s="2">
        <v>6.3</v>
      </c>
      <c r="H48" s="2">
        <v>66.3</v>
      </c>
      <c r="I48" s="2">
        <v>20.5</v>
      </c>
      <c r="J48" s="2">
        <v>24</v>
      </c>
      <c r="K48" s="2">
        <v>1210</v>
      </c>
      <c r="L48" s="5">
        <v>0</v>
      </c>
      <c r="M48" s="5"/>
    </row>
    <row r="49" spans="1:13" x14ac:dyDescent="0.3">
      <c r="A49" s="4" t="s">
        <v>27</v>
      </c>
      <c r="B49" s="4" t="s">
        <v>64</v>
      </c>
      <c r="C49" s="2">
        <v>581</v>
      </c>
      <c r="D49" s="2">
        <v>29</v>
      </c>
      <c r="E49" s="2">
        <v>41</v>
      </c>
      <c r="F49" s="2">
        <v>93</v>
      </c>
      <c r="G49" s="2">
        <v>4.5</v>
      </c>
      <c r="H49" s="2">
        <v>88.4</v>
      </c>
      <c r="I49" s="2">
        <v>27.3</v>
      </c>
      <c r="J49" s="2">
        <v>24</v>
      </c>
      <c r="K49" s="2">
        <v>711</v>
      </c>
      <c r="L49" s="5">
        <v>0</v>
      </c>
      <c r="M4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817B-E8FB-4ABE-AEB6-88423C38D44B}">
  <dimension ref="A1:L19"/>
  <sheetViews>
    <sheetView workbookViewId="0">
      <selection activeCell="A5" sqref="A5:L5"/>
    </sheetView>
  </sheetViews>
  <sheetFormatPr defaultRowHeight="14.4" x14ac:dyDescent="0.3"/>
  <cols>
    <col min="1" max="1" width="12.33203125" customWidth="1"/>
    <col min="2" max="2" width="14.44140625" customWidth="1"/>
    <col min="10" max="10" width="11.33203125" customWidth="1"/>
    <col min="11" max="11" width="8.88671875" customWidth="1"/>
    <col min="12" max="12" width="18.88671875" customWidth="1"/>
  </cols>
  <sheetData>
    <row r="1" spans="1:12" x14ac:dyDescent="0.3">
      <c r="A1" s="1" t="s">
        <v>14</v>
      </c>
      <c r="B1" s="1" t="s">
        <v>29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8</v>
      </c>
      <c r="K1" s="2" t="s">
        <v>68</v>
      </c>
      <c r="L1" s="2" t="s">
        <v>10</v>
      </c>
    </row>
    <row r="2" spans="1:12" x14ac:dyDescent="0.3">
      <c r="A2" s="3" t="s">
        <v>15</v>
      </c>
      <c r="B2" s="4" t="s">
        <v>31</v>
      </c>
      <c r="C2" s="2">
        <v>101</v>
      </c>
      <c r="D2" s="2">
        <v>5</v>
      </c>
      <c r="E2" s="2">
        <v>7</v>
      </c>
      <c r="F2" s="2">
        <v>16</v>
      </c>
      <c r="G2" s="2">
        <v>5.9</v>
      </c>
      <c r="H2" s="2">
        <v>53.7</v>
      </c>
      <c r="I2" s="2">
        <v>23.1</v>
      </c>
      <c r="J2" s="2">
        <v>1823</v>
      </c>
      <c r="K2" s="5">
        <v>1</v>
      </c>
      <c r="L2" s="5">
        <v>25</v>
      </c>
    </row>
    <row r="3" spans="1:12" x14ac:dyDescent="0.3">
      <c r="A3" s="4" t="s">
        <v>15</v>
      </c>
      <c r="B3" s="4" t="s">
        <v>33</v>
      </c>
      <c r="C3" s="2">
        <v>34</v>
      </c>
      <c r="D3" s="2">
        <v>1</v>
      </c>
      <c r="E3" s="2">
        <v>2</v>
      </c>
      <c r="F3" s="2">
        <v>5</v>
      </c>
      <c r="G3" s="2">
        <v>6.3</v>
      </c>
      <c r="H3" s="2">
        <v>27.1</v>
      </c>
      <c r="I3" s="2">
        <v>19.7</v>
      </c>
      <c r="J3" s="2">
        <v>1895</v>
      </c>
      <c r="K3" s="5">
        <v>1</v>
      </c>
      <c r="L3" s="5">
        <v>20</v>
      </c>
    </row>
    <row r="4" spans="1:12" x14ac:dyDescent="0.3">
      <c r="A4" s="3" t="s">
        <v>16</v>
      </c>
      <c r="B4" s="4" t="s">
        <v>35</v>
      </c>
      <c r="C4" s="2">
        <v>47</v>
      </c>
      <c r="D4" s="2">
        <v>2</v>
      </c>
      <c r="E4" s="2">
        <v>3</v>
      </c>
      <c r="F4" s="2">
        <v>7</v>
      </c>
      <c r="G4" s="2">
        <v>6.3</v>
      </c>
      <c r="H4" s="2">
        <v>30.4</v>
      </c>
      <c r="I4" s="2">
        <v>17.600000000000001</v>
      </c>
      <c r="J4" s="2">
        <v>1635</v>
      </c>
      <c r="K4" s="5">
        <v>1</v>
      </c>
      <c r="L4" s="5">
        <v>20</v>
      </c>
    </row>
    <row r="5" spans="1:12" x14ac:dyDescent="0.3">
      <c r="A5" s="3" t="s">
        <v>16</v>
      </c>
      <c r="B5" s="4" t="s">
        <v>36</v>
      </c>
      <c r="C5" s="2">
        <v>71</v>
      </c>
      <c r="D5" s="2">
        <v>3</v>
      </c>
      <c r="E5" s="2">
        <v>4</v>
      </c>
      <c r="F5" s="2">
        <v>11</v>
      </c>
      <c r="G5" s="2">
        <v>6.2</v>
      </c>
      <c r="H5" s="2">
        <v>34.299999999999997</v>
      </c>
      <c r="I5" s="2">
        <v>23.6</v>
      </c>
      <c r="J5" s="2">
        <v>2074</v>
      </c>
      <c r="K5" s="5">
        <v>1</v>
      </c>
      <c r="L5" s="5">
        <v>25</v>
      </c>
    </row>
    <row r="6" spans="1:12" x14ac:dyDescent="0.3">
      <c r="A6" s="3" t="s">
        <v>16</v>
      </c>
      <c r="B6" s="4" t="s">
        <v>38</v>
      </c>
      <c r="C6" s="2">
        <v>26</v>
      </c>
      <c r="D6" s="2">
        <v>1</v>
      </c>
      <c r="E6" s="2">
        <v>1</v>
      </c>
      <c r="F6" s="2">
        <v>4</v>
      </c>
      <c r="G6" s="2">
        <v>6.2</v>
      </c>
      <c r="H6" s="2">
        <v>18.399999999999999</v>
      </c>
      <c r="I6" s="2">
        <v>22.3</v>
      </c>
      <c r="J6" s="2">
        <v>1720</v>
      </c>
      <c r="K6" s="5">
        <v>1</v>
      </c>
      <c r="L6" s="5">
        <v>17</v>
      </c>
    </row>
    <row r="7" spans="1:12" x14ac:dyDescent="0.3">
      <c r="A7" s="3" t="s">
        <v>17</v>
      </c>
      <c r="B7" s="4" t="s">
        <v>39</v>
      </c>
      <c r="C7" s="2">
        <v>70</v>
      </c>
      <c r="D7" s="2">
        <v>3</v>
      </c>
      <c r="E7" s="2">
        <v>4</v>
      </c>
      <c r="F7" s="2">
        <v>11</v>
      </c>
      <c r="G7" s="2">
        <v>6.2</v>
      </c>
      <c r="H7" s="2">
        <v>43.5</v>
      </c>
      <c r="I7" s="2">
        <v>15</v>
      </c>
      <c r="J7" s="2">
        <v>1467</v>
      </c>
      <c r="K7" s="5">
        <v>1</v>
      </c>
      <c r="L7" s="5">
        <v>30</v>
      </c>
    </row>
    <row r="8" spans="1:12" x14ac:dyDescent="0.3">
      <c r="A8" s="4" t="s">
        <v>18</v>
      </c>
      <c r="B8" s="4" t="s">
        <v>40</v>
      </c>
      <c r="C8" s="2">
        <v>44</v>
      </c>
      <c r="D8" s="2">
        <v>2</v>
      </c>
      <c r="E8" s="2">
        <v>3</v>
      </c>
      <c r="F8" s="2">
        <v>7</v>
      </c>
      <c r="G8" s="2">
        <v>5.0999999999999996</v>
      </c>
      <c r="H8" s="2">
        <v>24.6</v>
      </c>
      <c r="I8" s="2">
        <v>19.600000000000001</v>
      </c>
      <c r="J8" s="2">
        <v>2193</v>
      </c>
      <c r="K8" s="5">
        <v>1</v>
      </c>
      <c r="L8" s="5">
        <v>10</v>
      </c>
    </row>
    <row r="9" spans="1:12" x14ac:dyDescent="0.3">
      <c r="A9" s="3" t="s">
        <v>18</v>
      </c>
      <c r="B9" s="4" t="s">
        <v>41</v>
      </c>
      <c r="C9" s="2">
        <v>43</v>
      </c>
      <c r="D9" s="2">
        <v>2</v>
      </c>
      <c r="E9" s="2">
        <v>3</v>
      </c>
      <c r="F9" s="2">
        <v>6</v>
      </c>
      <c r="G9" s="2">
        <v>6.3</v>
      </c>
      <c r="H9" s="2">
        <v>27.4</v>
      </c>
      <c r="I9" s="2">
        <v>20.100000000000001</v>
      </c>
      <c r="J9" s="2">
        <v>1709</v>
      </c>
      <c r="K9" s="5">
        <v>1</v>
      </c>
      <c r="L9" s="5">
        <v>15</v>
      </c>
    </row>
    <row r="10" spans="1:12" x14ac:dyDescent="0.3">
      <c r="A10" s="4" t="s">
        <v>19</v>
      </c>
      <c r="B10" s="4" t="s">
        <v>44</v>
      </c>
      <c r="C10" s="2">
        <v>19</v>
      </c>
      <c r="D10" s="2">
        <v>1</v>
      </c>
      <c r="E10" s="2">
        <v>30</v>
      </c>
      <c r="F10" s="2">
        <v>2</v>
      </c>
      <c r="G10" s="2">
        <v>6.3</v>
      </c>
      <c r="H10" s="2">
        <v>15.2</v>
      </c>
      <c r="I10" s="2">
        <v>34.1</v>
      </c>
      <c r="J10" s="2">
        <v>1763</v>
      </c>
      <c r="K10" s="5">
        <v>1</v>
      </c>
      <c r="L10" s="5">
        <v>7</v>
      </c>
    </row>
    <row r="11" spans="1:12" x14ac:dyDescent="0.3">
      <c r="A11" s="4" t="s">
        <v>19</v>
      </c>
      <c r="B11" s="4" t="s">
        <v>44</v>
      </c>
      <c r="C11" s="2">
        <v>30</v>
      </c>
      <c r="D11" s="2">
        <v>1</v>
      </c>
      <c r="E11" s="2">
        <v>1</v>
      </c>
      <c r="F11" s="2">
        <v>4</v>
      </c>
      <c r="G11" s="2">
        <v>5.9</v>
      </c>
      <c r="H11" s="2">
        <v>34.1</v>
      </c>
      <c r="I11" s="2">
        <v>20.3</v>
      </c>
      <c r="J11" s="2">
        <v>1941</v>
      </c>
      <c r="K11" s="5">
        <v>1</v>
      </c>
      <c r="L11" s="5">
        <v>40</v>
      </c>
    </row>
    <row r="12" spans="1:12" x14ac:dyDescent="0.3">
      <c r="A12" s="4" t="s">
        <v>19</v>
      </c>
      <c r="B12" s="4" t="s">
        <v>46</v>
      </c>
      <c r="C12" s="2">
        <v>36</v>
      </c>
      <c r="D12" s="2">
        <v>1</v>
      </c>
      <c r="E12" s="2">
        <v>2</v>
      </c>
      <c r="F12" s="2">
        <v>5</v>
      </c>
      <c r="G12" s="2">
        <v>5.9</v>
      </c>
      <c r="H12" s="2">
        <v>26.9</v>
      </c>
      <c r="I12" s="2">
        <v>17</v>
      </c>
      <c r="J12" s="2">
        <v>1751</v>
      </c>
      <c r="K12" s="5">
        <v>1</v>
      </c>
      <c r="L12" s="5">
        <v>35</v>
      </c>
    </row>
    <row r="13" spans="1:12" x14ac:dyDescent="0.3">
      <c r="A13" s="4" t="s">
        <v>19</v>
      </c>
      <c r="B13" s="4" t="s">
        <v>48</v>
      </c>
      <c r="C13" s="2">
        <v>18</v>
      </c>
      <c r="D13" s="2">
        <v>0</v>
      </c>
      <c r="E13" s="2">
        <v>1</v>
      </c>
      <c r="F13" s="2">
        <v>2</v>
      </c>
      <c r="G13" s="2">
        <v>6.2</v>
      </c>
      <c r="H13" s="2">
        <v>32.5</v>
      </c>
      <c r="I13" s="2">
        <v>24.1</v>
      </c>
      <c r="J13" s="2">
        <v>1382</v>
      </c>
      <c r="K13" s="5">
        <v>1</v>
      </c>
      <c r="L13" s="5">
        <v>7</v>
      </c>
    </row>
    <row r="14" spans="1:12" x14ac:dyDescent="0.3">
      <c r="A14" s="4" t="s">
        <v>20</v>
      </c>
      <c r="B14" s="4" t="s">
        <v>49</v>
      </c>
      <c r="C14" s="2">
        <v>21</v>
      </c>
      <c r="D14" s="2">
        <v>1</v>
      </c>
      <c r="E14" s="2">
        <v>1</v>
      </c>
      <c r="F14" s="2">
        <v>3</v>
      </c>
      <c r="G14" s="2">
        <v>6</v>
      </c>
      <c r="H14" s="2">
        <v>22</v>
      </c>
      <c r="I14" s="2">
        <v>30.5</v>
      </c>
      <c r="J14" s="2">
        <v>727</v>
      </c>
      <c r="K14" s="5">
        <v>1</v>
      </c>
      <c r="L14" s="5"/>
    </row>
    <row r="15" spans="1:12" x14ac:dyDescent="0.3">
      <c r="A15" s="4" t="s">
        <v>20</v>
      </c>
      <c r="B15" s="4" t="s">
        <v>51</v>
      </c>
      <c r="C15" s="6">
        <v>70</v>
      </c>
      <c r="D15" s="6">
        <v>3</v>
      </c>
      <c r="E15" s="6">
        <v>4</v>
      </c>
      <c r="F15" s="6">
        <v>11</v>
      </c>
      <c r="G15" s="6">
        <v>5.5</v>
      </c>
      <c r="H15" s="6">
        <v>13.3</v>
      </c>
      <c r="I15" s="6">
        <v>31.8</v>
      </c>
      <c r="J15" s="2">
        <v>1170</v>
      </c>
      <c r="K15" s="5">
        <v>0</v>
      </c>
      <c r="L15" s="5"/>
    </row>
    <row r="16" spans="1:12" x14ac:dyDescent="0.3">
      <c r="A16" s="4" t="s">
        <v>21</v>
      </c>
      <c r="B16" s="4" t="s">
        <v>52</v>
      </c>
      <c r="C16" s="6">
        <v>40</v>
      </c>
      <c r="D16" s="6">
        <v>2</v>
      </c>
      <c r="E16" s="6">
        <v>2</v>
      </c>
      <c r="F16" s="6">
        <v>6</v>
      </c>
      <c r="G16" s="6">
        <v>5.7</v>
      </c>
      <c r="H16" s="6">
        <v>43.5</v>
      </c>
      <c r="I16" s="6">
        <v>24.3</v>
      </c>
      <c r="J16" s="2">
        <v>1628</v>
      </c>
      <c r="K16" s="5">
        <v>1</v>
      </c>
      <c r="L16" s="5">
        <v>25</v>
      </c>
    </row>
    <row r="17" spans="1:12" x14ac:dyDescent="0.3">
      <c r="A17" s="4" t="s">
        <v>22</v>
      </c>
      <c r="B17" s="4" t="s">
        <v>53</v>
      </c>
      <c r="C17" s="2">
        <v>84</v>
      </c>
      <c r="D17" s="2">
        <v>4</v>
      </c>
      <c r="E17" s="2">
        <v>5</v>
      </c>
      <c r="F17" s="2">
        <v>13</v>
      </c>
      <c r="G17" s="2">
        <v>5.4</v>
      </c>
      <c r="H17" s="2">
        <v>57</v>
      </c>
      <c r="I17" s="2">
        <v>19.100000000000001</v>
      </c>
      <c r="J17" s="2">
        <v>1618</v>
      </c>
      <c r="K17" s="5">
        <v>1</v>
      </c>
      <c r="L17" s="5">
        <v>8</v>
      </c>
    </row>
    <row r="18" spans="1:12" x14ac:dyDescent="0.3">
      <c r="A18" s="4" t="s">
        <v>25</v>
      </c>
      <c r="B18" s="4" t="s">
        <v>62</v>
      </c>
      <c r="C18" s="2">
        <v>40</v>
      </c>
      <c r="D18" s="2">
        <v>2</v>
      </c>
      <c r="E18" s="2">
        <v>2</v>
      </c>
      <c r="F18" s="2">
        <v>2</v>
      </c>
      <c r="G18" s="2">
        <v>6.1</v>
      </c>
      <c r="H18" s="2">
        <v>33.799999999999997</v>
      </c>
      <c r="I18" s="2">
        <v>24.4</v>
      </c>
      <c r="J18" s="2">
        <v>738</v>
      </c>
      <c r="K18" s="5">
        <v>0</v>
      </c>
      <c r="L18" s="5"/>
    </row>
    <row r="19" spans="1:12" x14ac:dyDescent="0.3">
      <c r="A19" s="4" t="s">
        <v>26</v>
      </c>
      <c r="B19" s="4" t="s">
        <v>63</v>
      </c>
      <c r="C19" s="2">
        <v>327</v>
      </c>
      <c r="D19" s="2">
        <v>26</v>
      </c>
      <c r="E19" s="2">
        <v>22</v>
      </c>
      <c r="F19" s="2">
        <v>52</v>
      </c>
      <c r="G19" s="2">
        <v>4</v>
      </c>
      <c r="H19" s="2">
        <v>57.2</v>
      </c>
      <c r="I19" s="2">
        <v>31.4</v>
      </c>
      <c r="J19" s="2">
        <v>14</v>
      </c>
      <c r="K19" s="5">
        <v>-1</v>
      </c>
      <c r="L1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AC74-2189-4EBC-A98B-F381C7C81D9E}">
  <dimension ref="A1:R4018"/>
  <sheetViews>
    <sheetView workbookViewId="0">
      <selection activeCell="P3" sqref="P3:P5"/>
    </sheetView>
  </sheetViews>
  <sheetFormatPr defaultRowHeight="14.4" x14ac:dyDescent="0.3"/>
  <cols>
    <col min="8" max="8" width="10.109375" customWidth="1"/>
    <col min="9" max="9" width="13.33203125" customWidth="1"/>
    <col min="12" max="12" width="14.88671875" customWidth="1"/>
    <col min="13" max="13" width="13.33203125" customWidth="1"/>
  </cols>
  <sheetData>
    <row r="1" spans="1:18" x14ac:dyDescent="0.3">
      <c r="A1" s="10" t="s">
        <v>14</v>
      </c>
      <c r="B1" s="10" t="s">
        <v>29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68</v>
      </c>
      <c r="M1" s="10" t="s">
        <v>65</v>
      </c>
    </row>
    <row r="2" spans="1:18" x14ac:dyDescent="0.3">
      <c r="A2" t="s">
        <v>15</v>
      </c>
      <c r="B2" t="s">
        <v>30</v>
      </c>
      <c r="C2">
        <v>101</v>
      </c>
      <c r="D2">
        <v>5</v>
      </c>
      <c r="E2">
        <v>7</v>
      </c>
      <c r="F2">
        <v>16</v>
      </c>
      <c r="G2">
        <v>6.2</v>
      </c>
      <c r="H2">
        <v>26.9</v>
      </c>
      <c r="I2">
        <v>20.8</v>
      </c>
      <c r="J2">
        <v>28.1</v>
      </c>
      <c r="K2">
        <v>2002</v>
      </c>
      <c r="L2">
        <v>1</v>
      </c>
      <c r="M2" t="s">
        <v>67</v>
      </c>
    </row>
    <row r="3" spans="1:18" x14ac:dyDescent="0.3">
      <c r="A3" t="s">
        <v>15</v>
      </c>
      <c r="B3" t="s">
        <v>30</v>
      </c>
      <c r="C3">
        <v>41</v>
      </c>
      <c r="D3">
        <v>2</v>
      </c>
      <c r="E3">
        <v>2</v>
      </c>
      <c r="F3">
        <v>6</v>
      </c>
      <c r="G3">
        <v>6.3</v>
      </c>
      <c r="H3">
        <v>26.4</v>
      </c>
      <c r="I3">
        <v>19.899999999999999</v>
      </c>
      <c r="J3">
        <v>28.1</v>
      </c>
      <c r="K3">
        <v>2002</v>
      </c>
      <c r="L3">
        <v>1</v>
      </c>
      <c r="M3" t="s">
        <v>67</v>
      </c>
      <c r="P3">
        <f>COUNTIF(L2:L4018, "1")</f>
        <v>1339</v>
      </c>
      <c r="R3">
        <f>COUNTIF(M2:M4018, "Asli")</f>
        <v>161</v>
      </c>
    </row>
    <row r="4" spans="1:18" x14ac:dyDescent="0.3">
      <c r="A4" t="s">
        <v>15</v>
      </c>
      <c r="B4" t="s">
        <v>31</v>
      </c>
      <c r="C4">
        <v>118</v>
      </c>
      <c r="D4">
        <v>5</v>
      </c>
      <c r="E4">
        <v>8</v>
      </c>
      <c r="F4">
        <v>18</v>
      </c>
      <c r="G4">
        <v>5.5</v>
      </c>
      <c r="H4">
        <v>44.9</v>
      </c>
      <c r="I4">
        <v>21.8</v>
      </c>
      <c r="J4">
        <v>27</v>
      </c>
      <c r="K4">
        <v>1823</v>
      </c>
      <c r="L4">
        <v>1</v>
      </c>
      <c r="M4" t="s">
        <v>67</v>
      </c>
      <c r="P4">
        <f>COUNTIF(L2:L4018, "0")</f>
        <v>1339</v>
      </c>
      <c r="R4">
        <f>COUNTIF(M2:M4018, "Augmented")</f>
        <v>1610</v>
      </c>
    </row>
    <row r="5" spans="1:18" x14ac:dyDescent="0.3">
      <c r="A5" t="s">
        <v>15</v>
      </c>
      <c r="B5" t="s">
        <v>31</v>
      </c>
      <c r="C5">
        <v>22</v>
      </c>
      <c r="D5">
        <v>1</v>
      </c>
      <c r="E5">
        <v>1</v>
      </c>
      <c r="F5">
        <v>3</v>
      </c>
      <c r="G5">
        <v>6.5</v>
      </c>
      <c r="H5">
        <v>37.799999999999997</v>
      </c>
      <c r="I5">
        <v>25.2</v>
      </c>
      <c r="J5">
        <v>20</v>
      </c>
      <c r="K5">
        <v>1612</v>
      </c>
      <c r="L5">
        <v>1</v>
      </c>
      <c r="M5" t="s">
        <v>67</v>
      </c>
      <c r="P5">
        <f>COUNTIF(L2:L4018, "-1")</f>
        <v>1339</v>
      </c>
      <c r="R5">
        <f>COUNTIF(M2:M4018, "SMOTE")</f>
        <v>2246</v>
      </c>
    </row>
    <row r="6" spans="1:18" x14ac:dyDescent="0.3">
      <c r="A6" t="s">
        <v>15</v>
      </c>
      <c r="B6" t="s">
        <v>32</v>
      </c>
      <c r="C6">
        <v>7</v>
      </c>
      <c r="D6">
        <v>0</v>
      </c>
      <c r="E6">
        <v>0</v>
      </c>
      <c r="F6">
        <v>0.99999999999999822</v>
      </c>
      <c r="G6">
        <v>6.6</v>
      </c>
      <c r="H6">
        <v>27.2</v>
      </c>
      <c r="I6">
        <v>22.6</v>
      </c>
      <c r="J6">
        <v>20</v>
      </c>
      <c r="K6">
        <v>1612</v>
      </c>
      <c r="L6">
        <v>1</v>
      </c>
      <c r="M6" t="s">
        <v>67</v>
      </c>
      <c r="P6">
        <f>SUM(P3:P5)</f>
        <v>4017</v>
      </c>
      <c r="R6">
        <f>SUM(R3:R5)</f>
        <v>4017</v>
      </c>
    </row>
    <row r="7" spans="1:18" x14ac:dyDescent="0.3">
      <c r="A7" t="s">
        <v>15</v>
      </c>
      <c r="B7" t="s">
        <v>32</v>
      </c>
      <c r="C7">
        <v>45</v>
      </c>
      <c r="D7">
        <v>2</v>
      </c>
      <c r="E7">
        <v>3</v>
      </c>
      <c r="F7">
        <v>7</v>
      </c>
      <c r="G7">
        <v>6.2</v>
      </c>
      <c r="H7">
        <v>32.6</v>
      </c>
      <c r="I7">
        <v>19.5</v>
      </c>
      <c r="J7">
        <v>18</v>
      </c>
      <c r="K7">
        <v>1900</v>
      </c>
      <c r="L7">
        <v>1</v>
      </c>
      <c r="M7" t="s">
        <v>67</v>
      </c>
    </row>
    <row r="8" spans="1:18" x14ac:dyDescent="0.3">
      <c r="A8" t="s">
        <v>15</v>
      </c>
      <c r="B8" t="s">
        <v>33</v>
      </c>
      <c r="C8">
        <v>69</v>
      </c>
      <c r="D8">
        <v>3</v>
      </c>
      <c r="E8">
        <v>4</v>
      </c>
      <c r="F8">
        <v>11</v>
      </c>
      <c r="G8">
        <v>5.5</v>
      </c>
      <c r="H8">
        <v>34.5</v>
      </c>
      <c r="I8">
        <v>21.6</v>
      </c>
      <c r="J8">
        <v>18</v>
      </c>
      <c r="K8">
        <v>1900</v>
      </c>
      <c r="L8">
        <v>1</v>
      </c>
      <c r="M8" t="s">
        <v>67</v>
      </c>
    </row>
    <row r="9" spans="1:18" x14ac:dyDescent="0.3">
      <c r="A9" t="s">
        <v>15</v>
      </c>
      <c r="B9" t="s">
        <v>33</v>
      </c>
      <c r="C9">
        <v>41</v>
      </c>
      <c r="D9">
        <v>2</v>
      </c>
      <c r="E9">
        <v>2</v>
      </c>
      <c r="F9">
        <v>6</v>
      </c>
      <c r="G9">
        <v>6</v>
      </c>
      <c r="H9">
        <v>37</v>
      </c>
      <c r="I9">
        <v>20.3</v>
      </c>
      <c r="J9">
        <v>18</v>
      </c>
      <c r="K9">
        <v>1900</v>
      </c>
      <c r="L9">
        <v>1</v>
      </c>
      <c r="M9" t="s">
        <v>67</v>
      </c>
    </row>
    <row r="10" spans="1:18" x14ac:dyDescent="0.3">
      <c r="A10" t="s">
        <v>15</v>
      </c>
      <c r="B10" t="s">
        <v>33</v>
      </c>
      <c r="C10">
        <v>66</v>
      </c>
      <c r="D10">
        <v>3</v>
      </c>
      <c r="E10">
        <v>4</v>
      </c>
      <c r="F10">
        <v>10</v>
      </c>
      <c r="G10">
        <v>5.8</v>
      </c>
      <c r="H10">
        <v>35.1</v>
      </c>
      <c r="I10">
        <v>20.5</v>
      </c>
      <c r="J10">
        <v>18</v>
      </c>
      <c r="K10">
        <v>1900</v>
      </c>
      <c r="L10">
        <v>1</v>
      </c>
      <c r="M10" t="s">
        <v>67</v>
      </c>
    </row>
    <row r="11" spans="1:18" x14ac:dyDescent="0.3">
      <c r="A11" t="s">
        <v>15</v>
      </c>
      <c r="B11" t="s">
        <v>33</v>
      </c>
      <c r="C11">
        <v>92</v>
      </c>
      <c r="D11">
        <v>4</v>
      </c>
      <c r="E11">
        <v>6</v>
      </c>
      <c r="F11">
        <v>14</v>
      </c>
      <c r="G11">
        <v>6.8</v>
      </c>
      <c r="H11">
        <v>33.799999999999997</v>
      </c>
      <c r="I11">
        <v>18.2</v>
      </c>
      <c r="J11">
        <v>18</v>
      </c>
      <c r="K11">
        <v>1895</v>
      </c>
      <c r="L11">
        <v>1</v>
      </c>
      <c r="M11" t="s">
        <v>67</v>
      </c>
    </row>
    <row r="12" spans="1:18" x14ac:dyDescent="0.3">
      <c r="A12" t="s">
        <v>15</v>
      </c>
      <c r="B12" t="s">
        <v>33</v>
      </c>
      <c r="C12">
        <v>76</v>
      </c>
      <c r="D12">
        <v>3</v>
      </c>
      <c r="E12">
        <v>5</v>
      </c>
      <c r="F12">
        <v>12</v>
      </c>
      <c r="G12">
        <v>5.5</v>
      </c>
      <c r="H12">
        <v>32.6</v>
      </c>
      <c r="I12">
        <v>17.3</v>
      </c>
      <c r="J12">
        <v>18</v>
      </c>
      <c r="K12">
        <v>1895</v>
      </c>
      <c r="L12">
        <v>1</v>
      </c>
      <c r="M12" t="s">
        <v>67</v>
      </c>
    </row>
    <row r="13" spans="1:18" x14ac:dyDescent="0.3">
      <c r="A13" t="s">
        <v>15</v>
      </c>
      <c r="B13" t="s">
        <v>33</v>
      </c>
      <c r="C13">
        <v>78</v>
      </c>
      <c r="D13">
        <v>3</v>
      </c>
      <c r="E13">
        <v>5</v>
      </c>
      <c r="F13">
        <v>12</v>
      </c>
      <c r="G13">
        <v>5.5</v>
      </c>
      <c r="H13">
        <v>26.7</v>
      </c>
      <c r="I13">
        <v>18.7</v>
      </c>
      <c r="J13">
        <v>18</v>
      </c>
      <c r="K13">
        <v>1895</v>
      </c>
      <c r="L13">
        <v>1</v>
      </c>
      <c r="M13" t="s">
        <v>67</v>
      </c>
    </row>
    <row r="14" spans="1:18" x14ac:dyDescent="0.3">
      <c r="A14" t="s">
        <v>15</v>
      </c>
      <c r="B14" t="s">
        <v>33</v>
      </c>
      <c r="C14">
        <v>93</v>
      </c>
      <c r="D14">
        <v>4</v>
      </c>
      <c r="E14">
        <v>6</v>
      </c>
      <c r="F14">
        <v>14</v>
      </c>
      <c r="G14">
        <v>6.1</v>
      </c>
      <c r="H14">
        <v>32.1</v>
      </c>
      <c r="I14">
        <v>19.8</v>
      </c>
      <c r="J14">
        <v>19</v>
      </c>
      <c r="K14">
        <v>2122</v>
      </c>
      <c r="L14">
        <v>1</v>
      </c>
      <c r="M14" t="s">
        <v>67</v>
      </c>
    </row>
    <row r="15" spans="1:18" x14ac:dyDescent="0.3">
      <c r="A15" t="s">
        <v>15</v>
      </c>
      <c r="B15" t="s">
        <v>33</v>
      </c>
      <c r="C15">
        <v>97</v>
      </c>
      <c r="D15">
        <v>3</v>
      </c>
      <c r="E15">
        <v>4</v>
      </c>
      <c r="F15">
        <v>10</v>
      </c>
      <c r="G15">
        <v>6</v>
      </c>
      <c r="H15">
        <v>32</v>
      </c>
      <c r="I15">
        <v>16.899999999999999</v>
      </c>
      <c r="J15">
        <v>19</v>
      </c>
      <c r="K15">
        <v>2122</v>
      </c>
      <c r="L15">
        <v>1</v>
      </c>
      <c r="M15" t="s">
        <v>67</v>
      </c>
    </row>
    <row r="16" spans="1:18" x14ac:dyDescent="0.3">
      <c r="A16" t="s">
        <v>15</v>
      </c>
      <c r="B16" t="s">
        <v>34</v>
      </c>
      <c r="C16">
        <v>61</v>
      </c>
      <c r="D16">
        <v>3</v>
      </c>
      <c r="E16">
        <v>4</v>
      </c>
      <c r="F16">
        <v>9</v>
      </c>
      <c r="G16">
        <v>6.1</v>
      </c>
      <c r="H16">
        <v>34</v>
      </c>
      <c r="I16">
        <v>18</v>
      </c>
      <c r="J16">
        <v>19</v>
      </c>
      <c r="K16">
        <v>2122</v>
      </c>
      <c r="L16">
        <v>1</v>
      </c>
      <c r="M16" t="s">
        <v>67</v>
      </c>
    </row>
    <row r="17" spans="1:13" x14ac:dyDescent="0.3">
      <c r="A17" t="s">
        <v>15</v>
      </c>
      <c r="B17" t="s">
        <v>34</v>
      </c>
      <c r="C17">
        <v>62</v>
      </c>
      <c r="D17">
        <v>3</v>
      </c>
      <c r="E17">
        <v>4</v>
      </c>
      <c r="F17">
        <v>10</v>
      </c>
      <c r="G17">
        <v>6</v>
      </c>
      <c r="H17">
        <v>33.9</v>
      </c>
      <c r="I17">
        <v>19.2</v>
      </c>
      <c r="J17">
        <v>19</v>
      </c>
      <c r="K17">
        <v>2122</v>
      </c>
      <c r="L17">
        <v>1</v>
      </c>
      <c r="M17" t="s">
        <v>67</v>
      </c>
    </row>
    <row r="18" spans="1:13" x14ac:dyDescent="0.3">
      <c r="A18" t="s">
        <v>15</v>
      </c>
      <c r="B18" t="s">
        <v>34</v>
      </c>
      <c r="C18">
        <v>108</v>
      </c>
      <c r="D18">
        <v>5</v>
      </c>
      <c r="E18">
        <v>7</v>
      </c>
      <c r="F18">
        <v>17</v>
      </c>
      <c r="G18">
        <v>5.8</v>
      </c>
      <c r="H18">
        <v>41.8</v>
      </c>
      <c r="I18">
        <v>24.2</v>
      </c>
      <c r="J18">
        <v>19</v>
      </c>
      <c r="K18">
        <v>2077</v>
      </c>
      <c r="L18">
        <v>1</v>
      </c>
      <c r="M18" t="s">
        <v>67</v>
      </c>
    </row>
    <row r="19" spans="1:13" x14ac:dyDescent="0.3">
      <c r="A19" t="s">
        <v>15</v>
      </c>
      <c r="B19" t="s">
        <v>34</v>
      </c>
      <c r="C19">
        <v>153</v>
      </c>
      <c r="D19">
        <v>7</v>
      </c>
      <c r="E19">
        <v>10</v>
      </c>
      <c r="F19">
        <v>24</v>
      </c>
      <c r="G19">
        <v>5.7</v>
      </c>
      <c r="H19">
        <v>25.8</v>
      </c>
      <c r="I19">
        <v>24</v>
      </c>
      <c r="J19">
        <v>19</v>
      </c>
      <c r="K19">
        <v>2077</v>
      </c>
      <c r="L19">
        <v>1</v>
      </c>
      <c r="M19" t="s">
        <v>67</v>
      </c>
    </row>
    <row r="20" spans="1:13" x14ac:dyDescent="0.3">
      <c r="A20" t="s">
        <v>15</v>
      </c>
      <c r="B20" t="s">
        <v>34</v>
      </c>
      <c r="C20">
        <v>188</v>
      </c>
      <c r="D20">
        <v>9</v>
      </c>
      <c r="E20">
        <v>13</v>
      </c>
      <c r="F20">
        <v>30</v>
      </c>
      <c r="G20">
        <v>5.8</v>
      </c>
      <c r="H20">
        <v>41.5</v>
      </c>
      <c r="I20">
        <v>25.2</v>
      </c>
      <c r="J20">
        <v>19</v>
      </c>
      <c r="K20">
        <v>2077</v>
      </c>
      <c r="L20">
        <v>1</v>
      </c>
      <c r="M20" t="s">
        <v>67</v>
      </c>
    </row>
    <row r="21" spans="1:13" x14ac:dyDescent="0.3">
      <c r="A21" t="s">
        <v>15</v>
      </c>
      <c r="B21" t="s">
        <v>34</v>
      </c>
      <c r="C21">
        <v>123</v>
      </c>
      <c r="D21">
        <v>6</v>
      </c>
      <c r="E21">
        <v>8</v>
      </c>
      <c r="F21">
        <v>20</v>
      </c>
      <c r="G21">
        <v>6.1</v>
      </c>
      <c r="H21">
        <v>29</v>
      </c>
      <c r="I21">
        <v>24</v>
      </c>
      <c r="J21">
        <v>19</v>
      </c>
      <c r="K21">
        <v>2077</v>
      </c>
      <c r="L21">
        <v>1</v>
      </c>
      <c r="M21" t="s">
        <v>67</v>
      </c>
    </row>
    <row r="22" spans="1:13" x14ac:dyDescent="0.3">
      <c r="A22" t="s">
        <v>15</v>
      </c>
      <c r="B22" t="s">
        <v>34</v>
      </c>
      <c r="C22">
        <v>29</v>
      </c>
      <c r="D22">
        <v>1</v>
      </c>
      <c r="E22">
        <v>2</v>
      </c>
      <c r="F22">
        <v>4</v>
      </c>
      <c r="G22">
        <v>6.3</v>
      </c>
      <c r="H22">
        <v>22.9</v>
      </c>
      <c r="I22">
        <v>17.399999999999999</v>
      </c>
      <c r="J22">
        <v>26.7</v>
      </c>
      <c r="K22">
        <v>1635</v>
      </c>
      <c r="L22">
        <v>1</v>
      </c>
      <c r="M22" t="s">
        <v>67</v>
      </c>
    </row>
    <row r="23" spans="1:13" x14ac:dyDescent="0.3">
      <c r="A23" t="s">
        <v>15</v>
      </c>
      <c r="B23" t="s">
        <v>34</v>
      </c>
      <c r="C23">
        <v>110</v>
      </c>
      <c r="D23">
        <v>5</v>
      </c>
      <c r="E23">
        <v>7</v>
      </c>
      <c r="F23">
        <v>17</v>
      </c>
      <c r="G23">
        <v>5.9</v>
      </c>
      <c r="H23">
        <v>43.3</v>
      </c>
      <c r="I23">
        <v>16.7</v>
      </c>
      <c r="J23">
        <v>28.5</v>
      </c>
      <c r="K23">
        <v>1647</v>
      </c>
      <c r="L23">
        <v>1</v>
      </c>
      <c r="M23" t="s">
        <v>67</v>
      </c>
    </row>
    <row r="24" spans="1:13" x14ac:dyDescent="0.3">
      <c r="A24" t="s">
        <v>16</v>
      </c>
      <c r="B24" t="s">
        <v>35</v>
      </c>
      <c r="C24">
        <v>73</v>
      </c>
      <c r="D24">
        <v>3</v>
      </c>
      <c r="E24">
        <v>5</v>
      </c>
      <c r="F24">
        <v>11</v>
      </c>
      <c r="G24">
        <v>5.9</v>
      </c>
      <c r="H24">
        <v>31.2</v>
      </c>
      <c r="I24">
        <v>18.3</v>
      </c>
      <c r="J24">
        <v>28.5</v>
      </c>
      <c r="K24">
        <v>1647</v>
      </c>
      <c r="L24">
        <v>1</v>
      </c>
      <c r="M24" t="s">
        <v>67</v>
      </c>
    </row>
    <row r="25" spans="1:13" x14ac:dyDescent="0.3">
      <c r="A25" t="s">
        <v>16</v>
      </c>
      <c r="B25" t="s">
        <v>35</v>
      </c>
      <c r="C25">
        <v>18.000000000000011</v>
      </c>
      <c r="D25">
        <v>0</v>
      </c>
      <c r="E25">
        <v>1</v>
      </c>
      <c r="F25">
        <v>1.999999999999998</v>
      </c>
      <c r="G25">
        <v>6.2</v>
      </c>
      <c r="H25">
        <v>22.2</v>
      </c>
      <c r="I25">
        <v>22.8</v>
      </c>
      <c r="J25">
        <v>28.7</v>
      </c>
      <c r="K25">
        <v>2074</v>
      </c>
      <c r="L25">
        <v>1</v>
      </c>
      <c r="M25" t="s">
        <v>67</v>
      </c>
    </row>
    <row r="26" spans="1:13" x14ac:dyDescent="0.3">
      <c r="A26" t="s">
        <v>16</v>
      </c>
      <c r="B26" t="s">
        <v>35</v>
      </c>
      <c r="C26">
        <v>87</v>
      </c>
      <c r="D26">
        <v>4</v>
      </c>
      <c r="E26">
        <v>6</v>
      </c>
      <c r="F26">
        <v>13</v>
      </c>
      <c r="G26">
        <v>6.3</v>
      </c>
      <c r="H26">
        <v>37.4</v>
      </c>
      <c r="I26">
        <v>20.7</v>
      </c>
      <c r="J26">
        <v>28.7</v>
      </c>
      <c r="K26">
        <v>2074</v>
      </c>
      <c r="L26">
        <v>1</v>
      </c>
      <c r="M26" t="s">
        <v>67</v>
      </c>
    </row>
    <row r="27" spans="1:13" x14ac:dyDescent="0.3">
      <c r="A27" t="s">
        <v>16</v>
      </c>
      <c r="B27" t="s">
        <v>35</v>
      </c>
      <c r="C27">
        <v>66</v>
      </c>
      <c r="D27">
        <v>3</v>
      </c>
      <c r="E27">
        <v>4</v>
      </c>
      <c r="F27">
        <v>10</v>
      </c>
      <c r="G27">
        <v>6.1</v>
      </c>
      <c r="H27">
        <v>36.700000000000003</v>
      </c>
      <c r="I27">
        <v>20.5</v>
      </c>
      <c r="J27">
        <v>28.7</v>
      </c>
      <c r="K27">
        <v>2074</v>
      </c>
      <c r="L27">
        <v>1</v>
      </c>
      <c r="M27" t="s">
        <v>67</v>
      </c>
    </row>
    <row r="28" spans="1:13" x14ac:dyDescent="0.3">
      <c r="A28" t="s">
        <v>16</v>
      </c>
      <c r="B28" t="s">
        <v>36</v>
      </c>
      <c r="C28">
        <v>16</v>
      </c>
      <c r="D28">
        <v>0</v>
      </c>
      <c r="E28">
        <v>1</v>
      </c>
      <c r="F28">
        <v>1.999999999999998</v>
      </c>
      <c r="G28">
        <v>5.5</v>
      </c>
      <c r="H28">
        <v>27.1</v>
      </c>
      <c r="I28">
        <v>23.2</v>
      </c>
      <c r="J28">
        <v>26.8</v>
      </c>
      <c r="K28">
        <v>1987</v>
      </c>
      <c r="L28">
        <v>1</v>
      </c>
      <c r="M28" t="s">
        <v>67</v>
      </c>
    </row>
    <row r="29" spans="1:13" x14ac:dyDescent="0.3">
      <c r="A29" t="s">
        <v>16</v>
      </c>
      <c r="B29" t="s">
        <v>36</v>
      </c>
      <c r="C29">
        <v>54</v>
      </c>
      <c r="D29">
        <v>2</v>
      </c>
      <c r="E29">
        <v>3</v>
      </c>
      <c r="F29">
        <v>8</v>
      </c>
      <c r="G29">
        <v>5</v>
      </c>
      <c r="H29">
        <v>33.5</v>
      </c>
      <c r="I29">
        <v>24.1</v>
      </c>
      <c r="J29">
        <v>26.8</v>
      </c>
      <c r="K29">
        <v>1987</v>
      </c>
      <c r="L29">
        <v>1</v>
      </c>
      <c r="M29" t="s">
        <v>67</v>
      </c>
    </row>
    <row r="30" spans="1:13" x14ac:dyDescent="0.3">
      <c r="A30" t="s">
        <v>16</v>
      </c>
      <c r="B30" t="s">
        <v>36</v>
      </c>
      <c r="C30">
        <v>22</v>
      </c>
      <c r="D30">
        <v>1</v>
      </c>
      <c r="E30">
        <v>1</v>
      </c>
      <c r="F30">
        <v>3</v>
      </c>
      <c r="G30">
        <v>6.2</v>
      </c>
      <c r="H30">
        <v>27.7</v>
      </c>
      <c r="I30">
        <v>23.3</v>
      </c>
      <c r="J30">
        <v>22.4</v>
      </c>
      <c r="K30">
        <v>1720</v>
      </c>
      <c r="L30">
        <v>1</v>
      </c>
      <c r="M30" t="s">
        <v>67</v>
      </c>
    </row>
    <row r="31" spans="1:13" x14ac:dyDescent="0.3">
      <c r="A31" t="s">
        <v>16</v>
      </c>
      <c r="B31" t="s">
        <v>36</v>
      </c>
      <c r="C31">
        <v>10</v>
      </c>
      <c r="D31">
        <v>0</v>
      </c>
      <c r="E31">
        <v>0</v>
      </c>
      <c r="F31">
        <v>0.99999999999999822</v>
      </c>
      <c r="G31">
        <v>6.2</v>
      </c>
      <c r="H31">
        <v>29.5</v>
      </c>
      <c r="I31">
        <v>15.9</v>
      </c>
      <c r="J31">
        <v>23.3</v>
      </c>
      <c r="K31">
        <v>1467</v>
      </c>
      <c r="L31">
        <v>1</v>
      </c>
      <c r="M31" t="s">
        <v>67</v>
      </c>
    </row>
    <row r="32" spans="1:13" x14ac:dyDescent="0.3">
      <c r="A32" t="s">
        <v>16</v>
      </c>
      <c r="B32" t="s">
        <v>37</v>
      </c>
      <c r="C32">
        <v>5.0000000000000142</v>
      </c>
      <c r="D32">
        <v>0</v>
      </c>
      <c r="E32">
        <v>0</v>
      </c>
      <c r="F32">
        <v>-1.7763568394002501E-15</v>
      </c>
      <c r="G32">
        <v>6.3</v>
      </c>
      <c r="H32">
        <v>20</v>
      </c>
      <c r="I32">
        <v>17.7</v>
      </c>
      <c r="J32">
        <v>22.2</v>
      </c>
      <c r="K32">
        <v>1471</v>
      </c>
      <c r="L32">
        <v>1</v>
      </c>
      <c r="M32" t="s">
        <v>67</v>
      </c>
    </row>
    <row r="33" spans="1:13" x14ac:dyDescent="0.3">
      <c r="A33" t="s">
        <v>16</v>
      </c>
      <c r="B33" t="s">
        <v>37</v>
      </c>
      <c r="C33">
        <v>12</v>
      </c>
      <c r="D33">
        <v>0</v>
      </c>
      <c r="E33">
        <v>0</v>
      </c>
      <c r="F33">
        <v>0.99999999999999822</v>
      </c>
      <c r="G33">
        <v>6.6</v>
      </c>
      <c r="H33">
        <v>35.9</v>
      </c>
      <c r="I33">
        <v>17.399999999999999</v>
      </c>
      <c r="J33">
        <v>22.2</v>
      </c>
      <c r="K33">
        <v>1471</v>
      </c>
      <c r="L33">
        <v>1</v>
      </c>
      <c r="M33" t="s">
        <v>67</v>
      </c>
    </row>
    <row r="34" spans="1:13" x14ac:dyDescent="0.3">
      <c r="A34" t="s">
        <v>16</v>
      </c>
      <c r="B34" t="s">
        <v>38</v>
      </c>
      <c r="C34">
        <v>960</v>
      </c>
      <c r="D34">
        <v>47</v>
      </c>
      <c r="E34">
        <v>67</v>
      </c>
      <c r="F34">
        <v>153</v>
      </c>
      <c r="G34">
        <v>5.3</v>
      </c>
      <c r="H34">
        <v>25.6</v>
      </c>
      <c r="I34">
        <v>19.399999999999999</v>
      </c>
      <c r="J34">
        <v>22.2</v>
      </c>
      <c r="K34">
        <v>1471</v>
      </c>
      <c r="L34">
        <v>1</v>
      </c>
      <c r="M34" t="s">
        <v>67</v>
      </c>
    </row>
    <row r="35" spans="1:13" x14ac:dyDescent="0.3">
      <c r="A35" t="s">
        <v>16</v>
      </c>
      <c r="B35" t="s">
        <v>38</v>
      </c>
      <c r="C35">
        <v>4</v>
      </c>
      <c r="D35">
        <v>0</v>
      </c>
      <c r="E35">
        <v>0</v>
      </c>
      <c r="F35">
        <v>-1.7763568394002501E-15</v>
      </c>
      <c r="G35">
        <v>6.3</v>
      </c>
      <c r="H35">
        <v>22.8</v>
      </c>
      <c r="I35">
        <v>17.899999999999999</v>
      </c>
      <c r="J35">
        <v>24.1</v>
      </c>
      <c r="K35">
        <v>1434</v>
      </c>
      <c r="L35">
        <v>1</v>
      </c>
      <c r="M35" t="s">
        <v>67</v>
      </c>
    </row>
    <row r="36" spans="1:13" x14ac:dyDescent="0.3">
      <c r="A36" t="s">
        <v>17</v>
      </c>
      <c r="B36" t="s">
        <v>39</v>
      </c>
      <c r="C36">
        <v>768</v>
      </c>
      <c r="D36">
        <v>44</v>
      </c>
      <c r="E36">
        <v>62</v>
      </c>
      <c r="F36">
        <v>143</v>
      </c>
      <c r="G36">
        <v>5.5</v>
      </c>
      <c r="H36">
        <v>47.6</v>
      </c>
      <c r="I36">
        <v>19.2</v>
      </c>
      <c r="J36">
        <v>22.2</v>
      </c>
      <c r="K36">
        <v>1471</v>
      </c>
      <c r="L36">
        <v>1</v>
      </c>
      <c r="M36" t="s">
        <v>67</v>
      </c>
    </row>
    <row r="37" spans="1:13" x14ac:dyDescent="0.3">
      <c r="A37" t="s">
        <v>17</v>
      </c>
      <c r="B37" t="s">
        <v>39</v>
      </c>
      <c r="C37">
        <v>39</v>
      </c>
      <c r="D37">
        <v>1</v>
      </c>
      <c r="E37">
        <v>2</v>
      </c>
      <c r="F37">
        <v>6</v>
      </c>
      <c r="G37">
        <v>6.3</v>
      </c>
      <c r="H37">
        <v>27.1</v>
      </c>
      <c r="I37">
        <v>17.399999999999999</v>
      </c>
      <c r="J37">
        <v>24.1</v>
      </c>
      <c r="K37">
        <v>1434</v>
      </c>
      <c r="L37">
        <v>1</v>
      </c>
      <c r="M37" t="s">
        <v>67</v>
      </c>
    </row>
    <row r="38" spans="1:13" x14ac:dyDescent="0.3">
      <c r="A38" t="s">
        <v>17</v>
      </c>
      <c r="B38" t="s">
        <v>39</v>
      </c>
      <c r="C38">
        <v>18.000000000000011</v>
      </c>
      <c r="D38">
        <v>0</v>
      </c>
      <c r="E38">
        <v>1</v>
      </c>
      <c r="F38">
        <v>1.999999999999998</v>
      </c>
      <c r="G38">
        <v>5.5</v>
      </c>
      <c r="H38">
        <v>22.7</v>
      </c>
      <c r="I38">
        <v>20.8</v>
      </c>
      <c r="J38">
        <v>27.1</v>
      </c>
      <c r="K38">
        <v>2176</v>
      </c>
      <c r="L38">
        <v>1</v>
      </c>
      <c r="M38" t="s">
        <v>67</v>
      </c>
    </row>
    <row r="39" spans="1:13" x14ac:dyDescent="0.3">
      <c r="A39" t="s">
        <v>17</v>
      </c>
      <c r="B39" t="s">
        <v>39</v>
      </c>
      <c r="C39">
        <v>27</v>
      </c>
      <c r="D39">
        <v>1</v>
      </c>
      <c r="E39">
        <v>1</v>
      </c>
      <c r="F39">
        <v>5</v>
      </c>
      <c r="G39">
        <v>5.9</v>
      </c>
      <c r="H39">
        <v>20.399999999999999</v>
      </c>
      <c r="I39">
        <v>20.8</v>
      </c>
      <c r="J39">
        <v>27.1</v>
      </c>
      <c r="K39">
        <v>2176</v>
      </c>
      <c r="L39">
        <v>1</v>
      </c>
      <c r="M39" t="s">
        <v>67</v>
      </c>
    </row>
    <row r="40" spans="1:13" x14ac:dyDescent="0.3">
      <c r="A40" t="s">
        <v>17</v>
      </c>
      <c r="B40" t="s">
        <v>39</v>
      </c>
      <c r="C40">
        <v>13</v>
      </c>
      <c r="D40">
        <v>0</v>
      </c>
      <c r="E40">
        <v>0</v>
      </c>
      <c r="F40">
        <v>1.999999999999998</v>
      </c>
      <c r="G40">
        <v>5.4</v>
      </c>
      <c r="H40">
        <v>28</v>
      </c>
      <c r="I40">
        <v>19.899999999999999</v>
      </c>
      <c r="J40">
        <v>25.9</v>
      </c>
      <c r="K40">
        <v>2193</v>
      </c>
      <c r="L40">
        <v>1</v>
      </c>
      <c r="M40" t="s">
        <v>67</v>
      </c>
    </row>
    <row r="41" spans="1:13" x14ac:dyDescent="0.3">
      <c r="A41" t="s">
        <v>17</v>
      </c>
      <c r="B41" t="s">
        <v>39</v>
      </c>
      <c r="C41">
        <v>19</v>
      </c>
      <c r="D41">
        <v>0</v>
      </c>
      <c r="E41">
        <v>1</v>
      </c>
      <c r="F41">
        <v>3</v>
      </c>
      <c r="G41">
        <v>5.4</v>
      </c>
      <c r="H41">
        <v>25.8</v>
      </c>
      <c r="I41">
        <v>20.2</v>
      </c>
      <c r="J41">
        <v>22.1</v>
      </c>
      <c r="K41">
        <v>2088</v>
      </c>
      <c r="L41">
        <v>1</v>
      </c>
      <c r="M41" t="s">
        <v>67</v>
      </c>
    </row>
    <row r="42" spans="1:13" x14ac:dyDescent="0.3">
      <c r="A42" t="s">
        <v>17</v>
      </c>
      <c r="B42" t="s">
        <v>39</v>
      </c>
      <c r="C42">
        <v>13</v>
      </c>
      <c r="D42">
        <v>0</v>
      </c>
      <c r="E42">
        <v>0</v>
      </c>
      <c r="F42">
        <v>1.999999999999998</v>
      </c>
      <c r="G42">
        <v>5.0999999999999996</v>
      </c>
      <c r="H42">
        <v>26.9</v>
      </c>
      <c r="I42">
        <v>20.7</v>
      </c>
      <c r="J42">
        <v>22.1</v>
      </c>
      <c r="K42">
        <v>2088</v>
      </c>
      <c r="L42">
        <v>1</v>
      </c>
      <c r="M42" t="s">
        <v>67</v>
      </c>
    </row>
    <row r="43" spans="1:13" x14ac:dyDescent="0.3">
      <c r="A43" t="s">
        <v>17</v>
      </c>
      <c r="B43" t="s">
        <v>39</v>
      </c>
      <c r="C43">
        <v>130</v>
      </c>
      <c r="D43">
        <v>6</v>
      </c>
      <c r="E43">
        <v>9</v>
      </c>
      <c r="F43">
        <v>20</v>
      </c>
      <c r="G43">
        <v>5.2</v>
      </c>
      <c r="H43">
        <v>19.7</v>
      </c>
      <c r="I43">
        <v>19.3</v>
      </c>
      <c r="J43">
        <v>20.3</v>
      </c>
      <c r="K43">
        <v>1894</v>
      </c>
      <c r="L43">
        <v>1</v>
      </c>
      <c r="M43" t="s">
        <v>67</v>
      </c>
    </row>
    <row r="44" spans="1:13" x14ac:dyDescent="0.3">
      <c r="A44" t="s">
        <v>18</v>
      </c>
      <c r="B44" t="s">
        <v>40</v>
      </c>
      <c r="C44">
        <v>24</v>
      </c>
      <c r="D44">
        <v>1</v>
      </c>
      <c r="E44">
        <v>1</v>
      </c>
      <c r="F44">
        <v>3</v>
      </c>
      <c r="G44">
        <v>5.7</v>
      </c>
      <c r="H44">
        <v>23.2</v>
      </c>
      <c r="I44">
        <v>20.100000000000001</v>
      </c>
      <c r="J44">
        <v>20.3</v>
      </c>
      <c r="K44">
        <v>1894</v>
      </c>
      <c r="L44">
        <v>1</v>
      </c>
      <c r="M44" t="s">
        <v>67</v>
      </c>
    </row>
    <row r="45" spans="1:13" x14ac:dyDescent="0.3">
      <c r="A45" t="s">
        <v>18</v>
      </c>
      <c r="B45" t="s">
        <v>40</v>
      </c>
      <c r="C45">
        <v>125</v>
      </c>
      <c r="D45">
        <v>6</v>
      </c>
      <c r="E45">
        <v>8</v>
      </c>
      <c r="F45">
        <v>20</v>
      </c>
      <c r="G45">
        <v>6.2</v>
      </c>
      <c r="H45">
        <v>30.9</v>
      </c>
      <c r="I45">
        <v>20.9</v>
      </c>
      <c r="J45">
        <v>20.9</v>
      </c>
      <c r="K45">
        <v>1681</v>
      </c>
      <c r="L45">
        <v>1</v>
      </c>
      <c r="M45" t="s">
        <v>67</v>
      </c>
    </row>
    <row r="46" spans="1:13" x14ac:dyDescent="0.3">
      <c r="A46" t="s">
        <v>18</v>
      </c>
      <c r="B46" t="s">
        <v>40</v>
      </c>
      <c r="C46">
        <v>135</v>
      </c>
      <c r="D46">
        <v>6</v>
      </c>
      <c r="E46">
        <v>9</v>
      </c>
      <c r="F46">
        <v>21</v>
      </c>
      <c r="G46">
        <v>6.1</v>
      </c>
      <c r="H46">
        <v>27.6</v>
      </c>
      <c r="I46">
        <v>21.5</v>
      </c>
      <c r="J46">
        <v>20.9</v>
      </c>
      <c r="K46">
        <v>1681</v>
      </c>
      <c r="L46">
        <v>1</v>
      </c>
      <c r="M46" t="s">
        <v>67</v>
      </c>
    </row>
    <row r="47" spans="1:13" x14ac:dyDescent="0.3">
      <c r="A47" t="s">
        <v>18</v>
      </c>
      <c r="B47" t="s">
        <v>40</v>
      </c>
      <c r="C47">
        <v>126</v>
      </c>
      <c r="D47">
        <v>6</v>
      </c>
      <c r="E47">
        <v>8</v>
      </c>
      <c r="F47">
        <v>20</v>
      </c>
      <c r="G47">
        <v>4.9000000000000004</v>
      </c>
      <c r="H47">
        <v>54.4</v>
      </c>
      <c r="I47">
        <v>20</v>
      </c>
      <c r="J47">
        <v>20.9</v>
      </c>
      <c r="K47">
        <v>1675</v>
      </c>
      <c r="L47">
        <v>1</v>
      </c>
      <c r="M47" t="s">
        <v>67</v>
      </c>
    </row>
    <row r="48" spans="1:13" x14ac:dyDescent="0.3">
      <c r="A48" t="s">
        <v>18</v>
      </c>
      <c r="B48" t="s">
        <v>41</v>
      </c>
      <c r="C48">
        <v>120</v>
      </c>
      <c r="D48">
        <v>6</v>
      </c>
      <c r="E48">
        <v>8</v>
      </c>
      <c r="F48">
        <v>19</v>
      </c>
      <c r="G48">
        <v>4.3</v>
      </c>
      <c r="H48">
        <v>56.7</v>
      </c>
      <c r="I48">
        <v>19.899999999999999</v>
      </c>
      <c r="J48">
        <v>20.9</v>
      </c>
      <c r="K48">
        <v>1675</v>
      </c>
      <c r="L48">
        <v>1</v>
      </c>
      <c r="M48" t="s">
        <v>67</v>
      </c>
    </row>
    <row r="49" spans="1:13" x14ac:dyDescent="0.3">
      <c r="A49" t="s">
        <v>18</v>
      </c>
      <c r="B49" t="s">
        <v>41</v>
      </c>
      <c r="C49">
        <v>50</v>
      </c>
      <c r="D49">
        <v>2</v>
      </c>
      <c r="E49">
        <v>3</v>
      </c>
      <c r="F49">
        <v>8</v>
      </c>
      <c r="G49">
        <v>5.8</v>
      </c>
      <c r="H49">
        <v>31</v>
      </c>
      <c r="I49">
        <v>19.7</v>
      </c>
      <c r="J49">
        <v>20.5</v>
      </c>
      <c r="K49">
        <v>1779</v>
      </c>
      <c r="L49">
        <v>1</v>
      </c>
      <c r="M49" t="s">
        <v>67</v>
      </c>
    </row>
    <row r="50" spans="1:13" x14ac:dyDescent="0.3">
      <c r="A50" t="s">
        <v>18</v>
      </c>
      <c r="B50" t="s">
        <v>42</v>
      </c>
      <c r="C50">
        <v>64</v>
      </c>
      <c r="D50">
        <v>3</v>
      </c>
      <c r="E50">
        <v>4</v>
      </c>
      <c r="F50">
        <v>10</v>
      </c>
      <c r="G50">
        <v>5.8</v>
      </c>
      <c r="H50">
        <v>43</v>
      </c>
      <c r="I50">
        <v>20</v>
      </c>
      <c r="J50">
        <v>20.5</v>
      </c>
      <c r="K50">
        <v>1779</v>
      </c>
      <c r="L50">
        <v>1</v>
      </c>
      <c r="M50" t="s">
        <v>67</v>
      </c>
    </row>
    <row r="51" spans="1:13" x14ac:dyDescent="0.3">
      <c r="A51" t="s">
        <v>18</v>
      </c>
      <c r="B51" t="s">
        <v>42</v>
      </c>
      <c r="C51">
        <v>54</v>
      </c>
      <c r="D51">
        <v>2</v>
      </c>
      <c r="E51">
        <v>3</v>
      </c>
      <c r="F51">
        <v>8</v>
      </c>
      <c r="G51">
        <v>5.5</v>
      </c>
      <c r="H51">
        <v>22.2</v>
      </c>
      <c r="I51">
        <v>21.4</v>
      </c>
      <c r="J51">
        <v>29.7</v>
      </c>
      <c r="K51">
        <v>1709</v>
      </c>
      <c r="L51">
        <v>1</v>
      </c>
      <c r="M51" t="s">
        <v>67</v>
      </c>
    </row>
    <row r="52" spans="1:13" x14ac:dyDescent="0.3">
      <c r="A52" t="s">
        <v>18</v>
      </c>
      <c r="B52" t="s">
        <v>42</v>
      </c>
      <c r="C52">
        <v>49</v>
      </c>
      <c r="D52">
        <v>2</v>
      </c>
      <c r="E52">
        <v>3</v>
      </c>
      <c r="F52">
        <v>7</v>
      </c>
      <c r="G52">
        <v>5.5</v>
      </c>
      <c r="H52">
        <v>19.3</v>
      </c>
      <c r="I52">
        <v>23.5</v>
      </c>
      <c r="J52">
        <v>27</v>
      </c>
      <c r="K52">
        <v>1597</v>
      </c>
      <c r="L52">
        <v>1</v>
      </c>
      <c r="M52" t="s">
        <v>67</v>
      </c>
    </row>
    <row r="53" spans="1:13" x14ac:dyDescent="0.3">
      <c r="A53" t="s">
        <v>18</v>
      </c>
      <c r="B53" t="s">
        <v>42</v>
      </c>
      <c r="C53">
        <v>32</v>
      </c>
      <c r="D53">
        <v>1</v>
      </c>
      <c r="E53">
        <v>2</v>
      </c>
      <c r="F53">
        <v>5</v>
      </c>
      <c r="G53">
        <v>5.8</v>
      </c>
      <c r="H53">
        <v>29.3</v>
      </c>
      <c r="I53">
        <v>22.7</v>
      </c>
      <c r="J53">
        <v>27</v>
      </c>
      <c r="K53">
        <v>1597</v>
      </c>
      <c r="L53">
        <v>1</v>
      </c>
      <c r="M53" t="s">
        <v>67</v>
      </c>
    </row>
    <row r="54" spans="1:13" x14ac:dyDescent="0.3">
      <c r="A54" t="s">
        <v>18</v>
      </c>
      <c r="B54" t="s">
        <v>42</v>
      </c>
      <c r="C54">
        <v>34</v>
      </c>
      <c r="D54">
        <v>1</v>
      </c>
      <c r="E54">
        <v>2</v>
      </c>
      <c r="F54">
        <v>5</v>
      </c>
      <c r="G54">
        <v>5.5</v>
      </c>
      <c r="H54">
        <v>25.7</v>
      </c>
      <c r="I54">
        <v>20.6</v>
      </c>
      <c r="J54">
        <v>26</v>
      </c>
      <c r="K54">
        <v>1866</v>
      </c>
      <c r="L54">
        <v>1</v>
      </c>
      <c r="M54" t="s">
        <v>67</v>
      </c>
    </row>
    <row r="55" spans="1:13" x14ac:dyDescent="0.3">
      <c r="A55" t="s">
        <v>18</v>
      </c>
      <c r="B55" t="s">
        <v>42</v>
      </c>
      <c r="C55">
        <v>6</v>
      </c>
      <c r="D55">
        <v>0</v>
      </c>
      <c r="E55">
        <v>0</v>
      </c>
      <c r="F55">
        <v>-1.7763568394002501E-15</v>
      </c>
      <c r="G55">
        <v>5.9</v>
      </c>
      <c r="H55">
        <v>22.1</v>
      </c>
      <c r="I55">
        <v>21</v>
      </c>
      <c r="J55">
        <v>26</v>
      </c>
      <c r="K55">
        <v>1866</v>
      </c>
      <c r="L55">
        <v>1</v>
      </c>
      <c r="M55" t="s">
        <v>67</v>
      </c>
    </row>
    <row r="56" spans="1:13" x14ac:dyDescent="0.3">
      <c r="A56" t="s">
        <v>18</v>
      </c>
      <c r="B56" t="s">
        <v>42</v>
      </c>
      <c r="C56">
        <v>27</v>
      </c>
      <c r="D56">
        <v>1</v>
      </c>
      <c r="E56">
        <v>1</v>
      </c>
      <c r="F56">
        <v>4</v>
      </c>
      <c r="G56">
        <v>5.4</v>
      </c>
      <c r="H56">
        <v>30</v>
      </c>
      <c r="I56">
        <v>18.899999999999999</v>
      </c>
      <c r="J56">
        <v>26</v>
      </c>
      <c r="K56">
        <v>1870</v>
      </c>
      <c r="L56">
        <v>1</v>
      </c>
      <c r="M56" t="s">
        <v>67</v>
      </c>
    </row>
    <row r="57" spans="1:13" x14ac:dyDescent="0.3">
      <c r="A57" t="s">
        <v>18</v>
      </c>
      <c r="B57" t="s">
        <v>42</v>
      </c>
      <c r="C57">
        <v>32</v>
      </c>
      <c r="D57">
        <v>1</v>
      </c>
      <c r="E57">
        <v>2</v>
      </c>
      <c r="F57">
        <v>5</v>
      </c>
      <c r="G57">
        <v>5.4</v>
      </c>
      <c r="H57">
        <v>25.8</v>
      </c>
      <c r="I57">
        <v>19.100000000000001</v>
      </c>
      <c r="J57">
        <v>26</v>
      </c>
      <c r="K57">
        <v>1870</v>
      </c>
      <c r="L57">
        <v>1</v>
      </c>
      <c r="M57" t="s">
        <v>67</v>
      </c>
    </row>
    <row r="58" spans="1:13" x14ac:dyDescent="0.3">
      <c r="A58" t="s">
        <v>18</v>
      </c>
      <c r="B58" t="s">
        <v>41</v>
      </c>
      <c r="C58">
        <v>0</v>
      </c>
      <c r="D58">
        <v>0</v>
      </c>
      <c r="E58">
        <v>0</v>
      </c>
      <c r="F58">
        <v>-1.7763568394002501E-15</v>
      </c>
      <c r="G58">
        <v>7</v>
      </c>
      <c r="H58">
        <v>13.9</v>
      </c>
      <c r="I58">
        <v>37.799999999999997</v>
      </c>
      <c r="J58">
        <v>32.6</v>
      </c>
      <c r="K58">
        <v>1763</v>
      </c>
      <c r="L58">
        <v>1</v>
      </c>
      <c r="M58" t="s">
        <v>67</v>
      </c>
    </row>
    <row r="59" spans="1:13" x14ac:dyDescent="0.3">
      <c r="A59" t="s">
        <v>18</v>
      </c>
      <c r="B59" t="s">
        <v>41</v>
      </c>
      <c r="C59">
        <v>0</v>
      </c>
      <c r="D59">
        <v>0</v>
      </c>
      <c r="E59">
        <v>0</v>
      </c>
      <c r="F59">
        <v>-1.7763568394002501E-15</v>
      </c>
      <c r="G59">
        <v>6.2</v>
      </c>
      <c r="H59">
        <v>22.3</v>
      </c>
      <c r="I59">
        <v>30.3</v>
      </c>
      <c r="J59">
        <v>34.5</v>
      </c>
      <c r="K59">
        <v>1816</v>
      </c>
      <c r="L59">
        <v>1</v>
      </c>
      <c r="M59" t="s">
        <v>67</v>
      </c>
    </row>
    <row r="60" spans="1:13" x14ac:dyDescent="0.3">
      <c r="A60" t="s">
        <v>18</v>
      </c>
      <c r="B60" t="s">
        <v>41</v>
      </c>
      <c r="C60">
        <v>6</v>
      </c>
      <c r="D60">
        <v>0</v>
      </c>
      <c r="E60">
        <v>0</v>
      </c>
      <c r="F60">
        <v>-1.7763568394002501E-15</v>
      </c>
      <c r="G60">
        <v>6.3</v>
      </c>
      <c r="H60">
        <v>23.4</v>
      </c>
      <c r="I60">
        <v>28.4</v>
      </c>
      <c r="J60">
        <v>34.5</v>
      </c>
      <c r="K60">
        <v>1816</v>
      </c>
      <c r="L60">
        <v>1</v>
      </c>
      <c r="M60" t="s">
        <v>67</v>
      </c>
    </row>
    <row r="61" spans="1:13" x14ac:dyDescent="0.3">
      <c r="A61" t="s">
        <v>18</v>
      </c>
      <c r="B61" t="s">
        <v>41</v>
      </c>
      <c r="C61">
        <v>12</v>
      </c>
      <c r="D61">
        <v>0</v>
      </c>
      <c r="E61">
        <v>0</v>
      </c>
      <c r="F61">
        <v>0.99999999999999822</v>
      </c>
      <c r="G61">
        <v>6</v>
      </c>
      <c r="H61">
        <v>18.8</v>
      </c>
      <c r="I61">
        <v>18.7</v>
      </c>
      <c r="J61">
        <v>19.2</v>
      </c>
      <c r="K61">
        <v>1839</v>
      </c>
      <c r="L61">
        <v>1</v>
      </c>
      <c r="M61" t="s">
        <v>67</v>
      </c>
    </row>
    <row r="62" spans="1:13" x14ac:dyDescent="0.3">
      <c r="A62" t="s">
        <v>18</v>
      </c>
      <c r="B62" t="s">
        <v>43</v>
      </c>
      <c r="C62">
        <v>30</v>
      </c>
      <c r="D62">
        <v>1</v>
      </c>
      <c r="E62">
        <v>2</v>
      </c>
      <c r="F62">
        <v>4</v>
      </c>
      <c r="G62">
        <v>5.8</v>
      </c>
      <c r="H62">
        <v>31.6</v>
      </c>
      <c r="I62">
        <v>27.7</v>
      </c>
      <c r="J62">
        <v>19.2</v>
      </c>
      <c r="K62">
        <v>1839</v>
      </c>
      <c r="L62">
        <v>1</v>
      </c>
      <c r="M62" t="s">
        <v>67</v>
      </c>
    </row>
    <row r="63" spans="1:13" x14ac:dyDescent="0.3">
      <c r="A63" t="s">
        <v>18</v>
      </c>
      <c r="B63" t="s">
        <v>43</v>
      </c>
      <c r="C63">
        <v>32</v>
      </c>
      <c r="D63">
        <v>1</v>
      </c>
      <c r="E63">
        <v>2</v>
      </c>
      <c r="F63">
        <v>4</v>
      </c>
      <c r="G63">
        <v>6.2</v>
      </c>
      <c r="H63">
        <v>23.5</v>
      </c>
      <c r="I63">
        <v>23.1</v>
      </c>
      <c r="J63">
        <v>19.2</v>
      </c>
      <c r="K63">
        <v>1839</v>
      </c>
      <c r="L63">
        <v>1</v>
      </c>
      <c r="M63" t="s">
        <v>67</v>
      </c>
    </row>
    <row r="64" spans="1:13" x14ac:dyDescent="0.3">
      <c r="A64" t="s">
        <v>18</v>
      </c>
      <c r="B64" t="s">
        <v>43</v>
      </c>
      <c r="C64">
        <v>25</v>
      </c>
      <c r="D64">
        <v>1</v>
      </c>
      <c r="E64">
        <v>1</v>
      </c>
      <c r="F64">
        <v>4</v>
      </c>
      <c r="G64">
        <v>6.3</v>
      </c>
      <c r="H64">
        <v>25.9</v>
      </c>
      <c r="I64">
        <v>25.1</v>
      </c>
      <c r="J64">
        <v>19.2</v>
      </c>
      <c r="K64">
        <v>1839</v>
      </c>
      <c r="L64">
        <v>1</v>
      </c>
      <c r="M64" t="s">
        <v>67</v>
      </c>
    </row>
    <row r="65" spans="1:13" x14ac:dyDescent="0.3">
      <c r="A65" t="s">
        <v>18</v>
      </c>
      <c r="B65" t="s">
        <v>43</v>
      </c>
      <c r="C65">
        <v>58</v>
      </c>
      <c r="D65">
        <v>2</v>
      </c>
      <c r="E65">
        <v>3</v>
      </c>
      <c r="F65">
        <v>8</v>
      </c>
      <c r="G65">
        <v>5.8</v>
      </c>
      <c r="H65">
        <v>57</v>
      </c>
      <c r="I65">
        <v>22.1</v>
      </c>
      <c r="J65">
        <v>19.2</v>
      </c>
      <c r="K65">
        <v>1941</v>
      </c>
      <c r="L65">
        <v>1</v>
      </c>
      <c r="M65" t="s">
        <v>67</v>
      </c>
    </row>
    <row r="66" spans="1:13" x14ac:dyDescent="0.3">
      <c r="A66" t="s">
        <v>19</v>
      </c>
      <c r="B66" t="s">
        <v>44</v>
      </c>
      <c r="C66">
        <v>41</v>
      </c>
      <c r="D66">
        <v>1</v>
      </c>
      <c r="E66">
        <v>2</v>
      </c>
      <c r="F66">
        <v>5</v>
      </c>
      <c r="G66">
        <v>5.5</v>
      </c>
      <c r="H66">
        <v>37</v>
      </c>
      <c r="I66">
        <v>26.1</v>
      </c>
      <c r="J66">
        <v>19.2</v>
      </c>
      <c r="K66">
        <v>1941</v>
      </c>
      <c r="L66">
        <v>1</v>
      </c>
      <c r="M66" t="s">
        <v>67</v>
      </c>
    </row>
    <row r="67" spans="1:13" x14ac:dyDescent="0.3">
      <c r="A67" t="s">
        <v>19</v>
      </c>
      <c r="B67" t="s">
        <v>44</v>
      </c>
      <c r="C67">
        <v>14.999999999999989</v>
      </c>
      <c r="D67">
        <v>0</v>
      </c>
      <c r="E67">
        <v>1</v>
      </c>
      <c r="F67">
        <v>1.999999999999998</v>
      </c>
      <c r="G67">
        <v>6.1</v>
      </c>
      <c r="H67">
        <v>43</v>
      </c>
      <c r="I67">
        <v>20.3</v>
      </c>
      <c r="J67">
        <v>19.2</v>
      </c>
      <c r="K67">
        <v>1941</v>
      </c>
      <c r="L67">
        <v>1</v>
      </c>
      <c r="M67" t="s">
        <v>67</v>
      </c>
    </row>
    <row r="68" spans="1:13" x14ac:dyDescent="0.3">
      <c r="A68" t="s">
        <v>19</v>
      </c>
      <c r="B68" t="s">
        <v>44</v>
      </c>
      <c r="C68">
        <v>43.000000000000007</v>
      </c>
      <c r="D68">
        <v>2</v>
      </c>
      <c r="E68">
        <v>2</v>
      </c>
      <c r="F68">
        <v>6</v>
      </c>
      <c r="G68">
        <v>4.8</v>
      </c>
      <c r="H68">
        <v>34.5</v>
      </c>
      <c r="I68">
        <v>18.399999999999999</v>
      </c>
      <c r="J68">
        <v>19.2</v>
      </c>
      <c r="K68">
        <v>1960</v>
      </c>
      <c r="L68">
        <v>1</v>
      </c>
      <c r="M68" t="s">
        <v>67</v>
      </c>
    </row>
    <row r="69" spans="1:13" x14ac:dyDescent="0.3">
      <c r="A69" t="s">
        <v>19</v>
      </c>
      <c r="B69" t="s">
        <v>44</v>
      </c>
      <c r="C69">
        <v>40</v>
      </c>
      <c r="D69">
        <v>1</v>
      </c>
      <c r="E69">
        <v>2</v>
      </c>
      <c r="F69">
        <v>6</v>
      </c>
      <c r="G69">
        <v>6</v>
      </c>
      <c r="H69">
        <v>25.6</v>
      </c>
      <c r="I69">
        <v>20.3</v>
      </c>
      <c r="J69">
        <v>19.2</v>
      </c>
      <c r="K69">
        <v>1960</v>
      </c>
      <c r="L69">
        <v>1</v>
      </c>
      <c r="M69" t="s">
        <v>67</v>
      </c>
    </row>
    <row r="70" spans="1:13" x14ac:dyDescent="0.3">
      <c r="A70" t="s">
        <v>19</v>
      </c>
      <c r="B70" t="s">
        <v>44</v>
      </c>
      <c r="C70">
        <v>21</v>
      </c>
      <c r="D70">
        <v>1</v>
      </c>
      <c r="E70">
        <v>1</v>
      </c>
      <c r="F70">
        <v>3</v>
      </c>
      <c r="G70">
        <v>6</v>
      </c>
      <c r="H70">
        <v>20.100000000000001</v>
      </c>
      <c r="I70">
        <v>20.3</v>
      </c>
      <c r="J70">
        <v>19.2</v>
      </c>
      <c r="K70">
        <v>1960</v>
      </c>
      <c r="L70">
        <v>1</v>
      </c>
      <c r="M70" t="s">
        <v>67</v>
      </c>
    </row>
    <row r="71" spans="1:13" x14ac:dyDescent="0.3">
      <c r="A71" t="s">
        <v>19</v>
      </c>
      <c r="B71" t="s">
        <v>44</v>
      </c>
      <c r="C71">
        <v>30</v>
      </c>
      <c r="D71">
        <v>1</v>
      </c>
      <c r="E71">
        <v>2</v>
      </c>
      <c r="F71">
        <v>4</v>
      </c>
      <c r="G71">
        <v>6</v>
      </c>
      <c r="H71">
        <v>20.9</v>
      </c>
      <c r="I71">
        <v>20</v>
      </c>
      <c r="J71">
        <v>19.2</v>
      </c>
      <c r="K71">
        <v>1960</v>
      </c>
      <c r="L71">
        <v>1</v>
      </c>
      <c r="M71" t="s">
        <v>67</v>
      </c>
    </row>
    <row r="72" spans="1:13" x14ac:dyDescent="0.3">
      <c r="A72" t="s">
        <v>19</v>
      </c>
      <c r="B72" t="s">
        <v>44</v>
      </c>
      <c r="C72">
        <v>38</v>
      </c>
      <c r="D72">
        <v>1</v>
      </c>
      <c r="E72">
        <v>2</v>
      </c>
      <c r="F72">
        <v>6</v>
      </c>
      <c r="G72">
        <v>6.2</v>
      </c>
      <c r="H72">
        <v>18.7</v>
      </c>
      <c r="I72">
        <v>18.2</v>
      </c>
      <c r="J72">
        <v>30</v>
      </c>
      <c r="K72">
        <v>2257</v>
      </c>
      <c r="L72">
        <v>1</v>
      </c>
      <c r="M72" t="s">
        <v>67</v>
      </c>
    </row>
    <row r="73" spans="1:13" x14ac:dyDescent="0.3">
      <c r="A73" t="s">
        <v>19</v>
      </c>
      <c r="B73" t="s">
        <v>44</v>
      </c>
      <c r="C73">
        <v>12</v>
      </c>
      <c r="D73">
        <v>0</v>
      </c>
      <c r="E73">
        <v>0</v>
      </c>
      <c r="F73">
        <v>0.99999999999999822</v>
      </c>
      <c r="G73">
        <v>6.4</v>
      </c>
      <c r="H73">
        <v>25.9</v>
      </c>
      <c r="I73">
        <v>18.8</v>
      </c>
      <c r="J73">
        <v>30</v>
      </c>
      <c r="K73">
        <v>2257</v>
      </c>
      <c r="L73">
        <v>1</v>
      </c>
      <c r="M73" t="s">
        <v>67</v>
      </c>
    </row>
    <row r="74" spans="1:13" x14ac:dyDescent="0.3">
      <c r="A74" t="s">
        <v>19</v>
      </c>
      <c r="B74" t="s">
        <v>44</v>
      </c>
      <c r="C74">
        <v>54</v>
      </c>
      <c r="D74">
        <v>2</v>
      </c>
      <c r="E74">
        <v>3</v>
      </c>
      <c r="F74">
        <v>8</v>
      </c>
      <c r="G74">
        <v>6.2</v>
      </c>
      <c r="H74">
        <v>24.4</v>
      </c>
      <c r="I74">
        <v>19</v>
      </c>
      <c r="J74">
        <v>30</v>
      </c>
      <c r="K74">
        <v>2239</v>
      </c>
      <c r="L74">
        <v>1</v>
      </c>
      <c r="M74" t="s">
        <v>67</v>
      </c>
    </row>
    <row r="75" spans="1:13" x14ac:dyDescent="0.3">
      <c r="A75" t="s">
        <v>19</v>
      </c>
      <c r="B75" t="s">
        <v>44</v>
      </c>
      <c r="C75">
        <v>46</v>
      </c>
      <c r="D75">
        <v>2</v>
      </c>
      <c r="E75">
        <v>3</v>
      </c>
      <c r="F75">
        <v>7</v>
      </c>
      <c r="G75">
        <v>6.1</v>
      </c>
      <c r="H75">
        <v>23.5</v>
      </c>
      <c r="I75">
        <v>19.5</v>
      </c>
      <c r="J75">
        <v>30</v>
      </c>
      <c r="K75">
        <v>2239</v>
      </c>
      <c r="L75">
        <v>1</v>
      </c>
      <c r="M75" t="s">
        <v>67</v>
      </c>
    </row>
    <row r="76" spans="1:13" x14ac:dyDescent="0.3">
      <c r="A76" t="s">
        <v>19</v>
      </c>
      <c r="B76" t="s">
        <v>44</v>
      </c>
      <c r="C76">
        <v>29</v>
      </c>
      <c r="D76">
        <v>1</v>
      </c>
      <c r="E76">
        <v>2</v>
      </c>
      <c r="F76">
        <v>4</v>
      </c>
      <c r="G76">
        <v>5.9</v>
      </c>
      <c r="H76">
        <v>22.1</v>
      </c>
      <c r="I76">
        <v>16.899999999999999</v>
      </c>
      <c r="J76">
        <v>21</v>
      </c>
      <c r="K76">
        <v>1751</v>
      </c>
      <c r="L76">
        <v>1</v>
      </c>
      <c r="M76" t="s">
        <v>67</v>
      </c>
    </row>
    <row r="77" spans="1:13" x14ac:dyDescent="0.3">
      <c r="A77" t="s">
        <v>19</v>
      </c>
      <c r="B77" t="s">
        <v>44</v>
      </c>
      <c r="C77">
        <v>40</v>
      </c>
      <c r="D77">
        <v>1</v>
      </c>
      <c r="E77">
        <v>2</v>
      </c>
      <c r="F77">
        <v>6</v>
      </c>
      <c r="G77">
        <v>5.5</v>
      </c>
      <c r="H77">
        <v>29.3</v>
      </c>
      <c r="I77">
        <v>17</v>
      </c>
      <c r="J77">
        <v>21</v>
      </c>
      <c r="K77">
        <v>1751</v>
      </c>
      <c r="L77">
        <v>1</v>
      </c>
      <c r="M77" t="s">
        <v>67</v>
      </c>
    </row>
    <row r="78" spans="1:13" x14ac:dyDescent="0.3">
      <c r="A78" t="s">
        <v>19</v>
      </c>
      <c r="B78" t="s">
        <v>44</v>
      </c>
      <c r="C78">
        <v>30</v>
      </c>
      <c r="D78">
        <v>1</v>
      </c>
      <c r="E78">
        <v>2</v>
      </c>
      <c r="F78">
        <v>4</v>
      </c>
      <c r="G78">
        <v>5.4</v>
      </c>
      <c r="H78">
        <v>33.4</v>
      </c>
      <c r="I78">
        <v>17.399999999999999</v>
      </c>
      <c r="J78">
        <v>21</v>
      </c>
      <c r="K78">
        <v>1751</v>
      </c>
      <c r="L78">
        <v>1</v>
      </c>
      <c r="M78" t="s">
        <v>67</v>
      </c>
    </row>
    <row r="79" spans="1:13" x14ac:dyDescent="0.3">
      <c r="A79" t="s">
        <v>19</v>
      </c>
      <c r="B79" t="s">
        <v>44</v>
      </c>
      <c r="C79">
        <v>20</v>
      </c>
      <c r="D79">
        <v>1</v>
      </c>
      <c r="E79">
        <v>1</v>
      </c>
      <c r="F79">
        <v>3</v>
      </c>
      <c r="G79">
        <v>6.2</v>
      </c>
      <c r="H79">
        <v>15.4</v>
      </c>
      <c r="I79">
        <v>26.1</v>
      </c>
      <c r="J79">
        <v>24</v>
      </c>
      <c r="K79">
        <v>1320</v>
      </c>
      <c r="L79">
        <v>0</v>
      </c>
      <c r="M79" t="s">
        <v>67</v>
      </c>
    </row>
    <row r="80" spans="1:13" x14ac:dyDescent="0.3">
      <c r="A80" t="s">
        <v>19</v>
      </c>
      <c r="B80" t="s">
        <v>44</v>
      </c>
      <c r="C80">
        <v>23</v>
      </c>
      <c r="D80">
        <v>1</v>
      </c>
      <c r="E80">
        <v>1</v>
      </c>
      <c r="F80">
        <v>3</v>
      </c>
      <c r="G80">
        <v>6.5</v>
      </c>
      <c r="H80">
        <v>19.2</v>
      </c>
      <c r="I80">
        <v>27</v>
      </c>
      <c r="J80">
        <v>24</v>
      </c>
      <c r="K80">
        <v>1320</v>
      </c>
      <c r="L80">
        <v>0</v>
      </c>
      <c r="M80" t="s">
        <v>67</v>
      </c>
    </row>
    <row r="81" spans="1:13" x14ac:dyDescent="0.3">
      <c r="A81" t="s">
        <v>19</v>
      </c>
      <c r="B81" t="s">
        <v>44</v>
      </c>
      <c r="C81">
        <v>19</v>
      </c>
      <c r="D81">
        <v>0</v>
      </c>
      <c r="E81">
        <v>1</v>
      </c>
      <c r="F81">
        <v>3</v>
      </c>
      <c r="G81">
        <v>5.2</v>
      </c>
      <c r="H81">
        <v>14.5</v>
      </c>
      <c r="I81">
        <v>31.4</v>
      </c>
      <c r="J81">
        <v>24</v>
      </c>
      <c r="K81">
        <v>1320</v>
      </c>
      <c r="L81">
        <v>0</v>
      </c>
      <c r="M81" t="s">
        <v>67</v>
      </c>
    </row>
    <row r="82" spans="1:13" x14ac:dyDescent="0.3">
      <c r="A82" t="s">
        <v>19</v>
      </c>
      <c r="B82" t="s">
        <v>45</v>
      </c>
      <c r="C82">
        <v>20</v>
      </c>
      <c r="D82">
        <v>1</v>
      </c>
      <c r="E82">
        <v>1</v>
      </c>
      <c r="F82">
        <v>3</v>
      </c>
      <c r="G82">
        <v>6.2</v>
      </c>
      <c r="H82">
        <v>19</v>
      </c>
      <c r="I82">
        <v>31.4</v>
      </c>
      <c r="J82">
        <v>24</v>
      </c>
      <c r="K82">
        <v>1320</v>
      </c>
      <c r="L82">
        <v>0</v>
      </c>
      <c r="M82" t="s">
        <v>67</v>
      </c>
    </row>
    <row r="83" spans="1:13" x14ac:dyDescent="0.3">
      <c r="A83" t="s">
        <v>19</v>
      </c>
      <c r="B83" t="s">
        <v>45</v>
      </c>
      <c r="C83">
        <v>55</v>
      </c>
      <c r="D83">
        <v>2</v>
      </c>
      <c r="E83">
        <v>3</v>
      </c>
      <c r="F83">
        <v>8</v>
      </c>
      <c r="G83">
        <v>6.1</v>
      </c>
      <c r="H83">
        <v>38.4</v>
      </c>
      <c r="I83">
        <v>26.3</v>
      </c>
      <c r="J83">
        <v>27.1</v>
      </c>
      <c r="K83">
        <v>1485</v>
      </c>
      <c r="L83">
        <v>1</v>
      </c>
      <c r="M83" t="s">
        <v>67</v>
      </c>
    </row>
    <row r="84" spans="1:13" x14ac:dyDescent="0.3">
      <c r="A84" t="s">
        <v>19</v>
      </c>
      <c r="B84" t="s">
        <v>45</v>
      </c>
      <c r="C84">
        <v>14.999999999999989</v>
      </c>
      <c r="D84">
        <v>0</v>
      </c>
      <c r="E84">
        <v>1</v>
      </c>
      <c r="F84">
        <v>1.999999999999998</v>
      </c>
      <c r="G84">
        <v>6.1</v>
      </c>
      <c r="H84">
        <v>36.6</v>
      </c>
      <c r="I84">
        <v>23.6</v>
      </c>
      <c r="J84">
        <v>27.1</v>
      </c>
      <c r="K84">
        <v>1485</v>
      </c>
      <c r="L84">
        <v>1</v>
      </c>
      <c r="M84" t="s">
        <v>67</v>
      </c>
    </row>
    <row r="85" spans="1:13" x14ac:dyDescent="0.3">
      <c r="A85" t="s">
        <v>19</v>
      </c>
      <c r="B85" t="s">
        <v>45</v>
      </c>
      <c r="C85">
        <v>45</v>
      </c>
      <c r="D85">
        <v>2</v>
      </c>
      <c r="E85">
        <v>3</v>
      </c>
      <c r="F85">
        <v>7</v>
      </c>
      <c r="G85">
        <v>6.2</v>
      </c>
      <c r="H85">
        <v>31.3</v>
      </c>
      <c r="I85">
        <v>22.3</v>
      </c>
      <c r="J85">
        <v>26.8</v>
      </c>
      <c r="K85">
        <v>1406</v>
      </c>
      <c r="L85">
        <v>1</v>
      </c>
      <c r="M85" t="s">
        <v>67</v>
      </c>
    </row>
    <row r="86" spans="1:13" x14ac:dyDescent="0.3">
      <c r="A86" t="s">
        <v>19</v>
      </c>
      <c r="B86" t="s">
        <v>46</v>
      </c>
      <c r="C86">
        <v>81</v>
      </c>
      <c r="D86">
        <v>4</v>
      </c>
      <c r="E86">
        <v>5</v>
      </c>
      <c r="F86">
        <v>12</v>
      </c>
      <c r="G86">
        <v>5.8</v>
      </c>
      <c r="H86">
        <v>30</v>
      </c>
      <c r="I86">
        <v>25.2</v>
      </c>
      <c r="J86">
        <v>26.8</v>
      </c>
      <c r="K86">
        <v>1406</v>
      </c>
      <c r="L86">
        <v>1</v>
      </c>
      <c r="M86" t="s">
        <v>67</v>
      </c>
    </row>
    <row r="87" spans="1:13" x14ac:dyDescent="0.3">
      <c r="A87" t="s">
        <v>19</v>
      </c>
      <c r="B87" t="s">
        <v>46</v>
      </c>
      <c r="C87">
        <v>24</v>
      </c>
      <c r="D87">
        <v>1</v>
      </c>
      <c r="E87">
        <v>1</v>
      </c>
      <c r="F87">
        <v>3</v>
      </c>
      <c r="G87">
        <v>6.1</v>
      </c>
      <c r="H87">
        <v>30.3</v>
      </c>
      <c r="I87">
        <v>24.8</v>
      </c>
      <c r="J87">
        <v>26.2</v>
      </c>
      <c r="K87">
        <v>1382</v>
      </c>
      <c r="L87">
        <v>1</v>
      </c>
      <c r="M87" t="s">
        <v>67</v>
      </c>
    </row>
    <row r="88" spans="1:13" x14ac:dyDescent="0.3">
      <c r="A88" t="s">
        <v>19</v>
      </c>
      <c r="B88" t="s">
        <v>46</v>
      </c>
      <c r="C88">
        <v>46</v>
      </c>
      <c r="D88">
        <v>2</v>
      </c>
      <c r="E88">
        <v>3</v>
      </c>
      <c r="F88">
        <v>1.999999999999998</v>
      </c>
      <c r="G88">
        <v>6.3</v>
      </c>
      <c r="H88">
        <v>21.3</v>
      </c>
      <c r="I88">
        <v>29.4</v>
      </c>
      <c r="J88">
        <v>26</v>
      </c>
      <c r="K88">
        <v>726.99999999999989</v>
      </c>
      <c r="L88">
        <v>-1</v>
      </c>
      <c r="M88" t="s">
        <v>67</v>
      </c>
    </row>
    <row r="89" spans="1:13" x14ac:dyDescent="0.3">
      <c r="A89" t="s">
        <v>19</v>
      </c>
      <c r="B89" t="s">
        <v>46</v>
      </c>
      <c r="C89">
        <v>27</v>
      </c>
      <c r="D89">
        <v>1</v>
      </c>
      <c r="E89">
        <v>1</v>
      </c>
      <c r="F89">
        <v>4</v>
      </c>
      <c r="G89">
        <v>6</v>
      </c>
      <c r="H89">
        <v>19.600000000000001</v>
      </c>
      <c r="I89">
        <v>30.7</v>
      </c>
      <c r="J89">
        <v>26</v>
      </c>
      <c r="K89">
        <v>726.99999999999989</v>
      </c>
      <c r="L89">
        <v>-1</v>
      </c>
      <c r="M89" t="s">
        <v>67</v>
      </c>
    </row>
    <row r="90" spans="1:13" x14ac:dyDescent="0.3">
      <c r="A90" t="s">
        <v>19</v>
      </c>
      <c r="B90" t="s">
        <v>47</v>
      </c>
      <c r="C90">
        <v>31</v>
      </c>
      <c r="D90">
        <v>1</v>
      </c>
      <c r="E90">
        <v>2</v>
      </c>
      <c r="F90">
        <v>4</v>
      </c>
      <c r="G90">
        <v>5.9</v>
      </c>
      <c r="H90">
        <v>21.3</v>
      </c>
      <c r="I90">
        <v>30</v>
      </c>
      <c r="J90">
        <v>26</v>
      </c>
      <c r="K90">
        <v>726.99999999999989</v>
      </c>
      <c r="L90">
        <v>-1</v>
      </c>
      <c r="M90" t="s">
        <v>67</v>
      </c>
    </row>
    <row r="91" spans="1:13" x14ac:dyDescent="0.3">
      <c r="A91" t="s">
        <v>19</v>
      </c>
      <c r="B91" t="s">
        <v>47</v>
      </c>
      <c r="C91">
        <v>75</v>
      </c>
      <c r="D91">
        <v>3</v>
      </c>
      <c r="E91">
        <v>5</v>
      </c>
      <c r="F91">
        <v>12</v>
      </c>
      <c r="G91">
        <v>6.6</v>
      </c>
      <c r="H91">
        <v>15.7</v>
      </c>
      <c r="I91">
        <v>26.3</v>
      </c>
      <c r="J91">
        <v>25.1</v>
      </c>
      <c r="K91">
        <v>682</v>
      </c>
      <c r="L91">
        <v>1</v>
      </c>
      <c r="M91" t="s">
        <v>67</v>
      </c>
    </row>
    <row r="92" spans="1:13" x14ac:dyDescent="0.3">
      <c r="A92" t="s">
        <v>19</v>
      </c>
      <c r="B92" t="s">
        <v>47</v>
      </c>
      <c r="C92">
        <v>128</v>
      </c>
      <c r="D92">
        <v>6</v>
      </c>
      <c r="E92">
        <v>8</v>
      </c>
      <c r="F92">
        <v>20</v>
      </c>
      <c r="G92">
        <v>6.1</v>
      </c>
      <c r="H92">
        <v>18.3</v>
      </c>
      <c r="I92">
        <v>24.7</v>
      </c>
      <c r="J92">
        <v>25.1</v>
      </c>
      <c r="K92">
        <v>682</v>
      </c>
      <c r="L92">
        <v>1</v>
      </c>
      <c r="M92" t="s">
        <v>67</v>
      </c>
    </row>
    <row r="93" spans="1:13" x14ac:dyDescent="0.3">
      <c r="A93" t="s">
        <v>19</v>
      </c>
      <c r="B93" t="s">
        <v>47</v>
      </c>
      <c r="C93">
        <v>10.199999999999999</v>
      </c>
      <c r="D93">
        <v>5</v>
      </c>
      <c r="E93">
        <v>7</v>
      </c>
      <c r="F93">
        <v>16</v>
      </c>
      <c r="G93">
        <v>6.3</v>
      </c>
      <c r="H93">
        <v>29.6</v>
      </c>
      <c r="I93">
        <v>24.5</v>
      </c>
      <c r="J93">
        <v>25.1</v>
      </c>
      <c r="K93">
        <v>682</v>
      </c>
      <c r="L93">
        <v>1</v>
      </c>
      <c r="M93" t="s">
        <v>67</v>
      </c>
    </row>
    <row r="94" spans="1:13" x14ac:dyDescent="0.3">
      <c r="A94" t="s">
        <v>19</v>
      </c>
      <c r="B94" t="s">
        <v>48</v>
      </c>
      <c r="C94">
        <v>97</v>
      </c>
      <c r="D94">
        <v>4</v>
      </c>
      <c r="E94">
        <v>6</v>
      </c>
      <c r="F94">
        <v>15</v>
      </c>
      <c r="G94">
        <v>5.8</v>
      </c>
      <c r="H94">
        <v>35.1</v>
      </c>
      <c r="I94">
        <v>24.5</v>
      </c>
      <c r="J94">
        <v>25.1</v>
      </c>
      <c r="K94">
        <v>682</v>
      </c>
      <c r="L94">
        <v>1</v>
      </c>
      <c r="M94" t="s">
        <v>67</v>
      </c>
    </row>
    <row r="95" spans="1:13" x14ac:dyDescent="0.3">
      <c r="A95" t="s">
        <v>19</v>
      </c>
      <c r="B95" t="s">
        <v>48</v>
      </c>
      <c r="C95">
        <v>44</v>
      </c>
      <c r="D95">
        <v>2</v>
      </c>
      <c r="E95">
        <v>3</v>
      </c>
      <c r="F95">
        <v>7</v>
      </c>
      <c r="G95">
        <v>6.1</v>
      </c>
      <c r="H95">
        <v>20</v>
      </c>
      <c r="I95">
        <v>32</v>
      </c>
      <c r="J95">
        <v>26</v>
      </c>
      <c r="K95">
        <v>1170</v>
      </c>
      <c r="L95">
        <v>0</v>
      </c>
      <c r="M95" t="s">
        <v>67</v>
      </c>
    </row>
    <row r="96" spans="1:13" x14ac:dyDescent="0.3">
      <c r="A96" t="s">
        <v>19</v>
      </c>
      <c r="B96" t="s">
        <v>48</v>
      </c>
      <c r="C96">
        <v>29</v>
      </c>
      <c r="D96">
        <v>1</v>
      </c>
      <c r="E96">
        <v>2</v>
      </c>
      <c r="F96">
        <v>6</v>
      </c>
      <c r="G96">
        <v>6</v>
      </c>
      <c r="H96">
        <v>22.8</v>
      </c>
      <c r="I96">
        <v>32.799999999999997</v>
      </c>
      <c r="J96">
        <v>26</v>
      </c>
      <c r="K96">
        <v>1170</v>
      </c>
      <c r="L96">
        <v>0</v>
      </c>
      <c r="M96" t="s">
        <v>67</v>
      </c>
    </row>
    <row r="97" spans="1:13" x14ac:dyDescent="0.3">
      <c r="A97" t="s">
        <v>19</v>
      </c>
      <c r="B97" t="s">
        <v>48</v>
      </c>
      <c r="C97">
        <v>27</v>
      </c>
      <c r="D97">
        <v>1</v>
      </c>
      <c r="E97">
        <v>1</v>
      </c>
      <c r="F97">
        <v>4</v>
      </c>
      <c r="G97">
        <v>6</v>
      </c>
      <c r="H97">
        <v>16.2</v>
      </c>
      <c r="I97">
        <v>30.7</v>
      </c>
      <c r="J97">
        <v>26</v>
      </c>
      <c r="K97">
        <v>1170</v>
      </c>
      <c r="L97">
        <v>0</v>
      </c>
      <c r="M97" t="s">
        <v>67</v>
      </c>
    </row>
    <row r="98" spans="1:13" x14ac:dyDescent="0.3">
      <c r="A98" t="s">
        <v>19</v>
      </c>
      <c r="B98" t="s">
        <v>48</v>
      </c>
      <c r="C98">
        <v>40</v>
      </c>
      <c r="D98">
        <v>2</v>
      </c>
      <c r="E98">
        <v>2</v>
      </c>
      <c r="F98">
        <v>6</v>
      </c>
      <c r="G98">
        <v>6.2</v>
      </c>
      <c r="H98">
        <v>17.399999999999999</v>
      </c>
      <c r="I98">
        <v>32.700000000000003</v>
      </c>
      <c r="J98">
        <v>26</v>
      </c>
      <c r="K98">
        <v>1156</v>
      </c>
      <c r="L98">
        <v>0</v>
      </c>
      <c r="M98" t="s">
        <v>67</v>
      </c>
    </row>
    <row r="99" spans="1:13" x14ac:dyDescent="0.3">
      <c r="A99" t="s">
        <v>19</v>
      </c>
      <c r="B99" t="s">
        <v>48</v>
      </c>
      <c r="C99">
        <v>62</v>
      </c>
      <c r="D99">
        <v>3</v>
      </c>
      <c r="E99">
        <v>4</v>
      </c>
      <c r="F99">
        <v>9</v>
      </c>
      <c r="G99">
        <v>6.2</v>
      </c>
      <c r="H99">
        <v>18.600000000000001</v>
      </c>
      <c r="I99">
        <v>33.299999999999997</v>
      </c>
      <c r="J99">
        <v>26</v>
      </c>
      <c r="K99">
        <v>1156</v>
      </c>
      <c r="L99">
        <v>0</v>
      </c>
      <c r="M99" t="s">
        <v>67</v>
      </c>
    </row>
    <row r="100" spans="1:13" x14ac:dyDescent="0.3">
      <c r="A100" t="s">
        <v>20</v>
      </c>
      <c r="B100" t="s">
        <v>49</v>
      </c>
      <c r="C100">
        <v>38</v>
      </c>
      <c r="D100">
        <v>1</v>
      </c>
      <c r="E100">
        <v>2</v>
      </c>
      <c r="F100">
        <v>6</v>
      </c>
      <c r="G100">
        <v>6.2</v>
      </c>
      <c r="H100">
        <v>16.5</v>
      </c>
      <c r="I100">
        <v>31.3</v>
      </c>
      <c r="J100">
        <v>26</v>
      </c>
      <c r="K100">
        <v>1156</v>
      </c>
      <c r="L100">
        <v>0</v>
      </c>
      <c r="M100" t="s">
        <v>67</v>
      </c>
    </row>
    <row r="101" spans="1:13" x14ac:dyDescent="0.3">
      <c r="A101" t="s">
        <v>20</v>
      </c>
      <c r="B101" t="s">
        <v>49</v>
      </c>
      <c r="C101">
        <v>44</v>
      </c>
      <c r="D101">
        <v>2</v>
      </c>
      <c r="E101">
        <v>3</v>
      </c>
      <c r="F101">
        <v>6</v>
      </c>
      <c r="G101">
        <v>5.5</v>
      </c>
      <c r="H101">
        <v>20</v>
      </c>
      <c r="I101">
        <v>32.299999999999997</v>
      </c>
      <c r="J101">
        <v>26</v>
      </c>
      <c r="K101">
        <v>1156</v>
      </c>
      <c r="L101">
        <v>0</v>
      </c>
      <c r="M101" t="s">
        <v>67</v>
      </c>
    </row>
    <row r="102" spans="1:13" x14ac:dyDescent="0.3">
      <c r="A102" t="s">
        <v>20</v>
      </c>
      <c r="B102" t="s">
        <v>49</v>
      </c>
      <c r="C102">
        <v>93</v>
      </c>
      <c r="D102">
        <v>4</v>
      </c>
      <c r="E102">
        <v>6</v>
      </c>
      <c r="F102">
        <v>14</v>
      </c>
      <c r="G102">
        <v>5.5</v>
      </c>
      <c r="H102">
        <v>28.5</v>
      </c>
      <c r="I102">
        <v>21.3</v>
      </c>
      <c r="J102">
        <v>21</v>
      </c>
      <c r="K102">
        <v>1731</v>
      </c>
      <c r="L102">
        <v>1</v>
      </c>
      <c r="M102" t="s">
        <v>67</v>
      </c>
    </row>
    <row r="103" spans="1:13" x14ac:dyDescent="0.3">
      <c r="A103" t="s">
        <v>20</v>
      </c>
      <c r="B103" t="s">
        <v>49</v>
      </c>
      <c r="C103">
        <v>69</v>
      </c>
      <c r="D103">
        <v>3</v>
      </c>
      <c r="E103">
        <v>4</v>
      </c>
      <c r="F103">
        <v>11</v>
      </c>
      <c r="G103">
        <v>5.5</v>
      </c>
      <c r="H103">
        <v>26.9</v>
      </c>
      <c r="I103">
        <v>18.100000000000001</v>
      </c>
      <c r="J103">
        <v>21</v>
      </c>
      <c r="K103">
        <v>1731</v>
      </c>
      <c r="L103">
        <v>1</v>
      </c>
      <c r="M103" t="s">
        <v>67</v>
      </c>
    </row>
    <row r="104" spans="1:13" x14ac:dyDescent="0.3">
      <c r="A104" t="s">
        <v>20</v>
      </c>
      <c r="B104" t="s">
        <v>50</v>
      </c>
      <c r="C104">
        <v>54</v>
      </c>
      <c r="D104">
        <v>2</v>
      </c>
      <c r="E104">
        <v>3</v>
      </c>
      <c r="F104">
        <v>7</v>
      </c>
      <c r="G104">
        <v>6.1</v>
      </c>
      <c r="H104">
        <v>26</v>
      </c>
      <c r="I104">
        <v>17.600000000000001</v>
      </c>
      <c r="J104">
        <v>21</v>
      </c>
      <c r="K104">
        <v>1731</v>
      </c>
      <c r="L104">
        <v>1</v>
      </c>
      <c r="M104" t="s">
        <v>67</v>
      </c>
    </row>
    <row r="105" spans="1:13" x14ac:dyDescent="0.3">
      <c r="A105" t="s">
        <v>20</v>
      </c>
      <c r="B105" t="s">
        <v>50</v>
      </c>
      <c r="C105">
        <v>52</v>
      </c>
      <c r="D105">
        <v>2</v>
      </c>
      <c r="E105">
        <v>3</v>
      </c>
      <c r="F105">
        <v>8</v>
      </c>
      <c r="G105">
        <v>6.6</v>
      </c>
      <c r="H105">
        <v>21</v>
      </c>
      <c r="I105">
        <v>22.9</v>
      </c>
      <c r="J105">
        <v>21</v>
      </c>
      <c r="K105">
        <v>1731</v>
      </c>
      <c r="L105">
        <v>1</v>
      </c>
      <c r="M105" t="s">
        <v>67</v>
      </c>
    </row>
    <row r="106" spans="1:13" x14ac:dyDescent="0.3">
      <c r="A106" t="s">
        <v>20</v>
      </c>
      <c r="B106" t="s">
        <v>50</v>
      </c>
      <c r="C106">
        <v>46</v>
      </c>
      <c r="D106">
        <v>2</v>
      </c>
      <c r="E106">
        <v>3</v>
      </c>
      <c r="F106">
        <v>7</v>
      </c>
      <c r="G106">
        <v>6.1</v>
      </c>
      <c r="H106">
        <v>39</v>
      </c>
      <c r="I106">
        <v>24</v>
      </c>
      <c r="J106">
        <v>21</v>
      </c>
      <c r="K106">
        <v>1628</v>
      </c>
      <c r="L106">
        <v>1</v>
      </c>
      <c r="M106" t="s">
        <v>67</v>
      </c>
    </row>
    <row r="107" spans="1:13" x14ac:dyDescent="0.3">
      <c r="A107" t="s">
        <v>20</v>
      </c>
      <c r="B107" t="s">
        <v>50</v>
      </c>
      <c r="C107">
        <v>24</v>
      </c>
      <c r="D107">
        <v>1</v>
      </c>
      <c r="E107">
        <v>1</v>
      </c>
      <c r="F107">
        <v>3</v>
      </c>
      <c r="G107">
        <v>6</v>
      </c>
      <c r="H107">
        <v>37.4</v>
      </c>
      <c r="I107">
        <v>23</v>
      </c>
      <c r="J107">
        <v>21</v>
      </c>
      <c r="K107">
        <v>1628</v>
      </c>
      <c r="L107">
        <v>1</v>
      </c>
      <c r="M107" t="s">
        <v>67</v>
      </c>
    </row>
    <row r="108" spans="1:13" x14ac:dyDescent="0.3">
      <c r="A108" t="s">
        <v>20</v>
      </c>
      <c r="B108" t="s">
        <v>51</v>
      </c>
      <c r="C108">
        <v>25</v>
      </c>
      <c r="D108">
        <v>1</v>
      </c>
      <c r="E108">
        <v>1</v>
      </c>
      <c r="F108">
        <v>4</v>
      </c>
      <c r="G108">
        <v>6.1</v>
      </c>
      <c r="H108">
        <v>42.2</v>
      </c>
      <c r="I108">
        <v>23.5</v>
      </c>
      <c r="J108">
        <v>21</v>
      </c>
      <c r="K108">
        <v>1628</v>
      </c>
      <c r="L108">
        <v>1</v>
      </c>
      <c r="M108" t="s">
        <v>67</v>
      </c>
    </row>
    <row r="109" spans="1:13" x14ac:dyDescent="0.3">
      <c r="A109" t="s">
        <v>20</v>
      </c>
      <c r="B109" t="s">
        <v>51</v>
      </c>
      <c r="C109">
        <v>73</v>
      </c>
      <c r="D109">
        <v>3</v>
      </c>
      <c r="E109">
        <v>5</v>
      </c>
      <c r="F109">
        <v>11</v>
      </c>
      <c r="G109">
        <v>6.3</v>
      </c>
      <c r="H109">
        <v>65.099999999999994</v>
      </c>
      <c r="I109">
        <v>20.399999999999999</v>
      </c>
      <c r="J109">
        <v>20.9</v>
      </c>
      <c r="K109">
        <v>1519</v>
      </c>
      <c r="L109">
        <v>1</v>
      </c>
      <c r="M109" t="s">
        <v>67</v>
      </c>
    </row>
    <row r="110" spans="1:13" x14ac:dyDescent="0.3">
      <c r="A110" t="s">
        <v>20</v>
      </c>
      <c r="B110" t="s">
        <v>51</v>
      </c>
      <c r="C110">
        <v>44</v>
      </c>
      <c r="D110">
        <v>2</v>
      </c>
      <c r="E110">
        <v>3</v>
      </c>
      <c r="F110">
        <v>7</v>
      </c>
      <c r="G110">
        <v>5.9</v>
      </c>
      <c r="H110">
        <v>22.7</v>
      </c>
      <c r="I110">
        <v>20.9</v>
      </c>
      <c r="J110">
        <v>20.9</v>
      </c>
      <c r="K110">
        <v>1518</v>
      </c>
      <c r="L110">
        <v>1</v>
      </c>
      <c r="M110" t="s">
        <v>67</v>
      </c>
    </row>
    <row r="111" spans="1:13" x14ac:dyDescent="0.3">
      <c r="A111" t="s">
        <v>20</v>
      </c>
      <c r="B111" t="s">
        <v>51</v>
      </c>
      <c r="C111">
        <v>252</v>
      </c>
      <c r="D111">
        <v>12</v>
      </c>
      <c r="E111">
        <v>17</v>
      </c>
      <c r="F111">
        <v>40</v>
      </c>
      <c r="G111">
        <v>5.4</v>
      </c>
      <c r="H111">
        <v>29.4</v>
      </c>
      <c r="I111">
        <v>20.3</v>
      </c>
      <c r="J111">
        <v>18.5</v>
      </c>
      <c r="K111">
        <v>1551</v>
      </c>
      <c r="L111">
        <v>1</v>
      </c>
      <c r="M111" t="s">
        <v>67</v>
      </c>
    </row>
    <row r="112" spans="1:13" x14ac:dyDescent="0.3">
      <c r="A112" t="s">
        <v>20</v>
      </c>
      <c r="B112" t="s">
        <v>51</v>
      </c>
      <c r="C112">
        <v>256</v>
      </c>
      <c r="D112">
        <v>12</v>
      </c>
      <c r="E112">
        <v>18</v>
      </c>
      <c r="F112">
        <v>41</v>
      </c>
      <c r="G112">
        <v>5.2</v>
      </c>
      <c r="H112">
        <v>28.6</v>
      </c>
      <c r="I112">
        <v>20.2</v>
      </c>
      <c r="J112">
        <v>18.5</v>
      </c>
      <c r="K112">
        <v>1551</v>
      </c>
      <c r="L112">
        <v>1</v>
      </c>
      <c r="M112" t="s">
        <v>67</v>
      </c>
    </row>
    <row r="113" spans="1:13" x14ac:dyDescent="0.3">
      <c r="A113" t="s">
        <v>20</v>
      </c>
      <c r="B113" t="s">
        <v>51</v>
      </c>
      <c r="C113">
        <v>371</v>
      </c>
      <c r="D113">
        <v>18</v>
      </c>
      <c r="E113">
        <v>26</v>
      </c>
      <c r="F113">
        <v>60</v>
      </c>
      <c r="G113">
        <v>4.5999999999999996</v>
      </c>
      <c r="H113">
        <v>48.6</v>
      </c>
      <c r="I113">
        <v>19.899999999999999</v>
      </c>
      <c r="J113">
        <v>20.6</v>
      </c>
      <c r="K113">
        <v>1618</v>
      </c>
      <c r="L113">
        <v>1</v>
      </c>
      <c r="M113" t="s">
        <v>67</v>
      </c>
    </row>
    <row r="114" spans="1:13" x14ac:dyDescent="0.3">
      <c r="A114" t="s">
        <v>20</v>
      </c>
      <c r="B114" t="s">
        <v>51</v>
      </c>
      <c r="C114">
        <v>91</v>
      </c>
      <c r="D114">
        <v>4</v>
      </c>
      <c r="E114">
        <v>6</v>
      </c>
      <c r="F114">
        <v>14</v>
      </c>
      <c r="G114">
        <v>6.2</v>
      </c>
      <c r="H114">
        <v>34.799999999999997</v>
      </c>
      <c r="I114">
        <v>21.5</v>
      </c>
      <c r="J114">
        <v>20</v>
      </c>
      <c r="K114">
        <v>1558</v>
      </c>
      <c r="L114">
        <v>1</v>
      </c>
      <c r="M114" t="s">
        <v>67</v>
      </c>
    </row>
    <row r="115" spans="1:13" x14ac:dyDescent="0.3">
      <c r="A115" t="s">
        <v>20</v>
      </c>
      <c r="B115" t="s">
        <v>51</v>
      </c>
      <c r="C115">
        <v>72</v>
      </c>
      <c r="D115">
        <v>3</v>
      </c>
      <c r="E115">
        <v>5</v>
      </c>
      <c r="F115">
        <v>11</v>
      </c>
      <c r="G115">
        <v>6.6</v>
      </c>
      <c r="H115">
        <v>27.4</v>
      </c>
      <c r="I115">
        <v>21.2</v>
      </c>
      <c r="J115">
        <v>20</v>
      </c>
      <c r="K115">
        <v>1558</v>
      </c>
      <c r="L115">
        <v>1</v>
      </c>
      <c r="M115" t="s">
        <v>67</v>
      </c>
    </row>
    <row r="116" spans="1:13" x14ac:dyDescent="0.3">
      <c r="A116" t="s">
        <v>21</v>
      </c>
      <c r="B116" t="s">
        <v>52</v>
      </c>
      <c r="C116">
        <v>67</v>
      </c>
      <c r="D116">
        <v>3</v>
      </c>
      <c r="E116">
        <v>4</v>
      </c>
      <c r="F116">
        <v>10</v>
      </c>
      <c r="G116">
        <v>5.8</v>
      </c>
      <c r="H116">
        <v>31.2</v>
      </c>
      <c r="I116">
        <v>20</v>
      </c>
      <c r="J116">
        <v>20</v>
      </c>
      <c r="K116">
        <v>1535</v>
      </c>
      <c r="L116">
        <v>1</v>
      </c>
      <c r="M116" t="s">
        <v>67</v>
      </c>
    </row>
    <row r="117" spans="1:13" x14ac:dyDescent="0.3">
      <c r="A117" t="s">
        <v>21</v>
      </c>
      <c r="B117" t="s">
        <v>52</v>
      </c>
      <c r="C117">
        <v>33</v>
      </c>
      <c r="D117">
        <v>1</v>
      </c>
      <c r="E117">
        <v>2</v>
      </c>
      <c r="F117">
        <v>5</v>
      </c>
      <c r="G117">
        <v>6.1</v>
      </c>
      <c r="H117">
        <v>32.4</v>
      </c>
      <c r="I117">
        <v>20.5</v>
      </c>
      <c r="J117">
        <v>20</v>
      </c>
      <c r="K117">
        <v>1535</v>
      </c>
      <c r="L117">
        <v>1</v>
      </c>
      <c r="M117" t="s">
        <v>67</v>
      </c>
    </row>
    <row r="118" spans="1:13" x14ac:dyDescent="0.3">
      <c r="A118" t="s">
        <v>21</v>
      </c>
      <c r="B118" t="s">
        <v>52</v>
      </c>
      <c r="C118">
        <v>134</v>
      </c>
      <c r="D118">
        <v>6</v>
      </c>
      <c r="E118">
        <v>9</v>
      </c>
      <c r="F118">
        <v>21</v>
      </c>
      <c r="G118">
        <v>5.5</v>
      </c>
      <c r="H118">
        <v>56</v>
      </c>
      <c r="I118">
        <v>28</v>
      </c>
      <c r="J118">
        <v>25</v>
      </c>
      <c r="K118">
        <v>749</v>
      </c>
      <c r="L118">
        <v>0</v>
      </c>
      <c r="M118" t="s">
        <v>67</v>
      </c>
    </row>
    <row r="119" spans="1:13" x14ac:dyDescent="0.3">
      <c r="A119" t="s">
        <v>21</v>
      </c>
      <c r="B119" t="s">
        <v>52</v>
      </c>
      <c r="C119">
        <v>31</v>
      </c>
      <c r="D119">
        <v>1</v>
      </c>
      <c r="E119">
        <v>2</v>
      </c>
      <c r="F119">
        <v>5</v>
      </c>
      <c r="G119">
        <v>6.1</v>
      </c>
      <c r="H119">
        <v>28.1</v>
      </c>
      <c r="I119">
        <v>26.5</v>
      </c>
      <c r="J119">
        <v>22</v>
      </c>
      <c r="K119">
        <v>1213</v>
      </c>
      <c r="L119">
        <v>1</v>
      </c>
      <c r="M119" t="s">
        <v>67</v>
      </c>
    </row>
    <row r="120" spans="1:13" x14ac:dyDescent="0.3">
      <c r="A120" t="s">
        <v>21</v>
      </c>
      <c r="B120" t="s">
        <v>52</v>
      </c>
      <c r="C120">
        <v>22</v>
      </c>
      <c r="D120">
        <v>1</v>
      </c>
      <c r="E120">
        <v>1</v>
      </c>
      <c r="F120">
        <v>3</v>
      </c>
      <c r="G120">
        <v>6.3</v>
      </c>
      <c r="H120">
        <v>25.5</v>
      </c>
      <c r="I120">
        <v>26.2</v>
      </c>
      <c r="J120">
        <v>22</v>
      </c>
      <c r="K120">
        <v>1203</v>
      </c>
      <c r="L120">
        <v>1</v>
      </c>
      <c r="M120" t="s">
        <v>67</v>
      </c>
    </row>
    <row r="121" spans="1:13" x14ac:dyDescent="0.3">
      <c r="A121" t="s">
        <v>21</v>
      </c>
      <c r="B121" t="s">
        <v>52</v>
      </c>
      <c r="C121">
        <v>54</v>
      </c>
      <c r="D121">
        <v>2</v>
      </c>
      <c r="E121">
        <v>3</v>
      </c>
      <c r="F121">
        <v>8</v>
      </c>
      <c r="G121">
        <v>6.4</v>
      </c>
      <c r="H121">
        <v>33.5</v>
      </c>
      <c r="I121">
        <v>21.7</v>
      </c>
      <c r="J121">
        <v>20</v>
      </c>
      <c r="K121">
        <v>1251</v>
      </c>
      <c r="L121">
        <v>1</v>
      </c>
      <c r="M121" t="s">
        <v>67</v>
      </c>
    </row>
    <row r="122" spans="1:13" x14ac:dyDescent="0.3">
      <c r="A122" t="s">
        <v>21</v>
      </c>
      <c r="B122" t="s">
        <v>52</v>
      </c>
      <c r="C122">
        <v>21</v>
      </c>
      <c r="D122">
        <v>1</v>
      </c>
      <c r="E122">
        <v>1</v>
      </c>
      <c r="F122">
        <v>3</v>
      </c>
      <c r="G122">
        <v>6.2</v>
      </c>
      <c r="H122">
        <v>29.5</v>
      </c>
      <c r="I122">
        <v>22.5</v>
      </c>
      <c r="J122">
        <v>20</v>
      </c>
      <c r="K122">
        <v>1251</v>
      </c>
      <c r="L122">
        <v>1</v>
      </c>
      <c r="M122" t="s">
        <v>67</v>
      </c>
    </row>
    <row r="123" spans="1:13" x14ac:dyDescent="0.3">
      <c r="A123" t="s">
        <v>21</v>
      </c>
      <c r="B123" t="s">
        <v>52</v>
      </c>
      <c r="C123">
        <v>21</v>
      </c>
      <c r="D123">
        <v>1</v>
      </c>
      <c r="E123">
        <v>1</v>
      </c>
      <c r="F123">
        <v>3</v>
      </c>
      <c r="G123">
        <v>6.3</v>
      </c>
      <c r="H123">
        <v>49.2</v>
      </c>
      <c r="I123">
        <v>22.4</v>
      </c>
      <c r="J123">
        <v>21</v>
      </c>
      <c r="K123">
        <v>1284</v>
      </c>
      <c r="L123">
        <v>1</v>
      </c>
      <c r="M123" t="s">
        <v>67</v>
      </c>
    </row>
    <row r="124" spans="1:13" x14ac:dyDescent="0.3">
      <c r="A124" t="s">
        <v>22</v>
      </c>
      <c r="B124" t="s">
        <v>53</v>
      </c>
      <c r="C124">
        <v>26</v>
      </c>
      <c r="D124">
        <v>1</v>
      </c>
      <c r="E124">
        <v>1</v>
      </c>
      <c r="F124">
        <v>4</v>
      </c>
      <c r="G124">
        <v>6.9</v>
      </c>
      <c r="H124">
        <v>54.2</v>
      </c>
      <c r="I124">
        <v>21.1</v>
      </c>
      <c r="J124">
        <v>21</v>
      </c>
      <c r="K124">
        <v>1284</v>
      </c>
      <c r="L124">
        <v>1</v>
      </c>
      <c r="M124" t="s">
        <v>67</v>
      </c>
    </row>
    <row r="125" spans="1:13" x14ac:dyDescent="0.3">
      <c r="A125" t="s">
        <v>22</v>
      </c>
      <c r="B125" t="s">
        <v>53</v>
      </c>
      <c r="C125">
        <v>346</v>
      </c>
      <c r="D125">
        <v>17</v>
      </c>
      <c r="E125">
        <v>24</v>
      </c>
      <c r="F125">
        <v>55</v>
      </c>
      <c r="G125">
        <v>6.3</v>
      </c>
      <c r="H125">
        <v>34</v>
      </c>
      <c r="I125">
        <v>25.6</v>
      </c>
      <c r="J125">
        <v>22</v>
      </c>
      <c r="K125">
        <v>1340</v>
      </c>
      <c r="L125">
        <v>1</v>
      </c>
      <c r="M125" t="s">
        <v>67</v>
      </c>
    </row>
    <row r="126" spans="1:13" x14ac:dyDescent="0.3">
      <c r="A126" t="s">
        <v>22</v>
      </c>
      <c r="B126" t="s">
        <v>53</v>
      </c>
      <c r="C126">
        <v>182</v>
      </c>
      <c r="D126">
        <v>9</v>
      </c>
      <c r="E126">
        <v>12</v>
      </c>
      <c r="F126">
        <v>29</v>
      </c>
      <c r="G126">
        <v>6.2</v>
      </c>
      <c r="H126">
        <v>37</v>
      </c>
      <c r="I126">
        <v>24.4</v>
      </c>
      <c r="J126">
        <v>22</v>
      </c>
      <c r="K126">
        <v>1340</v>
      </c>
      <c r="L126">
        <v>1</v>
      </c>
      <c r="M126" t="s">
        <v>67</v>
      </c>
    </row>
    <row r="127" spans="1:13" x14ac:dyDescent="0.3">
      <c r="A127" t="s">
        <v>22</v>
      </c>
      <c r="B127" t="s">
        <v>53</v>
      </c>
      <c r="C127">
        <v>52</v>
      </c>
      <c r="D127">
        <v>2</v>
      </c>
      <c r="E127">
        <v>3</v>
      </c>
      <c r="F127">
        <v>8</v>
      </c>
      <c r="G127">
        <v>6</v>
      </c>
      <c r="H127">
        <v>27.1</v>
      </c>
      <c r="I127">
        <v>24.4</v>
      </c>
      <c r="J127">
        <v>23</v>
      </c>
      <c r="K127">
        <v>1466</v>
      </c>
      <c r="L127">
        <v>1</v>
      </c>
      <c r="M127" t="s">
        <v>67</v>
      </c>
    </row>
    <row r="128" spans="1:13" x14ac:dyDescent="0.3">
      <c r="A128" t="s">
        <v>22</v>
      </c>
      <c r="B128" t="s">
        <v>53</v>
      </c>
      <c r="C128">
        <v>75</v>
      </c>
      <c r="D128">
        <v>3</v>
      </c>
      <c r="E128">
        <v>5</v>
      </c>
      <c r="F128">
        <v>12</v>
      </c>
      <c r="G128">
        <v>6.1</v>
      </c>
      <c r="H128">
        <v>45.8</v>
      </c>
      <c r="I128">
        <v>24.9</v>
      </c>
      <c r="J128">
        <v>23</v>
      </c>
      <c r="K128">
        <v>1466</v>
      </c>
      <c r="L128">
        <v>1</v>
      </c>
      <c r="M128" t="s">
        <v>67</v>
      </c>
    </row>
    <row r="129" spans="1:13" x14ac:dyDescent="0.3">
      <c r="A129" t="s">
        <v>22</v>
      </c>
      <c r="B129" t="s">
        <v>53</v>
      </c>
      <c r="C129">
        <v>34</v>
      </c>
      <c r="D129">
        <v>1</v>
      </c>
      <c r="E129">
        <v>2</v>
      </c>
      <c r="F129">
        <v>5</v>
      </c>
      <c r="G129">
        <v>6.3</v>
      </c>
      <c r="H129">
        <v>21.8</v>
      </c>
      <c r="I129">
        <v>24.6</v>
      </c>
      <c r="J129">
        <v>20</v>
      </c>
      <c r="K129">
        <v>1265</v>
      </c>
      <c r="L129">
        <v>1</v>
      </c>
      <c r="M129" t="s">
        <v>67</v>
      </c>
    </row>
    <row r="130" spans="1:13" x14ac:dyDescent="0.3">
      <c r="A130" t="s">
        <v>22</v>
      </c>
      <c r="B130" t="s">
        <v>53</v>
      </c>
      <c r="C130">
        <v>32</v>
      </c>
      <c r="D130">
        <v>1</v>
      </c>
      <c r="E130">
        <v>2</v>
      </c>
      <c r="F130">
        <v>5</v>
      </c>
      <c r="G130">
        <v>6.2</v>
      </c>
      <c r="H130">
        <v>20.3</v>
      </c>
      <c r="I130">
        <v>24.6</v>
      </c>
      <c r="J130">
        <v>20</v>
      </c>
      <c r="K130">
        <v>1265</v>
      </c>
      <c r="L130">
        <v>1</v>
      </c>
      <c r="M130" t="s">
        <v>67</v>
      </c>
    </row>
    <row r="131" spans="1:13" x14ac:dyDescent="0.3">
      <c r="A131" t="s">
        <v>22</v>
      </c>
      <c r="B131" t="s">
        <v>53</v>
      </c>
      <c r="C131">
        <v>74</v>
      </c>
      <c r="D131">
        <v>3</v>
      </c>
      <c r="E131">
        <v>5</v>
      </c>
      <c r="F131">
        <v>12</v>
      </c>
      <c r="G131">
        <v>6.2</v>
      </c>
      <c r="H131">
        <v>34.5</v>
      </c>
      <c r="I131">
        <v>26.2</v>
      </c>
      <c r="J131">
        <v>22</v>
      </c>
      <c r="K131">
        <v>1349</v>
      </c>
      <c r="L131">
        <v>1</v>
      </c>
      <c r="M131" t="s">
        <v>67</v>
      </c>
    </row>
    <row r="132" spans="1:13" x14ac:dyDescent="0.3">
      <c r="A132" t="s">
        <v>22</v>
      </c>
      <c r="B132" t="s">
        <v>54</v>
      </c>
      <c r="C132">
        <v>47.999999999999993</v>
      </c>
      <c r="D132">
        <v>2</v>
      </c>
      <c r="E132">
        <v>3</v>
      </c>
      <c r="F132">
        <v>7</v>
      </c>
      <c r="G132">
        <v>7.5</v>
      </c>
      <c r="H132">
        <v>44.9</v>
      </c>
      <c r="I132">
        <v>30.5</v>
      </c>
      <c r="J132">
        <v>22</v>
      </c>
      <c r="K132">
        <v>1349</v>
      </c>
      <c r="L132">
        <v>1</v>
      </c>
      <c r="M132" t="s">
        <v>67</v>
      </c>
    </row>
    <row r="133" spans="1:13" x14ac:dyDescent="0.3">
      <c r="A133" t="s">
        <v>22</v>
      </c>
      <c r="B133" t="s">
        <v>54</v>
      </c>
      <c r="C133">
        <v>23</v>
      </c>
      <c r="D133">
        <v>1</v>
      </c>
      <c r="E133">
        <v>1</v>
      </c>
      <c r="F133">
        <v>3</v>
      </c>
      <c r="G133">
        <v>6.3</v>
      </c>
      <c r="H133">
        <v>33.700000000000003</v>
      </c>
      <c r="I133">
        <v>18.3</v>
      </c>
      <c r="J133">
        <v>16</v>
      </c>
      <c r="K133">
        <v>1753</v>
      </c>
      <c r="L133">
        <v>1</v>
      </c>
      <c r="M133" t="s">
        <v>67</v>
      </c>
    </row>
    <row r="134" spans="1:13" x14ac:dyDescent="0.3">
      <c r="A134" t="s">
        <v>22</v>
      </c>
      <c r="B134" t="s">
        <v>55</v>
      </c>
      <c r="C134">
        <v>7</v>
      </c>
      <c r="D134">
        <v>0</v>
      </c>
      <c r="E134">
        <v>0</v>
      </c>
      <c r="F134">
        <v>0.99999999999999822</v>
      </c>
      <c r="G134">
        <v>6.2</v>
      </c>
      <c r="H134">
        <v>22.5</v>
      </c>
      <c r="I134">
        <v>18.8</v>
      </c>
      <c r="J134">
        <v>16</v>
      </c>
      <c r="K134">
        <v>1753</v>
      </c>
      <c r="L134">
        <v>1</v>
      </c>
      <c r="M134" t="s">
        <v>67</v>
      </c>
    </row>
    <row r="135" spans="1:13" x14ac:dyDescent="0.3">
      <c r="A135" t="s">
        <v>23</v>
      </c>
      <c r="B135" t="s">
        <v>56</v>
      </c>
      <c r="C135">
        <v>84</v>
      </c>
      <c r="D135">
        <v>4</v>
      </c>
      <c r="E135">
        <v>5</v>
      </c>
      <c r="F135">
        <v>13</v>
      </c>
      <c r="G135">
        <v>6.2</v>
      </c>
      <c r="H135">
        <v>22.2</v>
      </c>
      <c r="I135">
        <v>20</v>
      </c>
      <c r="J135">
        <v>19</v>
      </c>
      <c r="K135">
        <v>1638.91</v>
      </c>
      <c r="L135">
        <v>1</v>
      </c>
      <c r="M135" t="s">
        <v>67</v>
      </c>
    </row>
    <row r="136" spans="1:13" x14ac:dyDescent="0.3">
      <c r="A136" t="s">
        <v>23</v>
      </c>
      <c r="B136" t="s">
        <v>56</v>
      </c>
      <c r="C136">
        <v>72</v>
      </c>
      <c r="D136">
        <v>3</v>
      </c>
      <c r="E136">
        <v>5</v>
      </c>
      <c r="F136">
        <v>11</v>
      </c>
      <c r="G136">
        <v>6.3</v>
      </c>
      <c r="H136">
        <v>16.7</v>
      </c>
      <c r="I136">
        <v>20</v>
      </c>
      <c r="J136">
        <v>19</v>
      </c>
      <c r="K136">
        <v>1638.91</v>
      </c>
      <c r="L136">
        <v>1</v>
      </c>
      <c r="M136" t="s">
        <v>67</v>
      </c>
    </row>
    <row r="137" spans="1:13" x14ac:dyDescent="0.3">
      <c r="A137" t="s">
        <v>24</v>
      </c>
      <c r="B137" t="s">
        <v>57</v>
      </c>
      <c r="C137">
        <v>11</v>
      </c>
      <c r="D137">
        <v>0</v>
      </c>
      <c r="E137">
        <v>0</v>
      </c>
      <c r="F137">
        <v>0.99999999999999822</v>
      </c>
      <c r="G137">
        <v>6.4</v>
      </c>
      <c r="H137">
        <v>16</v>
      </c>
      <c r="I137">
        <v>22.1</v>
      </c>
      <c r="J137">
        <v>21</v>
      </c>
      <c r="K137">
        <v>1567.28</v>
      </c>
      <c r="L137">
        <v>1</v>
      </c>
      <c r="M137" t="s">
        <v>67</v>
      </c>
    </row>
    <row r="138" spans="1:13" x14ac:dyDescent="0.3">
      <c r="A138" t="s">
        <v>24</v>
      </c>
      <c r="B138" t="s">
        <v>57</v>
      </c>
      <c r="C138">
        <v>62</v>
      </c>
      <c r="D138">
        <v>3</v>
      </c>
      <c r="E138">
        <v>4</v>
      </c>
      <c r="F138">
        <v>10</v>
      </c>
      <c r="G138">
        <v>6.2</v>
      </c>
      <c r="H138">
        <v>18.899999999999999</v>
      </c>
      <c r="I138">
        <v>22.9</v>
      </c>
      <c r="J138">
        <v>21</v>
      </c>
      <c r="K138">
        <v>1567.28</v>
      </c>
      <c r="L138">
        <v>1</v>
      </c>
      <c r="M138" t="s">
        <v>67</v>
      </c>
    </row>
    <row r="139" spans="1:13" x14ac:dyDescent="0.3">
      <c r="A139" t="s">
        <v>24</v>
      </c>
      <c r="B139" t="s">
        <v>57</v>
      </c>
      <c r="C139">
        <v>8</v>
      </c>
      <c r="D139">
        <v>0</v>
      </c>
      <c r="E139">
        <v>0</v>
      </c>
      <c r="F139">
        <v>0.99999999999999822</v>
      </c>
      <c r="G139">
        <v>6.1</v>
      </c>
      <c r="H139">
        <v>39</v>
      </c>
      <c r="I139">
        <v>23.6</v>
      </c>
      <c r="J139">
        <v>23</v>
      </c>
      <c r="K139">
        <v>738</v>
      </c>
      <c r="L139">
        <v>0</v>
      </c>
      <c r="M139" t="s">
        <v>67</v>
      </c>
    </row>
    <row r="140" spans="1:13" x14ac:dyDescent="0.3">
      <c r="A140" t="s">
        <v>24</v>
      </c>
      <c r="B140" t="s">
        <v>57</v>
      </c>
      <c r="C140">
        <v>54</v>
      </c>
      <c r="D140">
        <v>2</v>
      </c>
      <c r="E140">
        <v>3</v>
      </c>
      <c r="F140">
        <v>8</v>
      </c>
      <c r="G140">
        <v>5.5</v>
      </c>
      <c r="H140">
        <v>49.5</v>
      </c>
      <c r="I140">
        <v>23.4</v>
      </c>
      <c r="J140">
        <v>23</v>
      </c>
      <c r="K140">
        <v>738</v>
      </c>
      <c r="L140">
        <v>0</v>
      </c>
      <c r="M140" t="s">
        <v>67</v>
      </c>
    </row>
    <row r="141" spans="1:13" x14ac:dyDescent="0.3">
      <c r="A141" t="s">
        <v>24</v>
      </c>
      <c r="B141" t="s">
        <v>58</v>
      </c>
      <c r="C141">
        <v>28</v>
      </c>
      <c r="D141">
        <v>1</v>
      </c>
      <c r="E141">
        <v>2</v>
      </c>
      <c r="F141">
        <v>4</v>
      </c>
      <c r="G141">
        <v>6.2</v>
      </c>
      <c r="H141">
        <v>39</v>
      </c>
      <c r="I141">
        <v>23.6</v>
      </c>
      <c r="J141">
        <v>23</v>
      </c>
      <c r="K141">
        <v>738</v>
      </c>
      <c r="L141">
        <v>0</v>
      </c>
      <c r="M141" t="s">
        <v>67</v>
      </c>
    </row>
    <row r="142" spans="1:13" x14ac:dyDescent="0.3">
      <c r="A142" t="s">
        <v>24</v>
      </c>
      <c r="B142" t="s">
        <v>58</v>
      </c>
      <c r="C142">
        <v>35.000000000000007</v>
      </c>
      <c r="D142">
        <v>1</v>
      </c>
      <c r="E142">
        <v>2</v>
      </c>
      <c r="F142">
        <v>5</v>
      </c>
      <c r="G142">
        <v>6.9</v>
      </c>
      <c r="H142">
        <v>57.2</v>
      </c>
      <c r="I142">
        <v>24.6</v>
      </c>
      <c r="J142">
        <v>23</v>
      </c>
      <c r="K142">
        <v>738</v>
      </c>
      <c r="L142">
        <v>0</v>
      </c>
      <c r="M142" t="s">
        <v>67</v>
      </c>
    </row>
    <row r="143" spans="1:13" x14ac:dyDescent="0.3">
      <c r="A143" t="s">
        <v>24</v>
      </c>
      <c r="B143" t="s">
        <v>58</v>
      </c>
      <c r="C143">
        <v>29</v>
      </c>
      <c r="D143">
        <v>1</v>
      </c>
      <c r="E143">
        <v>2</v>
      </c>
      <c r="F143">
        <v>4</v>
      </c>
      <c r="G143">
        <v>6.9</v>
      </c>
      <c r="H143">
        <v>33.4</v>
      </c>
      <c r="I143">
        <v>25.2</v>
      </c>
      <c r="J143">
        <v>23</v>
      </c>
      <c r="K143">
        <v>738</v>
      </c>
      <c r="L143">
        <v>0</v>
      </c>
      <c r="M143" t="s">
        <v>67</v>
      </c>
    </row>
    <row r="144" spans="1:13" x14ac:dyDescent="0.3">
      <c r="A144" t="s">
        <v>24</v>
      </c>
      <c r="B144" t="s">
        <v>58</v>
      </c>
      <c r="C144">
        <v>13</v>
      </c>
      <c r="D144">
        <v>0</v>
      </c>
      <c r="E144">
        <v>0</v>
      </c>
      <c r="F144">
        <v>1.999999999999998</v>
      </c>
      <c r="G144">
        <v>6.5</v>
      </c>
      <c r="H144">
        <v>42.2</v>
      </c>
      <c r="I144">
        <v>25.1</v>
      </c>
      <c r="J144">
        <v>23</v>
      </c>
      <c r="K144">
        <v>738</v>
      </c>
      <c r="L144">
        <v>0</v>
      </c>
      <c r="M144" t="s">
        <v>67</v>
      </c>
    </row>
    <row r="145" spans="1:13" x14ac:dyDescent="0.3">
      <c r="A145" t="s">
        <v>24</v>
      </c>
      <c r="B145" t="s">
        <v>59</v>
      </c>
      <c r="C145">
        <v>58</v>
      </c>
      <c r="D145">
        <v>2</v>
      </c>
      <c r="E145">
        <v>4</v>
      </c>
      <c r="F145">
        <v>9</v>
      </c>
      <c r="G145">
        <v>6.7</v>
      </c>
      <c r="H145">
        <v>59.1</v>
      </c>
      <c r="I145">
        <v>26.7</v>
      </c>
      <c r="J145">
        <v>23</v>
      </c>
      <c r="K145">
        <v>738</v>
      </c>
      <c r="L145">
        <v>0</v>
      </c>
      <c r="M145" t="s">
        <v>67</v>
      </c>
    </row>
    <row r="146" spans="1:13" x14ac:dyDescent="0.3">
      <c r="A146" t="s">
        <v>24</v>
      </c>
      <c r="B146" t="s">
        <v>59</v>
      </c>
      <c r="C146">
        <v>350</v>
      </c>
      <c r="D146">
        <v>17</v>
      </c>
      <c r="E146">
        <v>24</v>
      </c>
      <c r="F146">
        <v>56</v>
      </c>
      <c r="G146">
        <v>5.2</v>
      </c>
      <c r="H146">
        <v>75.400000000000006</v>
      </c>
      <c r="I146">
        <v>30.6</v>
      </c>
      <c r="J146">
        <v>31</v>
      </c>
      <c r="K146">
        <v>11</v>
      </c>
      <c r="L146">
        <v>-1</v>
      </c>
      <c r="M146" t="s">
        <v>67</v>
      </c>
    </row>
    <row r="147" spans="1:13" x14ac:dyDescent="0.3">
      <c r="A147" t="s">
        <v>24</v>
      </c>
      <c r="B147" t="s">
        <v>60</v>
      </c>
      <c r="C147">
        <v>582</v>
      </c>
      <c r="D147">
        <v>29</v>
      </c>
      <c r="E147">
        <v>40</v>
      </c>
      <c r="F147">
        <v>93</v>
      </c>
      <c r="G147">
        <v>6.2</v>
      </c>
      <c r="H147">
        <v>80</v>
      </c>
      <c r="I147">
        <v>31.1</v>
      </c>
      <c r="J147">
        <v>31</v>
      </c>
      <c r="K147">
        <v>11</v>
      </c>
      <c r="L147">
        <v>-1</v>
      </c>
      <c r="M147" t="s">
        <v>67</v>
      </c>
    </row>
    <row r="148" spans="1:13" x14ac:dyDescent="0.3">
      <c r="A148" t="s">
        <v>24</v>
      </c>
      <c r="B148" t="s">
        <v>60</v>
      </c>
      <c r="C148">
        <v>505</v>
      </c>
      <c r="D148">
        <v>25</v>
      </c>
      <c r="E148">
        <v>35</v>
      </c>
      <c r="F148">
        <v>82</v>
      </c>
      <c r="G148">
        <v>5.4</v>
      </c>
      <c r="H148">
        <v>64.900000000000006</v>
      </c>
      <c r="I148">
        <v>31</v>
      </c>
      <c r="J148">
        <v>31</v>
      </c>
      <c r="K148">
        <v>11</v>
      </c>
      <c r="L148">
        <v>-1</v>
      </c>
      <c r="M148" t="s">
        <v>67</v>
      </c>
    </row>
    <row r="149" spans="1:13" x14ac:dyDescent="0.3">
      <c r="A149" t="s">
        <v>24</v>
      </c>
      <c r="B149" t="s">
        <v>61</v>
      </c>
      <c r="C149">
        <v>685</v>
      </c>
      <c r="D149">
        <v>34</v>
      </c>
      <c r="E149">
        <v>47</v>
      </c>
      <c r="F149">
        <v>109</v>
      </c>
      <c r="G149">
        <v>6</v>
      </c>
      <c r="H149">
        <v>70</v>
      </c>
      <c r="I149">
        <v>29.3</v>
      </c>
      <c r="J149">
        <v>31</v>
      </c>
      <c r="K149">
        <v>11</v>
      </c>
      <c r="L149">
        <v>-1</v>
      </c>
      <c r="M149" t="s">
        <v>67</v>
      </c>
    </row>
    <row r="150" spans="1:13" x14ac:dyDescent="0.3">
      <c r="A150" t="s">
        <v>24</v>
      </c>
      <c r="B150" t="s">
        <v>61</v>
      </c>
      <c r="C150">
        <v>344</v>
      </c>
      <c r="D150">
        <v>17</v>
      </c>
      <c r="E150">
        <v>24</v>
      </c>
      <c r="F150">
        <v>55</v>
      </c>
      <c r="G150">
        <v>4.5999999999999996</v>
      </c>
      <c r="H150">
        <v>54</v>
      </c>
      <c r="I150">
        <v>30.4</v>
      </c>
      <c r="J150">
        <v>31</v>
      </c>
      <c r="K150">
        <v>14</v>
      </c>
      <c r="L150">
        <v>-1</v>
      </c>
      <c r="M150" t="s">
        <v>67</v>
      </c>
    </row>
    <row r="151" spans="1:13" x14ac:dyDescent="0.3">
      <c r="A151" t="s">
        <v>24</v>
      </c>
      <c r="B151" t="s">
        <v>61</v>
      </c>
      <c r="C151">
        <v>185</v>
      </c>
      <c r="D151">
        <v>9</v>
      </c>
      <c r="E151">
        <v>12</v>
      </c>
      <c r="F151">
        <v>29</v>
      </c>
      <c r="G151">
        <v>6.2</v>
      </c>
      <c r="H151">
        <v>25.6</v>
      </c>
      <c r="I151">
        <v>29.6</v>
      </c>
      <c r="J151">
        <v>31</v>
      </c>
      <c r="K151">
        <v>14</v>
      </c>
      <c r="L151">
        <v>-1</v>
      </c>
      <c r="M151" t="s">
        <v>67</v>
      </c>
    </row>
    <row r="152" spans="1:13" x14ac:dyDescent="0.3">
      <c r="A152" t="s">
        <v>24</v>
      </c>
      <c r="B152" t="s">
        <v>61</v>
      </c>
      <c r="C152">
        <v>338</v>
      </c>
      <c r="D152">
        <v>16</v>
      </c>
      <c r="E152">
        <v>23</v>
      </c>
      <c r="F152">
        <v>54</v>
      </c>
      <c r="G152">
        <v>4.3</v>
      </c>
      <c r="H152">
        <v>57.2</v>
      </c>
      <c r="I152">
        <v>29.6</v>
      </c>
      <c r="J152">
        <v>31</v>
      </c>
      <c r="K152">
        <v>14</v>
      </c>
      <c r="L152">
        <v>-1</v>
      </c>
      <c r="M152" t="s">
        <v>67</v>
      </c>
    </row>
    <row r="153" spans="1:13" x14ac:dyDescent="0.3">
      <c r="A153" t="s">
        <v>24</v>
      </c>
      <c r="B153" t="s">
        <v>61</v>
      </c>
      <c r="C153">
        <v>81</v>
      </c>
      <c r="D153">
        <v>4</v>
      </c>
      <c r="E153">
        <v>5</v>
      </c>
      <c r="F153">
        <v>12</v>
      </c>
      <c r="G153">
        <v>6.2</v>
      </c>
      <c r="H153">
        <v>14.7</v>
      </c>
      <c r="I153">
        <v>34.700000000000003</v>
      </c>
      <c r="J153">
        <v>31</v>
      </c>
      <c r="K153">
        <v>48</v>
      </c>
      <c r="L153">
        <v>-1</v>
      </c>
      <c r="M153" t="s">
        <v>67</v>
      </c>
    </row>
    <row r="154" spans="1:13" x14ac:dyDescent="0.3">
      <c r="A154" t="s">
        <v>24</v>
      </c>
      <c r="B154" t="s">
        <v>61</v>
      </c>
      <c r="C154">
        <v>124</v>
      </c>
      <c r="D154">
        <v>6</v>
      </c>
      <c r="E154">
        <v>8</v>
      </c>
      <c r="F154">
        <v>20</v>
      </c>
      <c r="G154">
        <v>6.3</v>
      </c>
      <c r="H154">
        <v>20.2</v>
      </c>
      <c r="I154">
        <v>30.8</v>
      </c>
      <c r="J154">
        <v>31</v>
      </c>
      <c r="K154">
        <v>48</v>
      </c>
      <c r="L154">
        <v>-1</v>
      </c>
      <c r="M154" t="s">
        <v>67</v>
      </c>
    </row>
    <row r="155" spans="1:13" x14ac:dyDescent="0.3">
      <c r="A155" t="s">
        <v>25</v>
      </c>
      <c r="B155" t="s">
        <v>62</v>
      </c>
      <c r="C155">
        <v>89</v>
      </c>
      <c r="D155">
        <v>4</v>
      </c>
      <c r="E155">
        <v>6</v>
      </c>
      <c r="F155">
        <v>14</v>
      </c>
      <c r="G155">
        <v>6.7</v>
      </c>
      <c r="H155">
        <v>13.9</v>
      </c>
      <c r="I155">
        <v>31.3</v>
      </c>
      <c r="J155">
        <v>31</v>
      </c>
      <c r="K155">
        <v>48</v>
      </c>
      <c r="L155">
        <v>-1</v>
      </c>
      <c r="M155" t="s">
        <v>67</v>
      </c>
    </row>
    <row r="156" spans="1:13" x14ac:dyDescent="0.3">
      <c r="A156" t="s">
        <v>25</v>
      </c>
      <c r="B156" t="s">
        <v>62</v>
      </c>
      <c r="C156">
        <v>92</v>
      </c>
      <c r="D156">
        <v>4</v>
      </c>
      <c r="E156">
        <v>6</v>
      </c>
      <c r="F156">
        <v>14</v>
      </c>
      <c r="G156">
        <v>6.9</v>
      </c>
      <c r="H156">
        <v>14.7</v>
      </c>
      <c r="I156">
        <v>34.1</v>
      </c>
      <c r="J156">
        <v>31</v>
      </c>
      <c r="K156">
        <v>48</v>
      </c>
      <c r="L156">
        <v>-1</v>
      </c>
      <c r="M156" t="s">
        <v>67</v>
      </c>
    </row>
    <row r="157" spans="1:13" x14ac:dyDescent="0.3">
      <c r="A157" t="s">
        <v>25</v>
      </c>
      <c r="B157" t="s">
        <v>62</v>
      </c>
      <c r="C157">
        <v>23</v>
      </c>
      <c r="D157">
        <v>1</v>
      </c>
      <c r="E157">
        <v>1</v>
      </c>
      <c r="F157">
        <v>4</v>
      </c>
      <c r="G157">
        <v>5.5</v>
      </c>
      <c r="H157">
        <v>48.2</v>
      </c>
      <c r="I157">
        <v>21</v>
      </c>
      <c r="J157">
        <v>24</v>
      </c>
      <c r="K157">
        <v>1083</v>
      </c>
      <c r="L157">
        <v>0</v>
      </c>
      <c r="M157" t="s">
        <v>67</v>
      </c>
    </row>
    <row r="158" spans="1:13" x14ac:dyDescent="0.3">
      <c r="A158" t="s">
        <v>25</v>
      </c>
      <c r="B158" t="s">
        <v>62</v>
      </c>
      <c r="C158">
        <v>31</v>
      </c>
      <c r="D158">
        <v>1</v>
      </c>
      <c r="E158">
        <v>2</v>
      </c>
      <c r="F158">
        <v>5</v>
      </c>
      <c r="G158">
        <v>6.3</v>
      </c>
      <c r="H158">
        <v>39.200000000000003</v>
      </c>
      <c r="I158">
        <v>20.7</v>
      </c>
      <c r="J158">
        <v>24</v>
      </c>
      <c r="K158">
        <v>1083</v>
      </c>
      <c r="L158">
        <v>0</v>
      </c>
      <c r="M158" t="s">
        <v>67</v>
      </c>
    </row>
    <row r="159" spans="1:13" x14ac:dyDescent="0.3">
      <c r="A159" t="s">
        <v>25</v>
      </c>
      <c r="B159" t="s">
        <v>62</v>
      </c>
      <c r="C159">
        <v>25</v>
      </c>
      <c r="D159">
        <v>1</v>
      </c>
      <c r="E159">
        <v>1</v>
      </c>
      <c r="F159">
        <v>3</v>
      </c>
      <c r="G159">
        <v>6.3</v>
      </c>
      <c r="H159">
        <v>66.3</v>
      </c>
      <c r="I159">
        <v>20.5</v>
      </c>
      <c r="J159">
        <v>24</v>
      </c>
      <c r="K159">
        <v>1210</v>
      </c>
      <c r="L159">
        <v>0</v>
      </c>
      <c r="M159" t="s">
        <v>67</v>
      </c>
    </row>
    <row r="160" spans="1:13" x14ac:dyDescent="0.3">
      <c r="A160" t="s">
        <v>25</v>
      </c>
      <c r="B160" t="s">
        <v>62</v>
      </c>
      <c r="C160">
        <v>31</v>
      </c>
      <c r="D160">
        <v>1</v>
      </c>
      <c r="E160">
        <v>2</v>
      </c>
      <c r="F160">
        <v>4</v>
      </c>
      <c r="G160">
        <v>6.2</v>
      </c>
      <c r="H160">
        <v>24.6</v>
      </c>
      <c r="I160">
        <v>23.3</v>
      </c>
      <c r="J160">
        <v>24</v>
      </c>
      <c r="K160">
        <v>1210</v>
      </c>
      <c r="L160">
        <v>0</v>
      </c>
      <c r="M160" t="s">
        <v>67</v>
      </c>
    </row>
    <row r="161" spans="1:13" x14ac:dyDescent="0.3">
      <c r="A161" t="s">
        <v>25</v>
      </c>
      <c r="B161" t="s">
        <v>62</v>
      </c>
      <c r="C161">
        <v>581</v>
      </c>
      <c r="D161">
        <v>29</v>
      </c>
      <c r="E161">
        <v>41</v>
      </c>
      <c r="F161">
        <v>93</v>
      </c>
      <c r="G161">
        <v>4.5</v>
      </c>
      <c r="H161">
        <v>88.4</v>
      </c>
      <c r="I161">
        <v>27.3</v>
      </c>
      <c r="J161">
        <v>24</v>
      </c>
      <c r="K161">
        <v>711</v>
      </c>
      <c r="L161">
        <v>0</v>
      </c>
      <c r="M161" t="s">
        <v>67</v>
      </c>
    </row>
    <row r="162" spans="1:13" x14ac:dyDescent="0.3">
      <c r="A162" t="s">
        <v>25</v>
      </c>
      <c r="B162" t="s">
        <v>62</v>
      </c>
      <c r="C162">
        <v>256</v>
      </c>
      <c r="D162">
        <v>19</v>
      </c>
      <c r="E162">
        <v>26</v>
      </c>
      <c r="F162">
        <v>61</v>
      </c>
      <c r="G162">
        <v>4.4000000000000004</v>
      </c>
      <c r="H162">
        <v>72.5</v>
      </c>
      <c r="I162">
        <v>29.3</v>
      </c>
      <c r="J162">
        <v>24</v>
      </c>
      <c r="K162">
        <v>711</v>
      </c>
      <c r="L162">
        <v>0</v>
      </c>
      <c r="M162" t="s">
        <v>67</v>
      </c>
    </row>
    <row r="163" spans="1:13" x14ac:dyDescent="0.3">
      <c r="A163" t="s">
        <v>20</v>
      </c>
      <c r="B163" t="s">
        <v>50</v>
      </c>
      <c r="C163">
        <v>54.570686763617047</v>
      </c>
      <c r="D163">
        <v>2.5763479912136589</v>
      </c>
      <c r="E163">
        <v>3.1216716122559052</v>
      </c>
      <c r="F163">
        <v>7.525035271052646</v>
      </c>
      <c r="G163">
        <v>6.1335432707194526</v>
      </c>
      <c r="H163">
        <v>28.395156641767471</v>
      </c>
      <c r="I163">
        <v>18.542596495661751</v>
      </c>
      <c r="J163">
        <v>20.795872070470491</v>
      </c>
      <c r="K163">
        <v>1699.363615643349</v>
      </c>
      <c r="L163">
        <v>1</v>
      </c>
      <c r="M163" t="s">
        <v>66</v>
      </c>
    </row>
    <row r="164" spans="1:13" x14ac:dyDescent="0.3">
      <c r="A164" t="s">
        <v>19</v>
      </c>
      <c r="B164" t="s">
        <v>48</v>
      </c>
      <c r="C164">
        <v>90.182875838336557</v>
      </c>
      <c r="D164">
        <v>4.1940240353459304</v>
      </c>
      <c r="E164">
        <v>5.908638581302319</v>
      </c>
      <c r="F164">
        <v>15.76034336737928</v>
      </c>
      <c r="G164">
        <v>5.6372017237232441</v>
      </c>
      <c r="H164">
        <v>32.949498632349133</v>
      </c>
      <c r="I164">
        <v>24.983354146723261</v>
      </c>
      <c r="J164">
        <v>24.28233179118476</v>
      </c>
      <c r="K164">
        <v>684.2651474639589</v>
      </c>
      <c r="L164">
        <v>1</v>
      </c>
      <c r="M164" t="s">
        <v>66</v>
      </c>
    </row>
    <row r="165" spans="1:13" x14ac:dyDescent="0.3">
      <c r="A165" t="s">
        <v>15</v>
      </c>
      <c r="B165" t="s">
        <v>34</v>
      </c>
      <c r="C165">
        <v>61.782807794118611</v>
      </c>
      <c r="D165">
        <v>3.5090818601085232</v>
      </c>
      <c r="E165">
        <v>4.1957970251367573</v>
      </c>
      <c r="F165">
        <v>10.395362691342051</v>
      </c>
      <c r="G165">
        <v>6.0610293112466298</v>
      </c>
      <c r="H165">
        <v>34.469005292416128</v>
      </c>
      <c r="I165">
        <v>17.80135919976734</v>
      </c>
      <c r="J165">
        <v>19.8288165180752</v>
      </c>
      <c r="K165">
        <v>2153.0820500753298</v>
      </c>
      <c r="L165">
        <v>1</v>
      </c>
      <c r="M165" t="s">
        <v>66</v>
      </c>
    </row>
    <row r="166" spans="1:13" x14ac:dyDescent="0.3">
      <c r="A166" t="s">
        <v>20</v>
      </c>
      <c r="B166" t="s">
        <v>51</v>
      </c>
      <c r="C166">
        <v>26.369550662974021</v>
      </c>
      <c r="D166">
        <v>1.0784233685963209</v>
      </c>
      <c r="E166">
        <v>1.0221006880756141</v>
      </c>
      <c r="F166">
        <v>4.1318961067823352</v>
      </c>
      <c r="G166">
        <v>6.1690979401270818</v>
      </c>
      <c r="H166">
        <v>40.38220591947735</v>
      </c>
      <c r="I166">
        <v>23.19537191895661</v>
      </c>
      <c r="J166">
        <v>21.062805652126372</v>
      </c>
      <c r="K166">
        <v>1627.849711332073</v>
      </c>
      <c r="L166">
        <v>1</v>
      </c>
      <c r="M166" t="s">
        <v>66</v>
      </c>
    </row>
    <row r="167" spans="1:13" x14ac:dyDescent="0.3">
      <c r="A167" t="s">
        <v>19</v>
      </c>
      <c r="B167" t="s">
        <v>44</v>
      </c>
      <c r="C167">
        <v>12.64964204492451</v>
      </c>
      <c r="D167">
        <v>0</v>
      </c>
      <c r="E167">
        <v>0</v>
      </c>
      <c r="F167">
        <v>1.042980352680926</v>
      </c>
      <c r="G167">
        <v>6.5559130336259246</v>
      </c>
      <c r="H167">
        <v>25.941412620517919</v>
      </c>
      <c r="I167">
        <v>19.083420523296819</v>
      </c>
      <c r="J167">
        <v>29.301746573933091</v>
      </c>
      <c r="K167">
        <v>2138.1391740252429</v>
      </c>
      <c r="L167">
        <v>1</v>
      </c>
      <c r="M167" t="s">
        <v>66</v>
      </c>
    </row>
    <row r="168" spans="1:13" x14ac:dyDescent="0.3">
      <c r="A168" t="s">
        <v>15</v>
      </c>
      <c r="B168" t="s">
        <v>34</v>
      </c>
      <c r="C168">
        <v>27.831396496289369</v>
      </c>
      <c r="D168">
        <v>1.1386362117446489</v>
      </c>
      <c r="E168">
        <v>1.9051075725960751</v>
      </c>
      <c r="F168">
        <v>4.4528542853214246</v>
      </c>
      <c r="G168">
        <v>6.4253036101091023</v>
      </c>
      <c r="H168">
        <v>22.18595105673629</v>
      </c>
      <c r="I168">
        <v>17.128161298748019</v>
      </c>
      <c r="J168">
        <v>26.07641603753072</v>
      </c>
      <c r="K168">
        <v>1620.7075783184439</v>
      </c>
      <c r="L168">
        <v>1</v>
      </c>
      <c r="M168" t="s">
        <v>66</v>
      </c>
    </row>
    <row r="169" spans="1:13" x14ac:dyDescent="0.3">
      <c r="A169" t="s">
        <v>20</v>
      </c>
      <c r="B169" t="s">
        <v>50</v>
      </c>
      <c r="C169">
        <v>50.929281922530173</v>
      </c>
      <c r="D169">
        <v>2.175100319565701</v>
      </c>
      <c r="E169">
        <v>3.186380666610181</v>
      </c>
      <c r="F169">
        <v>7.3821511092856227</v>
      </c>
      <c r="G169">
        <v>6.1464429595289882</v>
      </c>
      <c r="H169">
        <v>25.31095468835866</v>
      </c>
      <c r="I169">
        <v>18.675729158125371</v>
      </c>
      <c r="J169">
        <v>20.24110048604302</v>
      </c>
      <c r="K169">
        <v>1749.4217443515599</v>
      </c>
      <c r="L169">
        <v>1</v>
      </c>
      <c r="M169" t="s">
        <v>66</v>
      </c>
    </row>
    <row r="170" spans="1:13" x14ac:dyDescent="0.3">
      <c r="A170" t="s">
        <v>21</v>
      </c>
      <c r="B170" t="s">
        <v>52</v>
      </c>
      <c r="C170">
        <v>22.666719815110032</v>
      </c>
      <c r="D170">
        <v>0.95921827340900023</v>
      </c>
      <c r="E170">
        <v>0.91408954334608161</v>
      </c>
      <c r="F170">
        <v>2.9629442971637161</v>
      </c>
      <c r="G170">
        <v>6.1716889250547533</v>
      </c>
      <c r="H170">
        <v>48.120624591919693</v>
      </c>
      <c r="I170">
        <v>22.768087579212871</v>
      </c>
      <c r="J170">
        <v>21.374668780549619</v>
      </c>
      <c r="K170">
        <v>1283.981821771926</v>
      </c>
      <c r="L170">
        <v>1</v>
      </c>
      <c r="M170" t="s">
        <v>66</v>
      </c>
    </row>
    <row r="171" spans="1:13" x14ac:dyDescent="0.3">
      <c r="A171" t="s">
        <v>19</v>
      </c>
      <c r="B171" t="s">
        <v>44</v>
      </c>
      <c r="C171">
        <v>28.253915883966311</v>
      </c>
      <c r="D171">
        <v>0.95198385650637718</v>
      </c>
      <c r="E171">
        <v>2.1382394841726349</v>
      </c>
      <c r="F171">
        <v>5.0101667606806686</v>
      </c>
      <c r="G171">
        <v>5.814588637467053</v>
      </c>
      <c r="H171">
        <v>23.215593190959801</v>
      </c>
      <c r="I171">
        <v>16.598203440176089</v>
      </c>
      <c r="J171">
        <v>20.56892350332231</v>
      </c>
      <c r="K171">
        <v>1710.978234322871</v>
      </c>
      <c r="L171">
        <v>1</v>
      </c>
      <c r="M171" t="s">
        <v>66</v>
      </c>
    </row>
    <row r="172" spans="1:13" x14ac:dyDescent="0.3">
      <c r="A172" t="s">
        <v>19</v>
      </c>
      <c r="B172" t="s">
        <v>46</v>
      </c>
      <c r="C172">
        <v>24.967178279933581</v>
      </c>
      <c r="D172">
        <v>0.79772981775942498</v>
      </c>
      <c r="E172">
        <v>0.94276552233607713</v>
      </c>
      <c r="F172">
        <v>4.534861449902408</v>
      </c>
      <c r="G172">
        <v>5.7221647559178166</v>
      </c>
      <c r="H172">
        <v>17.781669564256038</v>
      </c>
      <c r="I172">
        <v>30.899592186142389</v>
      </c>
      <c r="J172">
        <v>26.641895264040809</v>
      </c>
      <c r="K172">
        <v>720.49829562902175</v>
      </c>
      <c r="L172">
        <v>-1</v>
      </c>
      <c r="M172" t="s">
        <v>66</v>
      </c>
    </row>
    <row r="173" spans="1:13" x14ac:dyDescent="0.3">
      <c r="A173" t="s">
        <v>21</v>
      </c>
      <c r="B173" t="s">
        <v>52</v>
      </c>
      <c r="C173">
        <v>126.9157292247</v>
      </c>
      <c r="D173">
        <v>4.6033531415618221</v>
      </c>
      <c r="E173">
        <v>9.0523020970391972</v>
      </c>
      <c r="F173">
        <v>20.77920271585263</v>
      </c>
      <c r="G173">
        <v>5.5228473573263779</v>
      </c>
      <c r="H173">
        <v>58.388646694084848</v>
      </c>
      <c r="I173">
        <v>29.51658393267774</v>
      </c>
      <c r="J173">
        <v>25.844504296289191</v>
      </c>
      <c r="K173">
        <v>739.50580006052064</v>
      </c>
      <c r="L173">
        <v>0</v>
      </c>
      <c r="M173" t="s">
        <v>66</v>
      </c>
    </row>
    <row r="174" spans="1:13" x14ac:dyDescent="0.3">
      <c r="A174" t="s">
        <v>20</v>
      </c>
      <c r="B174" t="s">
        <v>49</v>
      </c>
      <c r="C174">
        <v>41.288610362288637</v>
      </c>
      <c r="D174">
        <v>1.978624236318558</v>
      </c>
      <c r="E174">
        <v>3.2067498784245392</v>
      </c>
      <c r="F174">
        <v>6.4803556825173718</v>
      </c>
      <c r="G174">
        <v>5.625185588294193</v>
      </c>
      <c r="H174">
        <v>18.89454250721905</v>
      </c>
      <c r="I174">
        <v>32.970679769898872</v>
      </c>
      <c r="J174">
        <v>26.036242687967061</v>
      </c>
      <c r="K174">
        <v>1142.0619886548809</v>
      </c>
      <c r="L174">
        <v>0</v>
      </c>
      <c r="M174" t="s">
        <v>66</v>
      </c>
    </row>
    <row r="175" spans="1:13" x14ac:dyDescent="0.3">
      <c r="A175" t="s">
        <v>20</v>
      </c>
      <c r="B175" t="s">
        <v>50</v>
      </c>
      <c r="C175">
        <v>50.83551720916504</v>
      </c>
      <c r="D175">
        <v>1.9993528973086201</v>
      </c>
      <c r="E175">
        <v>2.903166381546014</v>
      </c>
      <c r="F175">
        <v>9.9991005725578486</v>
      </c>
      <c r="G175">
        <v>6.7214114594188814</v>
      </c>
      <c r="H175">
        <v>20.017822683242969</v>
      </c>
      <c r="I175">
        <v>22.252847869649369</v>
      </c>
      <c r="J175">
        <v>20.874484102746109</v>
      </c>
      <c r="K175">
        <v>1766.022132844344</v>
      </c>
      <c r="L175">
        <v>1</v>
      </c>
      <c r="M175" t="s">
        <v>66</v>
      </c>
    </row>
    <row r="176" spans="1:13" x14ac:dyDescent="0.3">
      <c r="A176" t="s">
        <v>24</v>
      </c>
      <c r="B176" t="s">
        <v>61</v>
      </c>
      <c r="C176">
        <v>74.920313526478438</v>
      </c>
      <c r="D176">
        <v>3.9600132176728708</v>
      </c>
      <c r="E176">
        <v>4.4147540473104838</v>
      </c>
      <c r="F176">
        <v>11.777894906695609</v>
      </c>
      <c r="G176">
        <v>6.1310771012480876</v>
      </c>
      <c r="H176">
        <v>15.26678186513311</v>
      </c>
      <c r="I176">
        <v>35.878333701945877</v>
      </c>
      <c r="J176">
        <v>31.362971412813479</v>
      </c>
      <c r="K176">
        <v>48.519965802130173</v>
      </c>
      <c r="L176">
        <v>-1</v>
      </c>
      <c r="M176" t="s">
        <v>66</v>
      </c>
    </row>
    <row r="177" spans="1:13" x14ac:dyDescent="0.3">
      <c r="A177" t="s">
        <v>22</v>
      </c>
      <c r="B177" t="s">
        <v>54</v>
      </c>
      <c r="C177">
        <v>44.946348821359422</v>
      </c>
      <c r="D177">
        <v>1.5724079912861439</v>
      </c>
      <c r="E177">
        <v>2.855735225542269</v>
      </c>
      <c r="F177">
        <v>7.2162050095048089</v>
      </c>
      <c r="G177">
        <v>7.5</v>
      </c>
      <c r="H177">
        <v>44.84481503636686</v>
      </c>
      <c r="I177">
        <v>33.005057462714987</v>
      </c>
      <c r="J177">
        <v>22.487651887477959</v>
      </c>
      <c r="K177">
        <v>1341.3091385816099</v>
      </c>
      <c r="L177">
        <v>1</v>
      </c>
      <c r="M177" t="s">
        <v>66</v>
      </c>
    </row>
    <row r="178" spans="1:13" x14ac:dyDescent="0.3">
      <c r="A178" t="s">
        <v>24</v>
      </c>
      <c r="B178" t="s">
        <v>61</v>
      </c>
      <c r="C178">
        <v>194.39246728546291</v>
      </c>
      <c r="D178">
        <v>9.0751243195139537</v>
      </c>
      <c r="E178">
        <v>10.86948360979517</v>
      </c>
      <c r="F178">
        <v>32.971771170160267</v>
      </c>
      <c r="G178">
        <v>6.3363396101804623</v>
      </c>
      <c r="H178">
        <v>25.55288536349925</v>
      </c>
      <c r="I178">
        <v>29.369974105796011</v>
      </c>
      <c r="J178">
        <v>31.19983852290007</v>
      </c>
      <c r="K178">
        <v>14.027286925499769</v>
      </c>
      <c r="L178">
        <v>-1</v>
      </c>
      <c r="M178" t="s">
        <v>66</v>
      </c>
    </row>
    <row r="179" spans="1:13" x14ac:dyDescent="0.3">
      <c r="A179" t="s">
        <v>18</v>
      </c>
      <c r="B179" t="s">
        <v>42</v>
      </c>
      <c r="C179">
        <v>28.722738816960671</v>
      </c>
      <c r="D179">
        <v>1.080724484675595</v>
      </c>
      <c r="E179">
        <v>1.8236713633740591</v>
      </c>
      <c r="F179">
        <v>4.4053552627011339</v>
      </c>
      <c r="G179">
        <v>5.4406821902328577</v>
      </c>
      <c r="H179">
        <v>26.0039373988884</v>
      </c>
      <c r="I179">
        <v>20.97110368553561</v>
      </c>
      <c r="J179">
        <v>24.810779229473042</v>
      </c>
      <c r="K179">
        <v>1851.8213840697331</v>
      </c>
      <c r="L179">
        <v>1</v>
      </c>
      <c r="M179" t="s">
        <v>66</v>
      </c>
    </row>
    <row r="180" spans="1:13" x14ac:dyDescent="0.3">
      <c r="A180" t="s">
        <v>15</v>
      </c>
      <c r="B180" t="s">
        <v>30</v>
      </c>
      <c r="C180">
        <v>40.603054981571262</v>
      </c>
      <c r="D180">
        <v>1.794091398701944</v>
      </c>
      <c r="E180">
        <v>1.944760269733077</v>
      </c>
      <c r="F180">
        <v>6.6930155225038988</v>
      </c>
      <c r="G180">
        <v>6.1981369469287531</v>
      </c>
      <c r="H180">
        <v>29.06852930311074</v>
      </c>
      <c r="I180">
        <v>19.402185521625888</v>
      </c>
      <c r="J180">
        <v>28.826752986937901</v>
      </c>
      <c r="K180">
        <v>2045.2407009831959</v>
      </c>
      <c r="L180">
        <v>1</v>
      </c>
      <c r="M180" t="s">
        <v>66</v>
      </c>
    </row>
    <row r="181" spans="1:13" x14ac:dyDescent="0.3">
      <c r="A181" t="s">
        <v>19</v>
      </c>
      <c r="B181" t="s">
        <v>46</v>
      </c>
      <c r="C181">
        <v>27.535314947125531</v>
      </c>
      <c r="D181">
        <v>0.99469632233682947</v>
      </c>
      <c r="E181">
        <v>0.82970966579005179</v>
      </c>
      <c r="F181">
        <v>3.6117132060439339</v>
      </c>
      <c r="G181">
        <v>6.1739814860024653</v>
      </c>
      <c r="H181">
        <v>19.603621392748479</v>
      </c>
      <c r="I181">
        <v>30.883557228634949</v>
      </c>
      <c r="J181">
        <v>25.869442393387502</v>
      </c>
      <c r="K181">
        <v>707.79569469153239</v>
      </c>
      <c r="L181">
        <v>-1</v>
      </c>
      <c r="M181" t="s">
        <v>66</v>
      </c>
    </row>
    <row r="182" spans="1:13" x14ac:dyDescent="0.3">
      <c r="A182" t="s">
        <v>25</v>
      </c>
      <c r="B182" t="s">
        <v>62</v>
      </c>
      <c r="C182">
        <v>22.375625390885919</v>
      </c>
      <c r="D182">
        <v>0.9491132175543302</v>
      </c>
      <c r="E182">
        <v>0.88367083062858498</v>
      </c>
      <c r="F182">
        <v>3.1160363785217569</v>
      </c>
      <c r="G182">
        <v>6.3994205547170804</v>
      </c>
      <c r="H182">
        <v>66.787802263716188</v>
      </c>
      <c r="I182">
        <v>19.937975922913701</v>
      </c>
      <c r="J182">
        <v>23.062573472396441</v>
      </c>
      <c r="K182">
        <v>1157.098905982039</v>
      </c>
      <c r="L182">
        <v>0</v>
      </c>
      <c r="M182" t="s">
        <v>66</v>
      </c>
    </row>
    <row r="183" spans="1:13" x14ac:dyDescent="0.3">
      <c r="A183" t="s">
        <v>17</v>
      </c>
      <c r="B183" t="s">
        <v>39</v>
      </c>
      <c r="C183">
        <v>28.3580174518783</v>
      </c>
      <c r="D183">
        <v>1.074111800385519</v>
      </c>
      <c r="E183">
        <v>1.104272123247755</v>
      </c>
      <c r="F183">
        <v>5.3339790737645636</v>
      </c>
      <c r="G183">
        <v>6.0311377034485014</v>
      </c>
      <c r="H183">
        <v>19.037012964859251</v>
      </c>
      <c r="I183">
        <v>20.580442118782699</v>
      </c>
      <c r="J183">
        <v>24.87072315719789</v>
      </c>
      <c r="K183">
        <v>2215.6908989120079</v>
      </c>
      <c r="L183">
        <v>1</v>
      </c>
      <c r="M183" t="s">
        <v>66</v>
      </c>
    </row>
    <row r="184" spans="1:13" x14ac:dyDescent="0.3">
      <c r="A184" t="s">
        <v>22</v>
      </c>
      <c r="B184" t="s">
        <v>53</v>
      </c>
      <c r="C184">
        <v>74.573850670443107</v>
      </c>
      <c r="D184">
        <v>3.0093477475560428</v>
      </c>
      <c r="E184">
        <v>5.3629405170944198</v>
      </c>
      <c r="F184">
        <v>11.920073262732011</v>
      </c>
      <c r="G184">
        <v>5.9812640968087889</v>
      </c>
      <c r="H184">
        <v>35.106360893611502</v>
      </c>
      <c r="I184">
        <v>26.864541520180751</v>
      </c>
      <c r="J184">
        <v>22.674021083915751</v>
      </c>
      <c r="K184">
        <v>1366.025838737999</v>
      </c>
      <c r="L184">
        <v>1</v>
      </c>
      <c r="M184" t="s">
        <v>66</v>
      </c>
    </row>
    <row r="185" spans="1:13" x14ac:dyDescent="0.3">
      <c r="A185" t="s">
        <v>15</v>
      </c>
      <c r="B185" t="s">
        <v>34</v>
      </c>
      <c r="C185">
        <v>29.160536251846722</v>
      </c>
      <c r="D185">
        <v>0.92665651362129342</v>
      </c>
      <c r="E185">
        <v>2.0155894382008261</v>
      </c>
      <c r="F185">
        <v>4.697932527796528</v>
      </c>
      <c r="G185">
        <v>6.1749532127581226</v>
      </c>
      <c r="H185">
        <v>22.74679123036044</v>
      </c>
      <c r="I185">
        <v>17.8584467376978</v>
      </c>
      <c r="J185">
        <v>26.14858049082973</v>
      </c>
      <c r="K185">
        <v>1579.607543643069</v>
      </c>
      <c r="L185">
        <v>1</v>
      </c>
      <c r="M185" t="s">
        <v>66</v>
      </c>
    </row>
    <row r="186" spans="1:13" x14ac:dyDescent="0.3">
      <c r="A186" t="s">
        <v>25</v>
      </c>
      <c r="B186" t="s">
        <v>62</v>
      </c>
      <c r="C186">
        <v>261.03621714507779</v>
      </c>
      <c r="D186">
        <v>17.83187152817187</v>
      </c>
      <c r="E186">
        <v>24.225732047437969</v>
      </c>
      <c r="F186">
        <v>57.138405466770202</v>
      </c>
      <c r="G186">
        <v>4.4428183056620778</v>
      </c>
      <c r="H186">
        <v>71.838665066749272</v>
      </c>
      <c r="I186">
        <v>29.2916584900502</v>
      </c>
      <c r="J186">
        <v>24.793541969268389</v>
      </c>
      <c r="K186">
        <v>692.95880422237008</v>
      </c>
      <c r="L186">
        <v>0</v>
      </c>
      <c r="M186" t="s">
        <v>66</v>
      </c>
    </row>
    <row r="187" spans="1:13" x14ac:dyDescent="0.3">
      <c r="A187" t="s">
        <v>18</v>
      </c>
      <c r="B187" t="s">
        <v>41</v>
      </c>
      <c r="C187">
        <v>0</v>
      </c>
      <c r="D187">
        <v>0</v>
      </c>
      <c r="E187">
        <v>0</v>
      </c>
      <c r="F187">
        <v>-1.7763568394002501E-15</v>
      </c>
      <c r="G187">
        <v>6.4509958103427083</v>
      </c>
      <c r="H187">
        <v>23.494141999417359</v>
      </c>
      <c r="I187">
        <v>30.621778381981859</v>
      </c>
      <c r="J187">
        <v>34.5</v>
      </c>
      <c r="K187">
        <v>1804.5906841867229</v>
      </c>
      <c r="L187">
        <v>1</v>
      </c>
      <c r="M187" t="s">
        <v>66</v>
      </c>
    </row>
    <row r="188" spans="1:13" x14ac:dyDescent="0.3">
      <c r="A188" t="s">
        <v>15</v>
      </c>
      <c r="B188" t="s">
        <v>34</v>
      </c>
      <c r="C188">
        <v>120.30961360988189</v>
      </c>
      <c r="D188">
        <v>5.1241771965001366</v>
      </c>
      <c r="E188">
        <v>6.9658732030759714</v>
      </c>
      <c r="F188">
        <v>14.5967637687626</v>
      </c>
      <c r="G188">
        <v>5.8975424122564348</v>
      </c>
      <c r="H188">
        <v>39.132166554782813</v>
      </c>
      <c r="I188">
        <v>16.290711217401022</v>
      </c>
      <c r="J188">
        <v>28.18054003140929</v>
      </c>
      <c r="K188">
        <v>1627.4569910066141</v>
      </c>
      <c r="L188">
        <v>1</v>
      </c>
      <c r="M188" t="s">
        <v>66</v>
      </c>
    </row>
    <row r="189" spans="1:13" x14ac:dyDescent="0.3">
      <c r="A189" t="s">
        <v>19</v>
      </c>
      <c r="B189" t="s">
        <v>47</v>
      </c>
      <c r="C189">
        <v>31.662957874707551</v>
      </c>
      <c r="D189">
        <v>0.90724900418605881</v>
      </c>
      <c r="E189">
        <v>2.1155155320671621</v>
      </c>
      <c r="F189">
        <v>4.0900411627652709</v>
      </c>
      <c r="G189">
        <v>6.0099427567285657</v>
      </c>
      <c r="H189">
        <v>22.259809461340701</v>
      </c>
      <c r="I189">
        <v>30.372159821431659</v>
      </c>
      <c r="J189">
        <v>25.758425152300092</v>
      </c>
      <c r="K189">
        <v>760.78099984290407</v>
      </c>
      <c r="L189">
        <v>-1</v>
      </c>
      <c r="M189" t="s">
        <v>66</v>
      </c>
    </row>
    <row r="190" spans="1:13" x14ac:dyDescent="0.3">
      <c r="A190" t="s">
        <v>18</v>
      </c>
      <c r="B190" t="s">
        <v>42</v>
      </c>
      <c r="C190">
        <v>64.455213679775838</v>
      </c>
      <c r="D190">
        <v>2.7301189857325419</v>
      </c>
      <c r="E190">
        <v>4.1346370330482793</v>
      </c>
      <c r="F190">
        <v>9.0905032265472965</v>
      </c>
      <c r="G190">
        <v>5.7831837813932419</v>
      </c>
      <c r="H190">
        <v>40.933624655510023</v>
      </c>
      <c r="I190">
        <v>19.88746228224208</v>
      </c>
      <c r="J190">
        <v>20.146440860152101</v>
      </c>
      <c r="K190">
        <v>1794.371253928769</v>
      </c>
      <c r="L190">
        <v>1</v>
      </c>
      <c r="M190" t="s">
        <v>66</v>
      </c>
    </row>
    <row r="191" spans="1:13" x14ac:dyDescent="0.3">
      <c r="A191" t="s">
        <v>18</v>
      </c>
      <c r="B191" t="s">
        <v>41</v>
      </c>
      <c r="C191">
        <v>5.9105664149003871</v>
      </c>
      <c r="D191">
        <v>0</v>
      </c>
      <c r="E191">
        <v>0</v>
      </c>
      <c r="F191">
        <v>-1.7763568394002501E-15</v>
      </c>
      <c r="G191">
        <v>6.3994186241340696</v>
      </c>
      <c r="H191">
        <v>24.19282781044366</v>
      </c>
      <c r="I191">
        <v>28.99529648240301</v>
      </c>
      <c r="J191">
        <v>34.5</v>
      </c>
      <c r="K191">
        <v>1754.511724794633</v>
      </c>
      <c r="L191">
        <v>1</v>
      </c>
      <c r="M191" t="s">
        <v>66</v>
      </c>
    </row>
    <row r="192" spans="1:13" x14ac:dyDescent="0.3">
      <c r="A192" t="s">
        <v>15</v>
      </c>
      <c r="B192" t="s">
        <v>34</v>
      </c>
      <c r="C192">
        <v>62.736302250938287</v>
      </c>
      <c r="D192">
        <v>3.0142039426222662</v>
      </c>
      <c r="E192">
        <v>4.8388137152491701</v>
      </c>
      <c r="F192">
        <v>9.0639893467307679</v>
      </c>
      <c r="G192">
        <v>6.0551018276885014</v>
      </c>
      <c r="H192">
        <v>32.680388716420559</v>
      </c>
      <c r="I192">
        <v>17.563539289332159</v>
      </c>
      <c r="J192">
        <v>19.062893340518158</v>
      </c>
      <c r="K192">
        <v>2115.6962570490259</v>
      </c>
      <c r="L192">
        <v>1</v>
      </c>
      <c r="M192" t="s">
        <v>66</v>
      </c>
    </row>
    <row r="193" spans="1:13" x14ac:dyDescent="0.3">
      <c r="A193" t="s">
        <v>18</v>
      </c>
      <c r="B193" t="s">
        <v>42</v>
      </c>
      <c r="C193">
        <v>52.040757345943199</v>
      </c>
      <c r="D193">
        <v>1.8551411129183011</v>
      </c>
      <c r="E193">
        <v>3.0798053077435661</v>
      </c>
      <c r="F193">
        <v>6.9238803898482164</v>
      </c>
      <c r="G193">
        <v>5.4347670590648383</v>
      </c>
      <c r="H193">
        <v>18.00456815098692</v>
      </c>
      <c r="I193">
        <v>24.111145649175519</v>
      </c>
      <c r="J193">
        <v>27.601449220202721</v>
      </c>
      <c r="K193">
        <v>1570.0121489659939</v>
      </c>
      <c r="L193">
        <v>1</v>
      </c>
      <c r="M193" t="s">
        <v>66</v>
      </c>
    </row>
    <row r="194" spans="1:13" x14ac:dyDescent="0.3">
      <c r="A194" t="s">
        <v>20</v>
      </c>
      <c r="B194" t="s">
        <v>51</v>
      </c>
      <c r="C194">
        <v>71.015793838281752</v>
      </c>
      <c r="D194">
        <v>3.1730675570372182</v>
      </c>
      <c r="E194">
        <v>4.9114900573185132</v>
      </c>
      <c r="F194">
        <v>11.22534278814317</v>
      </c>
      <c r="G194">
        <v>6.3071344181067186</v>
      </c>
      <c r="H194">
        <v>64.840968096721141</v>
      </c>
      <c r="I194">
        <v>20.509913598300269</v>
      </c>
      <c r="J194">
        <v>19.988531379819769</v>
      </c>
      <c r="K194">
        <v>1548.862430025687</v>
      </c>
      <c r="L194">
        <v>1</v>
      </c>
      <c r="M194" t="s">
        <v>66</v>
      </c>
    </row>
    <row r="195" spans="1:13" x14ac:dyDescent="0.3">
      <c r="A195" t="s">
        <v>18</v>
      </c>
      <c r="B195" t="s">
        <v>42</v>
      </c>
      <c r="C195">
        <v>27.059851885630039</v>
      </c>
      <c r="D195">
        <v>0.90221048463308628</v>
      </c>
      <c r="E195">
        <v>0.89280915733046662</v>
      </c>
      <c r="F195">
        <v>4.5204199534225111</v>
      </c>
      <c r="G195">
        <v>5.3461809822706341</v>
      </c>
      <c r="H195">
        <v>28.618100733776458</v>
      </c>
      <c r="I195">
        <v>18.655373965382172</v>
      </c>
      <c r="J195">
        <v>25.855582410059899</v>
      </c>
      <c r="K195">
        <v>1891.6915170090449</v>
      </c>
      <c r="L195">
        <v>1</v>
      </c>
      <c r="M195" t="s">
        <v>66</v>
      </c>
    </row>
    <row r="196" spans="1:13" x14ac:dyDescent="0.3">
      <c r="A196" t="s">
        <v>18</v>
      </c>
      <c r="B196" t="s">
        <v>43</v>
      </c>
      <c r="C196">
        <v>58.970792892795373</v>
      </c>
      <c r="D196">
        <v>2.104829229670147</v>
      </c>
      <c r="E196">
        <v>2.973292777521912</v>
      </c>
      <c r="F196">
        <v>8.2589149566327045</v>
      </c>
      <c r="G196">
        <v>5.7510283298317741</v>
      </c>
      <c r="H196">
        <v>54.075563567061842</v>
      </c>
      <c r="I196">
        <v>21.717091519164679</v>
      </c>
      <c r="J196">
        <v>19.414825854434639</v>
      </c>
      <c r="K196">
        <v>1922.4364128848699</v>
      </c>
      <c r="L196">
        <v>1</v>
      </c>
      <c r="M196" t="s">
        <v>66</v>
      </c>
    </row>
    <row r="197" spans="1:13" x14ac:dyDescent="0.3">
      <c r="A197" t="s">
        <v>22</v>
      </c>
      <c r="B197" t="s">
        <v>54</v>
      </c>
      <c r="C197">
        <v>52.875790085829507</v>
      </c>
      <c r="D197">
        <v>2.2035725992405419</v>
      </c>
      <c r="E197">
        <v>3.0832555889343451</v>
      </c>
      <c r="F197">
        <v>6.5169363945662866</v>
      </c>
      <c r="G197">
        <v>7.3488988352974367</v>
      </c>
      <c r="H197">
        <v>46.025738763329009</v>
      </c>
      <c r="I197">
        <v>29.398709163777841</v>
      </c>
      <c r="J197">
        <v>21.746649611830819</v>
      </c>
      <c r="K197">
        <v>1333.484047020293</v>
      </c>
      <c r="L197">
        <v>1</v>
      </c>
      <c r="M197" t="s">
        <v>66</v>
      </c>
    </row>
    <row r="198" spans="1:13" x14ac:dyDescent="0.3">
      <c r="A198" t="s">
        <v>18</v>
      </c>
      <c r="B198" t="s">
        <v>42</v>
      </c>
      <c r="C198">
        <v>49.063503604843667</v>
      </c>
      <c r="D198">
        <v>1.921603603555291</v>
      </c>
      <c r="E198">
        <v>2.6814629389095459</v>
      </c>
      <c r="F198">
        <v>7.5632642013949676</v>
      </c>
      <c r="G198">
        <v>5.3846200320667474</v>
      </c>
      <c r="H198">
        <v>19.483873456213239</v>
      </c>
      <c r="I198">
        <v>22.592780191128998</v>
      </c>
      <c r="J198">
        <v>26.127746611189011</v>
      </c>
      <c r="K198">
        <v>1641.372823600296</v>
      </c>
      <c r="L198">
        <v>1</v>
      </c>
      <c r="M198" t="s">
        <v>66</v>
      </c>
    </row>
    <row r="199" spans="1:13" x14ac:dyDescent="0.3">
      <c r="A199" t="s">
        <v>23</v>
      </c>
      <c r="B199" t="s">
        <v>56</v>
      </c>
      <c r="C199">
        <v>72.974337994017858</v>
      </c>
      <c r="D199">
        <v>3.0137332883297518</v>
      </c>
      <c r="E199">
        <v>4.573954094190066</v>
      </c>
      <c r="F199">
        <v>10.45312999293934</v>
      </c>
      <c r="G199">
        <v>6.4438385286301703</v>
      </c>
      <c r="H199">
        <v>17.074987399513152</v>
      </c>
      <c r="I199">
        <v>20.027766071298721</v>
      </c>
      <c r="J199">
        <v>18.110344116699039</v>
      </c>
      <c r="K199">
        <v>1665.274255731357</v>
      </c>
      <c r="L199">
        <v>1</v>
      </c>
      <c r="M199" t="s">
        <v>66</v>
      </c>
    </row>
    <row r="200" spans="1:13" x14ac:dyDescent="0.3">
      <c r="A200" t="s">
        <v>15</v>
      </c>
      <c r="B200" t="s">
        <v>34</v>
      </c>
      <c r="C200">
        <v>30.20593817623082</v>
      </c>
      <c r="D200">
        <v>1.0322294405858889</v>
      </c>
      <c r="E200">
        <v>1.603814338025805</v>
      </c>
      <c r="F200">
        <v>3.9553152931931308</v>
      </c>
      <c r="G200">
        <v>6.3433682907033013</v>
      </c>
      <c r="H200">
        <v>22.435735060886081</v>
      </c>
      <c r="I200">
        <v>17.44176351466275</v>
      </c>
      <c r="J200">
        <v>27.725969151429791</v>
      </c>
      <c r="K200">
        <v>1566.2818009949681</v>
      </c>
      <c r="L200">
        <v>1</v>
      </c>
      <c r="M200" t="s">
        <v>66</v>
      </c>
    </row>
    <row r="201" spans="1:13" x14ac:dyDescent="0.3">
      <c r="A201" t="s">
        <v>19</v>
      </c>
      <c r="B201" t="s">
        <v>44</v>
      </c>
      <c r="C201">
        <v>54.765372321783573</v>
      </c>
      <c r="D201">
        <v>2.203371095392983</v>
      </c>
      <c r="E201">
        <v>2.6601695124748308</v>
      </c>
      <c r="F201">
        <v>7.5107273949443787</v>
      </c>
      <c r="G201">
        <v>6.1087900511593736</v>
      </c>
      <c r="H201">
        <v>23.629770601396441</v>
      </c>
      <c r="I201">
        <v>19.109386412245978</v>
      </c>
      <c r="J201">
        <v>30.473306684747062</v>
      </c>
      <c r="K201">
        <v>2191.0148166090021</v>
      </c>
      <c r="L201">
        <v>1</v>
      </c>
      <c r="M201" t="s">
        <v>66</v>
      </c>
    </row>
    <row r="202" spans="1:13" x14ac:dyDescent="0.3">
      <c r="A202" t="s">
        <v>15</v>
      </c>
      <c r="B202" t="s">
        <v>34</v>
      </c>
      <c r="C202">
        <v>146.37879569015291</v>
      </c>
      <c r="D202">
        <v>7.3395308736088021</v>
      </c>
      <c r="E202">
        <v>10.56095011292992</v>
      </c>
      <c r="F202">
        <v>26.882367545725671</v>
      </c>
      <c r="G202">
        <v>5.713729144995324</v>
      </c>
      <c r="H202">
        <v>25.46634040684485</v>
      </c>
      <c r="I202">
        <v>24.851787505284548</v>
      </c>
      <c r="J202">
        <v>19.257132312327322</v>
      </c>
      <c r="K202">
        <v>2056.3832496114078</v>
      </c>
      <c r="L202">
        <v>1</v>
      </c>
      <c r="M202" t="s">
        <v>66</v>
      </c>
    </row>
    <row r="203" spans="1:13" x14ac:dyDescent="0.3">
      <c r="A203" t="s">
        <v>22</v>
      </c>
      <c r="B203" t="s">
        <v>54</v>
      </c>
      <c r="C203">
        <v>24.983472924320399</v>
      </c>
      <c r="D203">
        <v>1.109932948106706</v>
      </c>
      <c r="E203">
        <v>0.91908680999797099</v>
      </c>
      <c r="F203">
        <v>3.5268792066422812</v>
      </c>
      <c r="G203">
        <v>6.2850466220295154</v>
      </c>
      <c r="H203">
        <v>35.660622317168958</v>
      </c>
      <c r="I203">
        <v>18.082692620748141</v>
      </c>
      <c r="J203">
        <v>16.067240870867309</v>
      </c>
      <c r="K203">
        <v>1766.1135684371591</v>
      </c>
      <c r="L203">
        <v>1</v>
      </c>
      <c r="M203" t="s">
        <v>66</v>
      </c>
    </row>
    <row r="204" spans="1:13" x14ac:dyDescent="0.3">
      <c r="A204" t="s">
        <v>19</v>
      </c>
      <c r="B204" t="s">
        <v>47</v>
      </c>
      <c r="C204">
        <v>31.991720070688739</v>
      </c>
      <c r="D204">
        <v>1.1090442013897619</v>
      </c>
      <c r="E204">
        <v>1.9371096005994899</v>
      </c>
      <c r="F204">
        <v>3.621496756894611</v>
      </c>
      <c r="G204">
        <v>5.9721996483259323</v>
      </c>
      <c r="H204">
        <v>21.927310863146261</v>
      </c>
      <c r="I204">
        <v>30.075593892107889</v>
      </c>
      <c r="J204">
        <v>26.079080340215921</v>
      </c>
      <c r="K204">
        <v>740.26121225468501</v>
      </c>
      <c r="L204">
        <v>-1</v>
      </c>
      <c r="M204" t="s">
        <v>66</v>
      </c>
    </row>
    <row r="205" spans="1:13" x14ac:dyDescent="0.3">
      <c r="A205" t="s">
        <v>18</v>
      </c>
      <c r="B205" t="s">
        <v>41</v>
      </c>
      <c r="C205">
        <v>11.29704583121428</v>
      </c>
      <c r="D205">
        <v>0</v>
      </c>
      <c r="E205">
        <v>0</v>
      </c>
      <c r="F205">
        <v>1.056898286797846</v>
      </c>
      <c r="G205">
        <v>6.0962230438279494</v>
      </c>
      <c r="H205">
        <v>19.049593836849631</v>
      </c>
      <c r="I205">
        <v>19.98978983263088</v>
      </c>
      <c r="J205">
        <v>19.812044593347171</v>
      </c>
      <c r="K205">
        <v>1818.528930091145</v>
      </c>
      <c r="L205">
        <v>1</v>
      </c>
      <c r="M205" t="s">
        <v>66</v>
      </c>
    </row>
    <row r="206" spans="1:13" x14ac:dyDescent="0.3">
      <c r="A206" t="s">
        <v>15</v>
      </c>
      <c r="B206" t="s">
        <v>33</v>
      </c>
      <c r="C206">
        <v>96.655954750059493</v>
      </c>
      <c r="D206">
        <v>2.9690439931061379</v>
      </c>
      <c r="E206">
        <v>4.0858671803843913</v>
      </c>
      <c r="F206">
        <v>9.3721977490615984</v>
      </c>
      <c r="G206">
        <v>6.0405075042111607</v>
      </c>
      <c r="H206">
        <v>32.074684528429863</v>
      </c>
      <c r="I206">
        <v>16.60275098731017</v>
      </c>
      <c r="J206">
        <v>19.258792659677798</v>
      </c>
      <c r="K206">
        <v>2127.3182637914169</v>
      </c>
      <c r="L206">
        <v>1</v>
      </c>
      <c r="M206" t="s">
        <v>66</v>
      </c>
    </row>
    <row r="207" spans="1:13" x14ac:dyDescent="0.3">
      <c r="A207" t="s">
        <v>15</v>
      </c>
      <c r="B207" t="s">
        <v>33</v>
      </c>
      <c r="C207">
        <v>66.932152920944674</v>
      </c>
      <c r="D207">
        <v>2.814694280630146</v>
      </c>
      <c r="E207">
        <v>3.7768925024794089</v>
      </c>
      <c r="F207">
        <v>10.36113129475533</v>
      </c>
      <c r="G207">
        <v>5.5868979406413128</v>
      </c>
      <c r="H207">
        <v>35.336983802338978</v>
      </c>
      <c r="I207">
        <v>20.571583333690722</v>
      </c>
      <c r="J207">
        <v>18.529930051195159</v>
      </c>
      <c r="K207">
        <v>1897.77672173519</v>
      </c>
      <c r="L207">
        <v>1</v>
      </c>
      <c r="M207" t="s">
        <v>66</v>
      </c>
    </row>
    <row r="208" spans="1:13" x14ac:dyDescent="0.3">
      <c r="A208" t="s">
        <v>19</v>
      </c>
      <c r="B208" t="s">
        <v>47</v>
      </c>
      <c r="C208">
        <v>78.666102912958436</v>
      </c>
      <c r="D208">
        <v>3.3441733052877329</v>
      </c>
      <c r="E208">
        <v>5.4609766248828304</v>
      </c>
      <c r="F208">
        <v>12.47043412423502</v>
      </c>
      <c r="G208">
        <v>6.7540234255921607</v>
      </c>
      <c r="H208">
        <v>15.777534276567589</v>
      </c>
      <c r="I208">
        <v>25.82470595381287</v>
      </c>
      <c r="J208">
        <v>24.806470375351019</v>
      </c>
      <c r="K208">
        <v>693.61252153021985</v>
      </c>
      <c r="L208">
        <v>1</v>
      </c>
      <c r="M208" t="s">
        <v>66</v>
      </c>
    </row>
    <row r="209" spans="1:13" x14ac:dyDescent="0.3">
      <c r="A209" t="s">
        <v>18</v>
      </c>
      <c r="B209" t="s">
        <v>42</v>
      </c>
      <c r="C209">
        <v>29.96393887487071</v>
      </c>
      <c r="D209">
        <v>0.98277625644710964</v>
      </c>
      <c r="E209">
        <v>1.9462622647545329</v>
      </c>
      <c r="F209">
        <v>4.9739247427939723</v>
      </c>
      <c r="G209">
        <v>5.5383849915947341</v>
      </c>
      <c r="H209">
        <v>27.294443969694768</v>
      </c>
      <c r="I209">
        <v>21.04528954414684</v>
      </c>
      <c r="J209">
        <v>26.64135679223422</v>
      </c>
      <c r="K209">
        <v>1889.017787498773</v>
      </c>
      <c r="L209">
        <v>1</v>
      </c>
      <c r="M209" t="s">
        <v>66</v>
      </c>
    </row>
    <row r="210" spans="1:13" x14ac:dyDescent="0.3">
      <c r="A210" t="s">
        <v>22</v>
      </c>
      <c r="B210" t="s">
        <v>53</v>
      </c>
      <c r="C210">
        <v>71.670697892973891</v>
      </c>
      <c r="D210">
        <v>3.1202052731120031</v>
      </c>
      <c r="E210">
        <v>6.4179488242538048</v>
      </c>
      <c r="F210">
        <v>13.847617657719949</v>
      </c>
      <c r="G210">
        <v>6.3245100068849354</v>
      </c>
      <c r="H210">
        <v>35.400233446035408</v>
      </c>
      <c r="I210">
        <v>26.437764694420661</v>
      </c>
      <c r="J210">
        <v>21.999365156455291</v>
      </c>
      <c r="K210">
        <v>1365.914501378114</v>
      </c>
      <c r="L210">
        <v>1</v>
      </c>
      <c r="M210" t="s">
        <v>66</v>
      </c>
    </row>
    <row r="211" spans="1:13" x14ac:dyDescent="0.3">
      <c r="A211" t="s">
        <v>19</v>
      </c>
      <c r="B211" t="s">
        <v>45</v>
      </c>
      <c r="C211">
        <v>41.644090700331077</v>
      </c>
      <c r="D211">
        <v>1.9179774571297681</v>
      </c>
      <c r="E211">
        <v>2.6440948391494312</v>
      </c>
      <c r="F211">
        <v>6.6313072955909966</v>
      </c>
      <c r="G211">
        <v>6.181228049956335</v>
      </c>
      <c r="H211">
        <v>33.764132226950657</v>
      </c>
      <c r="I211">
        <v>23.323355746426401</v>
      </c>
      <c r="J211">
        <v>26.091142929191321</v>
      </c>
      <c r="K211">
        <v>1411.71056281183</v>
      </c>
      <c r="L211">
        <v>1</v>
      </c>
      <c r="M211" t="s">
        <v>66</v>
      </c>
    </row>
    <row r="212" spans="1:13" x14ac:dyDescent="0.3">
      <c r="A212" t="s">
        <v>19</v>
      </c>
      <c r="B212" t="s">
        <v>47</v>
      </c>
      <c r="C212">
        <v>9.358399621579224</v>
      </c>
      <c r="D212">
        <v>5.2676511182157491</v>
      </c>
      <c r="E212">
        <v>6.3293414757989606</v>
      </c>
      <c r="F212">
        <v>15.283703903971841</v>
      </c>
      <c r="G212">
        <v>6.3853067228327616</v>
      </c>
      <c r="H212">
        <v>31.382926860411391</v>
      </c>
      <c r="I212">
        <v>22.93403474566529</v>
      </c>
      <c r="J212">
        <v>23.853256180228001</v>
      </c>
      <c r="K212">
        <v>673.91656595087113</v>
      </c>
      <c r="L212">
        <v>1</v>
      </c>
      <c r="M212" t="s">
        <v>66</v>
      </c>
    </row>
    <row r="213" spans="1:13" x14ac:dyDescent="0.3">
      <c r="A213" t="s">
        <v>20</v>
      </c>
      <c r="B213" t="s">
        <v>51</v>
      </c>
      <c r="C213">
        <v>268.78938449606682</v>
      </c>
      <c r="D213">
        <v>10.001456274799761</v>
      </c>
      <c r="E213">
        <v>19.480526138791941</v>
      </c>
      <c r="F213">
        <v>40.766285996153123</v>
      </c>
      <c r="G213">
        <v>5.2642355255593518</v>
      </c>
      <c r="H213">
        <v>29.126095152810251</v>
      </c>
      <c r="I213">
        <v>20.656860763682019</v>
      </c>
      <c r="J213">
        <v>19.10044709709063</v>
      </c>
      <c r="K213">
        <v>1549.0276841836201</v>
      </c>
      <c r="L213">
        <v>1</v>
      </c>
      <c r="M213" t="s">
        <v>66</v>
      </c>
    </row>
    <row r="214" spans="1:13" x14ac:dyDescent="0.3">
      <c r="A214" t="s">
        <v>15</v>
      </c>
      <c r="B214" t="s">
        <v>33</v>
      </c>
      <c r="C214">
        <v>41.708455926244667</v>
      </c>
      <c r="D214">
        <v>2.1038176751981719</v>
      </c>
      <c r="E214">
        <v>2.053434539710588</v>
      </c>
      <c r="F214">
        <v>5.3271019961676016</v>
      </c>
      <c r="G214">
        <v>5.9277296250197828</v>
      </c>
      <c r="H214">
        <v>36.279727439471827</v>
      </c>
      <c r="I214">
        <v>19.542979582853029</v>
      </c>
      <c r="J214">
        <v>18.177752372443379</v>
      </c>
      <c r="K214">
        <v>1929.5553160795041</v>
      </c>
      <c r="L214">
        <v>1</v>
      </c>
      <c r="M214" t="s">
        <v>66</v>
      </c>
    </row>
    <row r="215" spans="1:13" x14ac:dyDescent="0.3">
      <c r="A215" t="s">
        <v>17</v>
      </c>
      <c r="B215" t="s">
        <v>39</v>
      </c>
      <c r="C215">
        <v>777.89707953939489</v>
      </c>
      <c r="D215">
        <v>43.599097588872993</v>
      </c>
      <c r="E215">
        <v>58.954537049396997</v>
      </c>
      <c r="F215">
        <v>144.9290432550103</v>
      </c>
      <c r="G215">
        <v>5.6107182327587664</v>
      </c>
      <c r="H215">
        <v>48.315308208103843</v>
      </c>
      <c r="I215">
        <v>18.015753916970219</v>
      </c>
      <c r="J215">
        <v>20.402422689175541</v>
      </c>
      <c r="K215">
        <v>1486.6109614563829</v>
      </c>
      <c r="L215">
        <v>1</v>
      </c>
      <c r="M215" t="s">
        <v>66</v>
      </c>
    </row>
    <row r="216" spans="1:13" x14ac:dyDescent="0.3">
      <c r="A216" t="s">
        <v>19</v>
      </c>
      <c r="B216" t="s">
        <v>45</v>
      </c>
      <c r="C216">
        <v>21.442559942286191</v>
      </c>
      <c r="D216">
        <v>0.98857235393177767</v>
      </c>
      <c r="E216">
        <v>1.0019829105510329</v>
      </c>
      <c r="F216">
        <v>3.0366854837473771</v>
      </c>
      <c r="G216">
        <v>6.2018421653339946</v>
      </c>
      <c r="H216">
        <v>20.141739101453311</v>
      </c>
      <c r="I216">
        <v>31.214087542453392</v>
      </c>
      <c r="J216">
        <v>23.428884889328319</v>
      </c>
      <c r="K216">
        <v>1316.714133838324</v>
      </c>
      <c r="L216">
        <v>0</v>
      </c>
      <c r="M216" t="s">
        <v>66</v>
      </c>
    </row>
    <row r="217" spans="1:13" x14ac:dyDescent="0.3">
      <c r="A217" t="s">
        <v>18</v>
      </c>
      <c r="B217" t="s">
        <v>42</v>
      </c>
      <c r="C217">
        <v>55.022428438771783</v>
      </c>
      <c r="D217">
        <v>1.86809468638868</v>
      </c>
      <c r="E217">
        <v>3.2234938601558558</v>
      </c>
      <c r="F217">
        <v>8.6259631829260393</v>
      </c>
      <c r="G217">
        <v>5.4710860434019244</v>
      </c>
      <c r="H217">
        <v>22.253347489641051</v>
      </c>
      <c r="I217">
        <v>20.916624621335259</v>
      </c>
      <c r="J217">
        <v>29.502646908669931</v>
      </c>
      <c r="K217">
        <v>1699.135757882178</v>
      </c>
      <c r="L217">
        <v>1</v>
      </c>
      <c r="M217" t="s">
        <v>66</v>
      </c>
    </row>
    <row r="218" spans="1:13" x14ac:dyDescent="0.3">
      <c r="A218" t="s">
        <v>20</v>
      </c>
      <c r="B218" t="s">
        <v>50</v>
      </c>
      <c r="C218">
        <v>52.032742798190739</v>
      </c>
      <c r="D218">
        <v>1.935763354840784</v>
      </c>
      <c r="E218">
        <v>2.762264613777492</v>
      </c>
      <c r="F218">
        <v>8.358187225476545</v>
      </c>
      <c r="G218">
        <v>6.5979007124772187</v>
      </c>
      <c r="H218">
        <v>21.85100691757242</v>
      </c>
      <c r="I218">
        <v>22.896972687551639</v>
      </c>
      <c r="J218">
        <v>20.290729927841511</v>
      </c>
      <c r="K218">
        <v>1689.9572831162211</v>
      </c>
      <c r="L218">
        <v>1</v>
      </c>
      <c r="M218" t="s">
        <v>66</v>
      </c>
    </row>
    <row r="219" spans="1:13" x14ac:dyDescent="0.3">
      <c r="A219" t="s">
        <v>22</v>
      </c>
      <c r="B219" t="s">
        <v>54</v>
      </c>
      <c r="C219">
        <v>21.667376737494919</v>
      </c>
      <c r="D219">
        <v>0.96459610052910261</v>
      </c>
      <c r="E219">
        <v>0.9096448358367315</v>
      </c>
      <c r="F219">
        <v>2.7508487205199579</v>
      </c>
      <c r="G219">
        <v>6.1855720559658236</v>
      </c>
      <c r="H219">
        <v>34.704315901992651</v>
      </c>
      <c r="I219">
        <v>18.260959551783738</v>
      </c>
      <c r="J219">
        <v>16.705408425088791</v>
      </c>
      <c r="K219">
        <v>1745.5951545244959</v>
      </c>
      <c r="L219">
        <v>1</v>
      </c>
      <c r="M219" t="s">
        <v>66</v>
      </c>
    </row>
    <row r="220" spans="1:13" x14ac:dyDescent="0.3">
      <c r="A220" t="s">
        <v>15</v>
      </c>
      <c r="B220" t="s">
        <v>30</v>
      </c>
      <c r="C220">
        <v>38.807968286860437</v>
      </c>
      <c r="D220">
        <v>2.1499060535963972</v>
      </c>
      <c r="E220">
        <v>1.9534996701034539</v>
      </c>
      <c r="F220">
        <v>7.3508815848243874</v>
      </c>
      <c r="G220">
        <v>6.3036332984202428</v>
      </c>
      <c r="H220">
        <v>24.6554373198516</v>
      </c>
      <c r="I220">
        <v>19.828863156996491</v>
      </c>
      <c r="J220">
        <v>28.77089596254207</v>
      </c>
      <c r="K220">
        <v>2032.0682577873799</v>
      </c>
      <c r="L220">
        <v>1</v>
      </c>
      <c r="M220" t="s">
        <v>66</v>
      </c>
    </row>
    <row r="221" spans="1:13" x14ac:dyDescent="0.3">
      <c r="A221" t="s">
        <v>23</v>
      </c>
      <c r="B221" t="s">
        <v>56</v>
      </c>
      <c r="C221">
        <v>81.213633434508552</v>
      </c>
      <c r="D221">
        <v>3.465715206779401</v>
      </c>
      <c r="E221">
        <v>5.4958153954807321</v>
      </c>
      <c r="F221">
        <v>13.57946363786475</v>
      </c>
      <c r="G221">
        <v>6.4686333575571782</v>
      </c>
      <c r="H221">
        <v>23.85290572020423</v>
      </c>
      <c r="I221">
        <v>18.85634567749425</v>
      </c>
      <c r="J221">
        <v>19.20965759039489</v>
      </c>
      <c r="K221">
        <v>1663.518021839973</v>
      </c>
      <c r="L221">
        <v>1</v>
      </c>
      <c r="M221" t="s">
        <v>66</v>
      </c>
    </row>
    <row r="222" spans="1:13" x14ac:dyDescent="0.3">
      <c r="A222" t="s">
        <v>18</v>
      </c>
      <c r="B222" t="s">
        <v>42</v>
      </c>
      <c r="C222">
        <v>5.6408056301075931</v>
      </c>
      <c r="D222">
        <v>0</v>
      </c>
      <c r="E222">
        <v>0</v>
      </c>
      <c r="F222">
        <v>-1.7763568394002501E-15</v>
      </c>
      <c r="G222">
        <v>5.9005493598250789</v>
      </c>
      <c r="H222">
        <v>23.15512539744855</v>
      </c>
      <c r="I222">
        <v>20.93980739715996</v>
      </c>
      <c r="J222">
        <v>24.563121656845709</v>
      </c>
      <c r="K222">
        <v>1872.729612168672</v>
      </c>
      <c r="L222">
        <v>1</v>
      </c>
      <c r="M222" t="s">
        <v>66</v>
      </c>
    </row>
    <row r="223" spans="1:13" x14ac:dyDescent="0.3">
      <c r="A223" t="s">
        <v>20</v>
      </c>
      <c r="B223" t="s">
        <v>50</v>
      </c>
      <c r="C223">
        <v>25.195789735396659</v>
      </c>
      <c r="D223">
        <v>1.054553109623835</v>
      </c>
      <c r="E223">
        <v>0.98707311213419224</v>
      </c>
      <c r="F223">
        <v>2.6937830369834188</v>
      </c>
      <c r="G223">
        <v>6.0796595743219184</v>
      </c>
      <c r="H223">
        <v>34.977219579074287</v>
      </c>
      <c r="I223">
        <v>23.31739656409923</v>
      </c>
      <c r="J223">
        <v>20.882054608431289</v>
      </c>
      <c r="K223">
        <v>1653.4707820833189</v>
      </c>
      <c r="L223">
        <v>1</v>
      </c>
      <c r="M223" t="s">
        <v>66</v>
      </c>
    </row>
    <row r="224" spans="1:13" x14ac:dyDescent="0.3">
      <c r="A224" t="s">
        <v>15</v>
      </c>
      <c r="B224" t="s">
        <v>31</v>
      </c>
      <c r="C224">
        <v>21.699598759021779</v>
      </c>
      <c r="D224">
        <v>1.0970182987867421</v>
      </c>
      <c r="E224">
        <v>1.0759430054655399</v>
      </c>
      <c r="F224">
        <v>2.4564302659884181</v>
      </c>
      <c r="G224">
        <v>6.5559231166950571</v>
      </c>
      <c r="H224">
        <v>36.523208545675743</v>
      </c>
      <c r="I224">
        <v>24.447022008271109</v>
      </c>
      <c r="J224">
        <v>20.827016581790541</v>
      </c>
      <c r="K224">
        <v>1651.9051018184721</v>
      </c>
      <c r="L224">
        <v>1</v>
      </c>
      <c r="M224" t="s">
        <v>66</v>
      </c>
    </row>
    <row r="225" spans="1:13" x14ac:dyDescent="0.3">
      <c r="A225" t="s">
        <v>18</v>
      </c>
      <c r="B225" t="s">
        <v>42</v>
      </c>
      <c r="C225">
        <v>5.7517183686484827</v>
      </c>
      <c r="D225">
        <v>0</v>
      </c>
      <c r="E225">
        <v>0</v>
      </c>
      <c r="F225">
        <v>-1.7763568394002501E-15</v>
      </c>
      <c r="G225">
        <v>6.1936830639882992</v>
      </c>
      <c r="H225">
        <v>21.96177057698559</v>
      </c>
      <c r="I225">
        <v>20.95535558525026</v>
      </c>
      <c r="J225">
        <v>25.42946431800809</v>
      </c>
      <c r="K225">
        <v>1897.139576116894</v>
      </c>
      <c r="L225">
        <v>1</v>
      </c>
      <c r="M225" t="s">
        <v>66</v>
      </c>
    </row>
    <row r="226" spans="1:13" x14ac:dyDescent="0.3">
      <c r="A226" t="s">
        <v>24</v>
      </c>
      <c r="B226" t="s">
        <v>60</v>
      </c>
      <c r="C226">
        <v>613.88972380752159</v>
      </c>
      <c r="D226">
        <v>25.794132467724602</v>
      </c>
      <c r="E226">
        <v>43.738100379003818</v>
      </c>
      <c r="F226">
        <v>94.220203930788728</v>
      </c>
      <c r="G226">
        <v>6.1191653106656672</v>
      </c>
      <c r="H226">
        <v>77.037243190280591</v>
      </c>
      <c r="I226">
        <v>30.33686957647307</v>
      </c>
      <c r="J226">
        <v>32.532336000616851</v>
      </c>
      <c r="K226">
        <v>11.11657915858382</v>
      </c>
      <c r="L226">
        <v>-1</v>
      </c>
      <c r="M226" t="s">
        <v>66</v>
      </c>
    </row>
    <row r="227" spans="1:13" x14ac:dyDescent="0.3">
      <c r="A227" t="s">
        <v>18</v>
      </c>
      <c r="B227" t="s">
        <v>40</v>
      </c>
      <c r="C227">
        <v>133.06725484994789</v>
      </c>
      <c r="D227">
        <v>6.7004050896754643</v>
      </c>
      <c r="E227">
        <v>8.1625388887990535</v>
      </c>
      <c r="F227">
        <v>18.332075914902749</v>
      </c>
      <c r="G227">
        <v>6.4148081453727501</v>
      </c>
      <c r="H227">
        <v>32.321056238979928</v>
      </c>
      <c r="I227">
        <v>21.038265473066769</v>
      </c>
      <c r="J227">
        <v>21.08088444224548</v>
      </c>
      <c r="K227">
        <v>1688.144815484826</v>
      </c>
      <c r="L227">
        <v>1</v>
      </c>
      <c r="M227" t="s">
        <v>66</v>
      </c>
    </row>
    <row r="228" spans="1:13" x14ac:dyDescent="0.3">
      <c r="A228" t="s">
        <v>15</v>
      </c>
      <c r="B228" t="s">
        <v>33</v>
      </c>
      <c r="C228">
        <v>97.439401746424522</v>
      </c>
      <c r="D228">
        <v>2.713174159262826</v>
      </c>
      <c r="E228">
        <v>3.5880377300732609</v>
      </c>
      <c r="F228">
        <v>10.567760369739799</v>
      </c>
      <c r="G228">
        <v>5.9976754113633781</v>
      </c>
      <c r="H228">
        <v>29.831531061915921</v>
      </c>
      <c r="I228">
        <v>16.66602122780845</v>
      </c>
      <c r="J228">
        <v>19.492189557213241</v>
      </c>
      <c r="K228">
        <v>2160.456182836208</v>
      </c>
      <c r="L228">
        <v>1</v>
      </c>
      <c r="M228" t="s">
        <v>66</v>
      </c>
    </row>
    <row r="229" spans="1:13" x14ac:dyDescent="0.3">
      <c r="A229" t="s">
        <v>19</v>
      </c>
      <c r="B229" t="s">
        <v>48</v>
      </c>
      <c r="C229">
        <v>29.117628054141932</v>
      </c>
      <c r="D229">
        <v>0.98545655348218286</v>
      </c>
      <c r="E229">
        <v>1.8021699237548729</v>
      </c>
      <c r="F229">
        <v>5.7226707154542824</v>
      </c>
      <c r="G229">
        <v>6.0452108571588123</v>
      </c>
      <c r="H229">
        <v>26.168372636749151</v>
      </c>
      <c r="I229">
        <v>32.021547826837548</v>
      </c>
      <c r="J229">
        <v>25.79828492297791</v>
      </c>
      <c r="K229">
        <v>1170.3287211002821</v>
      </c>
      <c r="L229">
        <v>0</v>
      </c>
      <c r="M229" t="s">
        <v>66</v>
      </c>
    </row>
    <row r="230" spans="1:13" x14ac:dyDescent="0.3">
      <c r="A230" t="s">
        <v>18</v>
      </c>
      <c r="B230" t="s">
        <v>41</v>
      </c>
      <c r="C230">
        <v>49.316829733309568</v>
      </c>
      <c r="D230">
        <v>1.899205883437745</v>
      </c>
      <c r="E230">
        <v>2.9610353757095131</v>
      </c>
      <c r="F230">
        <v>9.4015160541065352</v>
      </c>
      <c r="G230">
        <v>5.7509986147411158</v>
      </c>
      <c r="H230">
        <v>29.82096940032736</v>
      </c>
      <c r="I230">
        <v>19.917254095954839</v>
      </c>
      <c r="J230">
        <v>20.48761751290975</v>
      </c>
      <c r="K230">
        <v>1813.574370772681</v>
      </c>
      <c r="L230">
        <v>1</v>
      </c>
      <c r="M230" t="s">
        <v>66</v>
      </c>
    </row>
    <row r="231" spans="1:13" x14ac:dyDescent="0.3">
      <c r="A231" t="s">
        <v>15</v>
      </c>
      <c r="B231" t="s">
        <v>34</v>
      </c>
      <c r="C231">
        <v>58.733127830439358</v>
      </c>
      <c r="D231">
        <v>2.8522852448140981</v>
      </c>
      <c r="E231">
        <v>3.842353703230684</v>
      </c>
      <c r="F231">
        <v>10.04250158067668</v>
      </c>
      <c r="G231">
        <v>6.217131739517991</v>
      </c>
      <c r="H231">
        <v>33.75912967553262</v>
      </c>
      <c r="I231">
        <v>18.125463801338569</v>
      </c>
      <c r="J231">
        <v>19.275127196657181</v>
      </c>
      <c r="K231">
        <v>2157.4855499507898</v>
      </c>
      <c r="L231">
        <v>1</v>
      </c>
      <c r="M231" t="s">
        <v>66</v>
      </c>
    </row>
    <row r="232" spans="1:13" x14ac:dyDescent="0.3">
      <c r="A232" t="s">
        <v>17</v>
      </c>
      <c r="B232" t="s">
        <v>39</v>
      </c>
      <c r="C232">
        <v>18.0446926862891</v>
      </c>
      <c r="D232">
        <v>0</v>
      </c>
      <c r="E232">
        <v>0.89671106021765468</v>
      </c>
      <c r="F232">
        <v>3.2353877780017828</v>
      </c>
      <c r="G232">
        <v>5.4984174349693626</v>
      </c>
      <c r="H232">
        <v>22.27311267259493</v>
      </c>
      <c r="I232">
        <v>20.280681288467711</v>
      </c>
      <c r="J232">
        <v>22.301655988171149</v>
      </c>
      <c r="K232">
        <v>2118.614938123364</v>
      </c>
      <c r="L232">
        <v>1</v>
      </c>
      <c r="M232" t="s">
        <v>66</v>
      </c>
    </row>
    <row r="233" spans="1:13" x14ac:dyDescent="0.3">
      <c r="A233" t="s">
        <v>19</v>
      </c>
      <c r="B233" t="s">
        <v>45</v>
      </c>
      <c r="C233">
        <v>55.597857703961218</v>
      </c>
      <c r="D233">
        <v>2.2099022911263608</v>
      </c>
      <c r="E233">
        <v>2.6420917942740521</v>
      </c>
      <c r="F233">
        <v>9.8494037226508855</v>
      </c>
      <c r="G233">
        <v>6.1752271056479087</v>
      </c>
      <c r="H233">
        <v>40.73622360887056</v>
      </c>
      <c r="I233">
        <v>25.262049372049169</v>
      </c>
      <c r="J233">
        <v>27.242665250549191</v>
      </c>
      <c r="K233">
        <v>1477.4924200170351</v>
      </c>
      <c r="L233">
        <v>1</v>
      </c>
      <c r="M233" t="s">
        <v>66</v>
      </c>
    </row>
    <row r="234" spans="1:13" x14ac:dyDescent="0.3">
      <c r="A234" t="s">
        <v>20</v>
      </c>
      <c r="B234" t="s">
        <v>51</v>
      </c>
      <c r="C234">
        <v>251.92624619831761</v>
      </c>
      <c r="D234">
        <v>12.31868873139422</v>
      </c>
      <c r="E234">
        <v>14.321857195403229</v>
      </c>
      <c r="F234">
        <v>33.231070991420722</v>
      </c>
      <c r="G234">
        <v>5.1545593209613569</v>
      </c>
      <c r="H234">
        <v>27.7922829462428</v>
      </c>
      <c r="I234">
        <v>20.883766438521668</v>
      </c>
      <c r="J234">
        <v>18.47160156783929</v>
      </c>
      <c r="K234">
        <v>1547.657961231133</v>
      </c>
      <c r="L234">
        <v>1</v>
      </c>
      <c r="M234" t="s">
        <v>66</v>
      </c>
    </row>
    <row r="235" spans="1:13" x14ac:dyDescent="0.3">
      <c r="A235" t="s">
        <v>18</v>
      </c>
      <c r="B235" t="s">
        <v>42</v>
      </c>
      <c r="C235">
        <v>33.596557336276618</v>
      </c>
      <c r="D235">
        <v>0.93028119108038698</v>
      </c>
      <c r="E235">
        <v>1.6184983071212</v>
      </c>
      <c r="F235">
        <v>4.9362098260972509</v>
      </c>
      <c r="G235">
        <v>5.6215907211029146</v>
      </c>
      <c r="H235">
        <v>25.178664510458649</v>
      </c>
      <c r="I235">
        <v>20.95413010999977</v>
      </c>
      <c r="J235">
        <v>27.834104690537249</v>
      </c>
      <c r="K235">
        <v>1877.5343146857599</v>
      </c>
      <c r="L235">
        <v>1</v>
      </c>
      <c r="M235" t="s">
        <v>66</v>
      </c>
    </row>
    <row r="236" spans="1:13" x14ac:dyDescent="0.3">
      <c r="A236" t="s">
        <v>16</v>
      </c>
      <c r="B236" t="s">
        <v>35</v>
      </c>
      <c r="C236">
        <v>18.73333447602025</v>
      </c>
      <c r="D236">
        <v>0</v>
      </c>
      <c r="E236">
        <v>0.99058705377216327</v>
      </c>
      <c r="F236">
        <v>2.162653694950277</v>
      </c>
      <c r="G236">
        <v>6.1566500468090908</v>
      </c>
      <c r="H236">
        <v>22.69463100735474</v>
      </c>
      <c r="I236">
        <v>22.572102996216842</v>
      </c>
      <c r="J236">
        <v>29.242941947520649</v>
      </c>
      <c r="K236">
        <v>2041.058086781818</v>
      </c>
      <c r="L236">
        <v>1</v>
      </c>
      <c r="M236" t="s">
        <v>66</v>
      </c>
    </row>
    <row r="237" spans="1:13" x14ac:dyDescent="0.3">
      <c r="A237" t="s">
        <v>25</v>
      </c>
      <c r="B237" t="s">
        <v>62</v>
      </c>
      <c r="C237">
        <v>86.93551632398713</v>
      </c>
      <c r="D237">
        <v>4.4736525702433676</v>
      </c>
      <c r="E237">
        <v>5.6392875977344934</v>
      </c>
      <c r="F237">
        <v>11.36078123749513</v>
      </c>
      <c r="G237">
        <v>6.8065427713892364</v>
      </c>
      <c r="H237">
        <v>13.98444571577271</v>
      </c>
      <c r="I237">
        <v>30.000569516886681</v>
      </c>
      <c r="J237">
        <v>32.290648990326943</v>
      </c>
      <c r="K237">
        <v>47.361690973003761</v>
      </c>
      <c r="L237">
        <v>-1</v>
      </c>
      <c r="M237" t="s">
        <v>66</v>
      </c>
    </row>
    <row r="238" spans="1:13" x14ac:dyDescent="0.3">
      <c r="A238" t="s">
        <v>22</v>
      </c>
      <c r="B238" t="s">
        <v>53</v>
      </c>
      <c r="C238">
        <v>343.32981134835012</v>
      </c>
      <c r="D238">
        <v>15.28489145266979</v>
      </c>
      <c r="E238">
        <v>19.822951327953891</v>
      </c>
      <c r="F238">
        <v>69.375012405063671</v>
      </c>
      <c r="G238">
        <v>6.3258229919912132</v>
      </c>
      <c r="H238">
        <v>32.637689566736547</v>
      </c>
      <c r="I238">
        <v>25.61174175185041</v>
      </c>
      <c r="J238">
        <v>22.62367358481691</v>
      </c>
      <c r="K238">
        <v>1379.9800775510089</v>
      </c>
      <c r="L238">
        <v>1</v>
      </c>
      <c r="M238" t="s">
        <v>66</v>
      </c>
    </row>
    <row r="239" spans="1:13" x14ac:dyDescent="0.3">
      <c r="A239" t="s">
        <v>17</v>
      </c>
      <c r="B239" t="s">
        <v>39</v>
      </c>
      <c r="C239">
        <v>12.527028271215849</v>
      </c>
      <c r="D239">
        <v>0</v>
      </c>
      <c r="E239">
        <v>0</v>
      </c>
      <c r="F239">
        <v>1.794538924382429</v>
      </c>
      <c r="G239">
        <v>4.9991228074670691</v>
      </c>
      <c r="H239">
        <v>27.315780446490951</v>
      </c>
      <c r="I239">
        <v>20.769270460524321</v>
      </c>
      <c r="J239">
        <v>22.371693049191428</v>
      </c>
      <c r="K239">
        <v>2123.1939906917778</v>
      </c>
      <c r="L239">
        <v>1</v>
      </c>
      <c r="M239" t="s">
        <v>66</v>
      </c>
    </row>
    <row r="240" spans="1:13" x14ac:dyDescent="0.3">
      <c r="A240" t="s">
        <v>25</v>
      </c>
      <c r="B240" t="s">
        <v>62</v>
      </c>
      <c r="C240">
        <v>29.927874300697411</v>
      </c>
      <c r="D240">
        <v>1.1100626465806009</v>
      </c>
      <c r="E240">
        <v>1.8306850743695371</v>
      </c>
      <c r="F240">
        <v>5.5118007821872954</v>
      </c>
      <c r="G240">
        <v>6.1951087938074201</v>
      </c>
      <c r="H240">
        <v>38.298386520087128</v>
      </c>
      <c r="I240">
        <v>19.747014136994931</v>
      </c>
      <c r="J240">
        <v>24.019265694815669</v>
      </c>
      <c r="K240">
        <v>1099.2285682863071</v>
      </c>
      <c r="L240">
        <v>0</v>
      </c>
      <c r="M240" t="s">
        <v>66</v>
      </c>
    </row>
    <row r="241" spans="1:13" x14ac:dyDescent="0.3">
      <c r="A241" t="s">
        <v>15</v>
      </c>
      <c r="B241" t="s">
        <v>34</v>
      </c>
      <c r="C241">
        <v>59.468136234446177</v>
      </c>
      <c r="D241">
        <v>3.0033123106780248</v>
      </c>
      <c r="E241">
        <v>4.2612183245997546</v>
      </c>
      <c r="F241">
        <v>8.4598919895999387</v>
      </c>
      <c r="G241">
        <v>6.1644353404441734</v>
      </c>
      <c r="H241">
        <v>32.656438089998332</v>
      </c>
      <c r="I241">
        <v>18.20188514057973</v>
      </c>
      <c r="J241">
        <v>19.631827962204149</v>
      </c>
      <c r="K241">
        <v>2106.050140643265</v>
      </c>
      <c r="L241">
        <v>1</v>
      </c>
      <c r="M241" t="s">
        <v>66</v>
      </c>
    </row>
    <row r="242" spans="1:13" x14ac:dyDescent="0.3">
      <c r="A242" t="s">
        <v>18</v>
      </c>
      <c r="B242" t="s">
        <v>40</v>
      </c>
      <c r="C242">
        <v>142.01644099621109</v>
      </c>
      <c r="D242">
        <v>5.9223485941449869</v>
      </c>
      <c r="E242">
        <v>10.105999319415011</v>
      </c>
      <c r="F242">
        <v>22.19635367241721</v>
      </c>
      <c r="G242">
        <v>6.2479479498714294</v>
      </c>
      <c r="H242">
        <v>27.895002822460281</v>
      </c>
      <c r="I242">
        <v>21.11172426909344</v>
      </c>
      <c r="J242">
        <v>22.209132045138919</v>
      </c>
      <c r="K242">
        <v>1668.0983792552629</v>
      </c>
      <c r="L242">
        <v>1</v>
      </c>
      <c r="M242" t="s">
        <v>66</v>
      </c>
    </row>
    <row r="243" spans="1:13" x14ac:dyDescent="0.3">
      <c r="A243" t="s">
        <v>19</v>
      </c>
      <c r="B243" t="s">
        <v>44</v>
      </c>
      <c r="C243">
        <v>39.793702480001173</v>
      </c>
      <c r="D243">
        <v>1.0248812033839489</v>
      </c>
      <c r="E243">
        <v>1.6685034539588881</v>
      </c>
      <c r="F243">
        <v>5.0303630296115944</v>
      </c>
      <c r="G243">
        <v>5.5832338140281426</v>
      </c>
      <c r="H243">
        <v>36.287732794703793</v>
      </c>
      <c r="I243">
        <v>27.063825694403089</v>
      </c>
      <c r="J243">
        <v>19.698573251848671</v>
      </c>
      <c r="K243">
        <v>1889.854879188593</v>
      </c>
      <c r="L243">
        <v>1</v>
      </c>
      <c r="M243" t="s">
        <v>66</v>
      </c>
    </row>
    <row r="244" spans="1:13" x14ac:dyDescent="0.3">
      <c r="A244" t="s">
        <v>19</v>
      </c>
      <c r="B244" t="s">
        <v>47</v>
      </c>
      <c r="C244">
        <v>31.20251322846963</v>
      </c>
      <c r="D244">
        <v>0.97767471028879438</v>
      </c>
      <c r="E244">
        <v>2.057749011916989</v>
      </c>
      <c r="F244">
        <v>3.6265685292897452</v>
      </c>
      <c r="G244">
        <v>5.8912781133258454</v>
      </c>
      <c r="H244">
        <v>21.466510358436679</v>
      </c>
      <c r="I244">
        <v>29.425064334573982</v>
      </c>
      <c r="J244">
        <v>25.784888887490581</v>
      </c>
      <c r="K244">
        <v>734.11543544835024</v>
      </c>
      <c r="L244">
        <v>-1</v>
      </c>
      <c r="M244" t="s">
        <v>66</v>
      </c>
    </row>
    <row r="245" spans="1:13" x14ac:dyDescent="0.3">
      <c r="A245" t="s">
        <v>19</v>
      </c>
      <c r="B245" t="s">
        <v>44</v>
      </c>
      <c r="C245">
        <v>37.171533472852957</v>
      </c>
      <c r="D245">
        <v>1.0132116773295501</v>
      </c>
      <c r="E245">
        <v>1.9974826500458931</v>
      </c>
      <c r="F245">
        <v>5.7352018802613483</v>
      </c>
      <c r="G245">
        <v>6.4300066980888948</v>
      </c>
      <c r="H245">
        <v>17.957743057064761</v>
      </c>
      <c r="I245">
        <v>19.07751253278639</v>
      </c>
      <c r="J245">
        <v>29.408478490002292</v>
      </c>
      <c r="K245">
        <v>2257</v>
      </c>
      <c r="L245">
        <v>1</v>
      </c>
      <c r="M245" t="s">
        <v>66</v>
      </c>
    </row>
    <row r="246" spans="1:13" x14ac:dyDescent="0.3">
      <c r="A246" t="s">
        <v>15</v>
      </c>
      <c r="B246" t="s">
        <v>33</v>
      </c>
      <c r="C246">
        <v>69.799830320515937</v>
      </c>
      <c r="D246">
        <v>2.9815909789590069</v>
      </c>
      <c r="E246">
        <v>3.9808293268727302</v>
      </c>
      <c r="F246">
        <v>9.3530952632734259</v>
      </c>
      <c r="G246">
        <v>6.0662622912543274</v>
      </c>
      <c r="H246">
        <v>32.735617043437628</v>
      </c>
      <c r="I246">
        <v>20.522700144223549</v>
      </c>
      <c r="J246">
        <v>17.845563947368749</v>
      </c>
      <c r="K246">
        <v>1915.2660152390361</v>
      </c>
      <c r="L246">
        <v>1</v>
      </c>
      <c r="M246" t="s">
        <v>66</v>
      </c>
    </row>
    <row r="247" spans="1:13" x14ac:dyDescent="0.3">
      <c r="A247" t="s">
        <v>19</v>
      </c>
      <c r="B247" t="s">
        <v>46</v>
      </c>
      <c r="C247">
        <v>28.195450889943292</v>
      </c>
      <c r="D247">
        <v>1.059062448619575</v>
      </c>
      <c r="E247">
        <v>0.98134046518776952</v>
      </c>
      <c r="F247">
        <v>4.2690211707297721</v>
      </c>
      <c r="G247">
        <v>6.0555401011160654</v>
      </c>
      <c r="H247">
        <v>19.289868088115469</v>
      </c>
      <c r="I247">
        <v>30.71716858026566</v>
      </c>
      <c r="J247">
        <v>26.164626600524372</v>
      </c>
      <c r="K247">
        <v>735.15477215936846</v>
      </c>
      <c r="L247">
        <v>-1</v>
      </c>
      <c r="M247" t="s">
        <v>66</v>
      </c>
    </row>
    <row r="248" spans="1:13" x14ac:dyDescent="0.3">
      <c r="A248" t="s">
        <v>22</v>
      </c>
      <c r="B248" t="s">
        <v>53</v>
      </c>
      <c r="C248">
        <v>30.9695488877332</v>
      </c>
      <c r="D248">
        <v>0.96442552278162097</v>
      </c>
      <c r="E248">
        <v>2.281804782715033</v>
      </c>
      <c r="F248">
        <v>5.4673217634235094</v>
      </c>
      <c r="G248">
        <v>6.3405354804633438</v>
      </c>
      <c r="H248">
        <v>20.67054379572776</v>
      </c>
      <c r="I248">
        <v>23.909412012123148</v>
      </c>
      <c r="J248">
        <v>21.334912135517811</v>
      </c>
      <c r="K248">
        <v>1240.1574395181231</v>
      </c>
      <c r="L248">
        <v>1</v>
      </c>
      <c r="M248" t="s">
        <v>66</v>
      </c>
    </row>
    <row r="249" spans="1:13" x14ac:dyDescent="0.3">
      <c r="A249" t="s">
        <v>24</v>
      </c>
      <c r="B249" t="s">
        <v>57</v>
      </c>
      <c r="C249">
        <v>11.31601818722061</v>
      </c>
      <c r="D249">
        <v>0</v>
      </c>
      <c r="E249">
        <v>0</v>
      </c>
      <c r="F249">
        <v>0.76732006656340168</v>
      </c>
      <c r="G249">
        <v>6.5958192303021832</v>
      </c>
      <c r="H249">
        <v>15.671290639396959</v>
      </c>
      <c r="I249">
        <v>22.233561624755751</v>
      </c>
      <c r="J249">
        <v>20.619504743485582</v>
      </c>
      <c r="K249">
        <v>1591.3900924895879</v>
      </c>
      <c r="L249">
        <v>1</v>
      </c>
      <c r="M249" t="s">
        <v>66</v>
      </c>
    </row>
    <row r="250" spans="1:13" x14ac:dyDescent="0.3">
      <c r="A250" t="s">
        <v>18</v>
      </c>
      <c r="B250" t="s">
        <v>43</v>
      </c>
      <c r="C250">
        <v>24.689569574090939</v>
      </c>
      <c r="D250">
        <v>0.99938357552435919</v>
      </c>
      <c r="E250">
        <v>0.94574757390851971</v>
      </c>
      <c r="F250">
        <v>4.1173988904451804</v>
      </c>
      <c r="G250">
        <v>6.5492683522406709</v>
      </c>
      <c r="H250">
        <v>23.632010280284991</v>
      </c>
      <c r="I250">
        <v>25.758146603708621</v>
      </c>
      <c r="J250">
        <v>18.856630391751441</v>
      </c>
      <c r="K250">
        <v>1829.5485146588189</v>
      </c>
      <c r="L250">
        <v>1</v>
      </c>
      <c r="M250" t="s">
        <v>66</v>
      </c>
    </row>
    <row r="251" spans="1:13" x14ac:dyDescent="0.3">
      <c r="A251" t="s">
        <v>24</v>
      </c>
      <c r="B251" t="s">
        <v>57</v>
      </c>
      <c r="C251">
        <v>51.102245029992659</v>
      </c>
      <c r="D251">
        <v>2.2160617490629071</v>
      </c>
      <c r="E251">
        <v>3.3755200307216282</v>
      </c>
      <c r="F251">
        <v>8.9266753099519178</v>
      </c>
      <c r="G251">
        <v>5.5513632113223021</v>
      </c>
      <c r="H251">
        <v>50.924828846870668</v>
      </c>
      <c r="I251">
        <v>23.56488212021441</v>
      </c>
      <c r="J251">
        <v>22.431306403213991</v>
      </c>
      <c r="K251">
        <v>738.82219737775438</v>
      </c>
      <c r="L251">
        <v>0</v>
      </c>
      <c r="M251" t="s">
        <v>66</v>
      </c>
    </row>
    <row r="252" spans="1:13" x14ac:dyDescent="0.3">
      <c r="A252" t="s">
        <v>19</v>
      </c>
      <c r="B252" t="s">
        <v>45</v>
      </c>
      <c r="C252">
        <v>19.814054233815281</v>
      </c>
      <c r="D252">
        <v>1.056799317236278</v>
      </c>
      <c r="E252">
        <v>1.126544618523164</v>
      </c>
      <c r="F252">
        <v>3.3431472256094672</v>
      </c>
      <c r="G252">
        <v>6.1249405794034981</v>
      </c>
      <c r="H252">
        <v>17.884802539373489</v>
      </c>
      <c r="I252">
        <v>31.57543363907855</v>
      </c>
      <c r="J252">
        <v>24.541041807458772</v>
      </c>
      <c r="K252">
        <v>1328.223033597842</v>
      </c>
      <c r="L252">
        <v>0</v>
      </c>
      <c r="M252" t="s">
        <v>66</v>
      </c>
    </row>
    <row r="253" spans="1:13" x14ac:dyDescent="0.3">
      <c r="A253" t="s">
        <v>24</v>
      </c>
      <c r="B253" t="s">
        <v>57</v>
      </c>
      <c r="C253">
        <v>10.877442268648879</v>
      </c>
      <c r="D253">
        <v>0</v>
      </c>
      <c r="E253">
        <v>0</v>
      </c>
      <c r="F253">
        <v>0.96427416574209346</v>
      </c>
      <c r="G253">
        <v>6.48459498329004</v>
      </c>
      <c r="H253">
        <v>16.91128617139756</v>
      </c>
      <c r="I253">
        <v>22.65083250604517</v>
      </c>
      <c r="J253">
        <v>20.35761685219785</v>
      </c>
      <c r="K253">
        <v>1518.9063746513391</v>
      </c>
      <c r="L253">
        <v>1</v>
      </c>
      <c r="M253" t="s">
        <v>66</v>
      </c>
    </row>
    <row r="254" spans="1:13" x14ac:dyDescent="0.3">
      <c r="A254" t="s">
        <v>16</v>
      </c>
      <c r="B254" t="s">
        <v>38</v>
      </c>
      <c r="C254">
        <v>949.77260632702848</v>
      </c>
      <c r="D254">
        <v>47</v>
      </c>
      <c r="E254">
        <v>59.552652363302627</v>
      </c>
      <c r="F254">
        <v>153</v>
      </c>
      <c r="G254">
        <v>5.2258912049853006</v>
      </c>
      <c r="H254">
        <v>27.0481520980344</v>
      </c>
      <c r="I254">
        <v>19.51727500551684</v>
      </c>
      <c r="J254">
        <v>23.226600457735781</v>
      </c>
      <c r="K254">
        <v>1481.4284700285079</v>
      </c>
      <c r="L254">
        <v>1</v>
      </c>
      <c r="M254" t="s">
        <v>66</v>
      </c>
    </row>
    <row r="255" spans="1:13" x14ac:dyDescent="0.3">
      <c r="A255" t="s">
        <v>22</v>
      </c>
      <c r="B255" t="s">
        <v>53</v>
      </c>
      <c r="C255">
        <v>26.644986011590319</v>
      </c>
      <c r="D255">
        <v>0.80222893029550457</v>
      </c>
      <c r="E255">
        <v>0.86310644966311312</v>
      </c>
      <c r="F255">
        <v>3.788537498547758</v>
      </c>
      <c r="G255">
        <v>6.9743404765586474</v>
      </c>
      <c r="H255">
        <v>56.592996259875363</v>
      </c>
      <c r="I255">
        <v>20.941658924576519</v>
      </c>
      <c r="J255">
        <v>19.450159625947119</v>
      </c>
      <c r="K255">
        <v>1283.63791530256</v>
      </c>
      <c r="L255">
        <v>1</v>
      </c>
      <c r="M255" t="s">
        <v>66</v>
      </c>
    </row>
    <row r="256" spans="1:13" x14ac:dyDescent="0.3">
      <c r="A256" t="s">
        <v>15</v>
      </c>
      <c r="B256" t="s">
        <v>32</v>
      </c>
      <c r="C256">
        <v>6.4305336025985298</v>
      </c>
      <c r="D256">
        <v>0</v>
      </c>
      <c r="E256">
        <v>0</v>
      </c>
      <c r="F256">
        <v>1.021021193658981</v>
      </c>
      <c r="G256">
        <v>6.7420369809655147</v>
      </c>
      <c r="H256">
        <v>28.813808635362729</v>
      </c>
      <c r="I256">
        <v>22.003605513726249</v>
      </c>
      <c r="J256">
        <v>19.589215168208941</v>
      </c>
      <c r="K256">
        <v>1628.5442790974109</v>
      </c>
      <c r="L256">
        <v>1</v>
      </c>
      <c r="M256" t="s">
        <v>66</v>
      </c>
    </row>
    <row r="257" spans="1:13" x14ac:dyDescent="0.3">
      <c r="A257" t="s">
        <v>17</v>
      </c>
      <c r="B257" t="s">
        <v>39</v>
      </c>
      <c r="C257">
        <v>12.354431251019561</v>
      </c>
      <c r="D257">
        <v>0</v>
      </c>
      <c r="E257">
        <v>0</v>
      </c>
      <c r="F257">
        <v>2.0407560401091072</v>
      </c>
      <c r="G257">
        <v>5.2540157982797426</v>
      </c>
      <c r="H257">
        <v>28.307955252103319</v>
      </c>
      <c r="I257">
        <v>20.227272498402211</v>
      </c>
      <c r="J257">
        <v>23.274320116151969</v>
      </c>
      <c r="K257">
        <v>2123.540369323654</v>
      </c>
      <c r="L257">
        <v>1</v>
      </c>
      <c r="M257" t="s">
        <v>66</v>
      </c>
    </row>
    <row r="258" spans="1:13" x14ac:dyDescent="0.3">
      <c r="A258" t="s">
        <v>16</v>
      </c>
      <c r="B258" t="s">
        <v>36</v>
      </c>
      <c r="C258">
        <v>51.403076436113743</v>
      </c>
      <c r="D258">
        <v>1.824877094605019</v>
      </c>
      <c r="E258">
        <v>2.7139449460783278</v>
      </c>
      <c r="F258">
        <v>7.6883404521505616</v>
      </c>
      <c r="G258">
        <v>4.8800722701484229</v>
      </c>
      <c r="H258">
        <v>34.011015071098683</v>
      </c>
      <c r="I258">
        <v>24.563500167231599</v>
      </c>
      <c r="J258">
        <v>26.741582315664171</v>
      </c>
      <c r="K258">
        <v>1997.832423351336</v>
      </c>
      <c r="L258">
        <v>1</v>
      </c>
      <c r="M258" t="s">
        <v>66</v>
      </c>
    </row>
    <row r="259" spans="1:13" x14ac:dyDescent="0.3">
      <c r="A259" t="s">
        <v>23</v>
      </c>
      <c r="B259" t="s">
        <v>56</v>
      </c>
      <c r="C259">
        <v>67.964943927661352</v>
      </c>
      <c r="D259">
        <v>3.0994818886637199</v>
      </c>
      <c r="E259">
        <v>4.7267966828598356</v>
      </c>
      <c r="F259">
        <v>10.46925493130726</v>
      </c>
      <c r="G259">
        <v>6.1514456558599404</v>
      </c>
      <c r="H259">
        <v>15.700823517169461</v>
      </c>
      <c r="I259">
        <v>20.50011590781655</v>
      </c>
      <c r="J259">
        <v>19.54623449172411</v>
      </c>
      <c r="K259">
        <v>1626.890719202122</v>
      </c>
      <c r="L259">
        <v>1</v>
      </c>
      <c r="M259" t="s">
        <v>66</v>
      </c>
    </row>
    <row r="260" spans="1:13" x14ac:dyDescent="0.3">
      <c r="A260" t="s">
        <v>19</v>
      </c>
      <c r="B260" t="s">
        <v>44</v>
      </c>
      <c r="C260">
        <v>11.69842842957428</v>
      </c>
      <c r="D260">
        <v>0</v>
      </c>
      <c r="E260">
        <v>0</v>
      </c>
      <c r="F260">
        <v>0.94761978047038831</v>
      </c>
      <c r="G260">
        <v>6.367001467605256</v>
      </c>
      <c r="H260">
        <v>25.116413655935709</v>
      </c>
      <c r="I260">
        <v>18.39933288615557</v>
      </c>
      <c r="J260">
        <v>28.909958258555658</v>
      </c>
      <c r="K260">
        <v>2257</v>
      </c>
      <c r="L260">
        <v>1</v>
      </c>
      <c r="M260" t="s">
        <v>66</v>
      </c>
    </row>
    <row r="261" spans="1:13" x14ac:dyDescent="0.3">
      <c r="A261" t="s">
        <v>15</v>
      </c>
      <c r="B261" t="s">
        <v>33</v>
      </c>
      <c r="C261">
        <v>79.534747139972978</v>
      </c>
      <c r="D261">
        <v>2.527750235733905</v>
      </c>
      <c r="E261">
        <v>4.890900694080071</v>
      </c>
      <c r="F261">
        <v>12.34924038071788</v>
      </c>
      <c r="G261">
        <v>5.5697766335477787</v>
      </c>
      <c r="H261">
        <v>29.136310944153252</v>
      </c>
      <c r="I261">
        <v>18.411974889348571</v>
      </c>
      <c r="J261">
        <v>18.384441865387469</v>
      </c>
      <c r="K261">
        <v>1968.2147615345541</v>
      </c>
      <c r="L261">
        <v>1</v>
      </c>
      <c r="M261" t="s">
        <v>66</v>
      </c>
    </row>
    <row r="262" spans="1:13" x14ac:dyDescent="0.3">
      <c r="A262" t="s">
        <v>16</v>
      </c>
      <c r="B262" t="s">
        <v>38</v>
      </c>
      <c r="C262">
        <v>960</v>
      </c>
      <c r="D262">
        <v>46.058293130617677</v>
      </c>
      <c r="E262">
        <v>60.45662631336144</v>
      </c>
      <c r="F262">
        <v>149.49276186149481</v>
      </c>
      <c r="G262">
        <v>5.2313558840705978</v>
      </c>
      <c r="H262">
        <v>24.42851162038491</v>
      </c>
      <c r="I262">
        <v>19.233421920049011</v>
      </c>
      <c r="J262">
        <v>21.587607533283151</v>
      </c>
      <c r="K262">
        <v>1448.080763835806</v>
      </c>
      <c r="L262">
        <v>1</v>
      </c>
      <c r="M262" t="s">
        <v>66</v>
      </c>
    </row>
    <row r="263" spans="1:13" x14ac:dyDescent="0.3">
      <c r="A263" t="s">
        <v>18</v>
      </c>
      <c r="B263" t="s">
        <v>41</v>
      </c>
      <c r="C263">
        <v>53.937992025532282</v>
      </c>
      <c r="D263">
        <v>2.2363011417320529</v>
      </c>
      <c r="E263">
        <v>3.0312370039328038</v>
      </c>
      <c r="F263">
        <v>7.94111558118537</v>
      </c>
      <c r="G263">
        <v>5.675677674872424</v>
      </c>
      <c r="H263">
        <v>32.139887878336133</v>
      </c>
      <c r="I263">
        <v>19.677687518740019</v>
      </c>
      <c r="J263">
        <v>21.477841273099031</v>
      </c>
      <c r="K263">
        <v>1750.7003984210951</v>
      </c>
      <c r="L263">
        <v>1</v>
      </c>
      <c r="M263" t="s">
        <v>66</v>
      </c>
    </row>
    <row r="264" spans="1:13" x14ac:dyDescent="0.3">
      <c r="A264" t="s">
        <v>24</v>
      </c>
      <c r="B264" t="s">
        <v>61</v>
      </c>
      <c r="C264">
        <v>319.81090453544431</v>
      </c>
      <c r="D264">
        <v>16.238369978363771</v>
      </c>
      <c r="E264">
        <v>22.113695579390789</v>
      </c>
      <c r="F264">
        <v>42.560494913450583</v>
      </c>
      <c r="G264">
        <v>4.3</v>
      </c>
      <c r="H264">
        <v>58.228971582698392</v>
      </c>
      <c r="I264">
        <v>28.897349124760371</v>
      </c>
      <c r="J264">
        <v>31.92082305562953</v>
      </c>
      <c r="K264">
        <v>13.95457410929612</v>
      </c>
      <c r="L264">
        <v>-1</v>
      </c>
      <c r="M264" t="s">
        <v>66</v>
      </c>
    </row>
    <row r="265" spans="1:13" x14ac:dyDescent="0.3">
      <c r="A265" t="s">
        <v>18</v>
      </c>
      <c r="B265" t="s">
        <v>43</v>
      </c>
      <c r="C265">
        <v>31.946390875302331</v>
      </c>
      <c r="D265">
        <v>0.91772756253739241</v>
      </c>
      <c r="E265">
        <v>1.988988193275909</v>
      </c>
      <c r="F265">
        <v>3.8889290217251999</v>
      </c>
      <c r="G265">
        <v>6.2710825357537674</v>
      </c>
      <c r="H265">
        <v>23.544739806315111</v>
      </c>
      <c r="I265">
        <v>23.004156059339209</v>
      </c>
      <c r="J265">
        <v>19.96705506191509</v>
      </c>
      <c r="K265">
        <v>1822.4069795165881</v>
      </c>
      <c r="L265">
        <v>1</v>
      </c>
      <c r="M265" t="s">
        <v>66</v>
      </c>
    </row>
    <row r="266" spans="1:13" x14ac:dyDescent="0.3">
      <c r="A266" t="s">
        <v>17</v>
      </c>
      <c r="B266" t="s">
        <v>39</v>
      </c>
      <c r="C266">
        <v>18.519372386210211</v>
      </c>
      <c r="D266">
        <v>0</v>
      </c>
      <c r="E266">
        <v>0.92853297891309161</v>
      </c>
      <c r="F266">
        <v>1.7437847236151409</v>
      </c>
      <c r="G266">
        <v>5.3997382708223514</v>
      </c>
      <c r="H266">
        <v>22.535976417385339</v>
      </c>
      <c r="I266">
        <v>20.06580333026227</v>
      </c>
      <c r="J266">
        <v>27.805584157625901</v>
      </c>
      <c r="K266">
        <v>2217.511165611832</v>
      </c>
      <c r="L266">
        <v>1</v>
      </c>
      <c r="M266" t="s">
        <v>66</v>
      </c>
    </row>
    <row r="267" spans="1:13" x14ac:dyDescent="0.3">
      <c r="A267" t="s">
        <v>20</v>
      </c>
      <c r="B267" t="s">
        <v>49</v>
      </c>
      <c r="C267">
        <v>39.308155110864803</v>
      </c>
      <c r="D267">
        <v>0.9166009477003616</v>
      </c>
      <c r="E267">
        <v>2.1178230594919651</v>
      </c>
      <c r="F267">
        <v>6.7442475435685916</v>
      </c>
      <c r="G267">
        <v>6.0695543307370698</v>
      </c>
      <c r="H267">
        <v>17.60869558470305</v>
      </c>
      <c r="I267">
        <v>32.357945517039887</v>
      </c>
      <c r="J267">
        <v>26.338471593446279</v>
      </c>
      <c r="K267">
        <v>1159.6638673151119</v>
      </c>
      <c r="L267">
        <v>0</v>
      </c>
      <c r="M267" t="s">
        <v>66</v>
      </c>
    </row>
    <row r="268" spans="1:13" x14ac:dyDescent="0.3">
      <c r="A268" t="s">
        <v>20</v>
      </c>
      <c r="B268" t="s">
        <v>50</v>
      </c>
      <c r="C268">
        <v>49.442322824079092</v>
      </c>
      <c r="D268">
        <v>1.9952960142914831</v>
      </c>
      <c r="E268">
        <v>2.958490701619124</v>
      </c>
      <c r="F268">
        <v>7.1867990820579708</v>
      </c>
      <c r="G268">
        <v>6.7300513121642478</v>
      </c>
      <c r="H268">
        <v>21.28142104494486</v>
      </c>
      <c r="I268">
        <v>20.904672773345069</v>
      </c>
      <c r="J268">
        <v>20.848641337106589</v>
      </c>
      <c r="K268">
        <v>1734.413359411416</v>
      </c>
      <c r="L268">
        <v>1</v>
      </c>
      <c r="M268" t="s">
        <v>66</v>
      </c>
    </row>
    <row r="269" spans="1:13" x14ac:dyDescent="0.3">
      <c r="A269" t="s">
        <v>17</v>
      </c>
      <c r="B269" t="s">
        <v>39</v>
      </c>
      <c r="C269">
        <v>733.20285034972517</v>
      </c>
      <c r="D269">
        <v>44.884756558598063</v>
      </c>
      <c r="E269">
        <v>64.886167268046833</v>
      </c>
      <c r="F269">
        <v>143.50412153077559</v>
      </c>
      <c r="G269">
        <v>5.4409188518211282</v>
      </c>
      <c r="H269">
        <v>49.075990351871518</v>
      </c>
      <c r="I269">
        <v>18.645589159542912</v>
      </c>
      <c r="J269">
        <v>21.962693288868589</v>
      </c>
      <c r="K269">
        <v>1469.6438800270721</v>
      </c>
      <c r="L269">
        <v>1</v>
      </c>
      <c r="M269" t="s">
        <v>66</v>
      </c>
    </row>
    <row r="270" spans="1:13" x14ac:dyDescent="0.3">
      <c r="A270" t="s">
        <v>20</v>
      </c>
      <c r="B270" t="s">
        <v>49</v>
      </c>
      <c r="C270">
        <v>90.907835771186086</v>
      </c>
      <c r="D270">
        <v>4.403526976032671</v>
      </c>
      <c r="E270">
        <v>6.0111673703303659</v>
      </c>
      <c r="F270">
        <v>14.69501432858398</v>
      </c>
      <c r="G270">
        <v>5.4572666805102523</v>
      </c>
      <c r="H270">
        <v>26.994710710982979</v>
      </c>
      <c r="I270">
        <v>21.209198109433359</v>
      </c>
      <c r="J270">
        <v>21.193278799423869</v>
      </c>
      <c r="K270">
        <v>1789.272785032663</v>
      </c>
      <c r="L270">
        <v>1</v>
      </c>
      <c r="M270" t="s">
        <v>66</v>
      </c>
    </row>
    <row r="271" spans="1:13" x14ac:dyDescent="0.3">
      <c r="A271" t="s">
        <v>22</v>
      </c>
      <c r="B271" t="s">
        <v>54</v>
      </c>
      <c r="C271">
        <v>46.989166086348689</v>
      </c>
      <c r="D271">
        <v>2.0890057195270821</v>
      </c>
      <c r="E271">
        <v>2.8169795476317199</v>
      </c>
      <c r="F271">
        <v>7.7692762323069351</v>
      </c>
      <c r="G271">
        <v>7.5</v>
      </c>
      <c r="H271">
        <v>44.377545280817642</v>
      </c>
      <c r="I271">
        <v>30.74014204565885</v>
      </c>
      <c r="J271">
        <v>21.246972224189811</v>
      </c>
      <c r="K271">
        <v>1365.231594952282</v>
      </c>
      <c r="L271">
        <v>1</v>
      </c>
      <c r="M271" t="s">
        <v>66</v>
      </c>
    </row>
    <row r="272" spans="1:13" x14ac:dyDescent="0.3">
      <c r="A272" t="s">
        <v>15</v>
      </c>
      <c r="B272" t="s">
        <v>30</v>
      </c>
      <c r="C272">
        <v>103.8024942633803</v>
      </c>
      <c r="D272">
        <v>5.2653351668359516</v>
      </c>
      <c r="E272">
        <v>6.4273085388770737</v>
      </c>
      <c r="F272">
        <v>13.611229657071309</v>
      </c>
      <c r="G272">
        <v>6.1405363635200008</v>
      </c>
      <c r="H272">
        <v>28.679451857700201</v>
      </c>
      <c r="I272">
        <v>20.612686373189689</v>
      </c>
      <c r="J272">
        <v>27.862385800262949</v>
      </c>
      <c r="K272">
        <v>2029.816475189594</v>
      </c>
      <c r="L272">
        <v>1</v>
      </c>
      <c r="M272" t="s">
        <v>66</v>
      </c>
    </row>
    <row r="273" spans="1:13" x14ac:dyDescent="0.3">
      <c r="A273" t="s">
        <v>15</v>
      </c>
      <c r="B273" t="s">
        <v>32</v>
      </c>
      <c r="C273">
        <v>7.1807246387718209</v>
      </c>
      <c r="D273">
        <v>0</v>
      </c>
      <c r="E273">
        <v>0</v>
      </c>
      <c r="F273">
        <v>1.0408608006690849</v>
      </c>
      <c r="G273">
        <v>6.701830990528058</v>
      </c>
      <c r="H273">
        <v>26.885207006413889</v>
      </c>
      <c r="I273">
        <v>23.169318561615601</v>
      </c>
      <c r="J273">
        <v>19.24733994241889</v>
      </c>
      <c r="K273">
        <v>1643.6074556088699</v>
      </c>
      <c r="L273">
        <v>1</v>
      </c>
      <c r="M273" t="s">
        <v>66</v>
      </c>
    </row>
    <row r="274" spans="1:13" x14ac:dyDescent="0.3">
      <c r="A274" t="s">
        <v>24</v>
      </c>
      <c r="B274" t="s">
        <v>58</v>
      </c>
      <c r="C274">
        <v>30.32862114952286</v>
      </c>
      <c r="D274">
        <v>0.92340950095046637</v>
      </c>
      <c r="E274">
        <v>1.848676723815101</v>
      </c>
      <c r="F274">
        <v>4.4698859996793399</v>
      </c>
      <c r="G274">
        <v>6.8568843558663994</v>
      </c>
      <c r="H274">
        <v>33.711855227587819</v>
      </c>
      <c r="I274">
        <v>24.880667046989458</v>
      </c>
      <c r="J274">
        <v>23.510159656749611</v>
      </c>
      <c r="K274">
        <v>756.78581381139463</v>
      </c>
      <c r="L274">
        <v>0</v>
      </c>
      <c r="M274" t="s">
        <v>66</v>
      </c>
    </row>
    <row r="275" spans="1:13" x14ac:dyDescent="0.3">
      <c r="A275" t="s">
        <v>20</v>
      </c>
      <c r="B275" t="s">
        <v>50</v>
      </c>
      <c r="C275">
        <v>53.74099830531614</v>
      </c>
      <c r="D275">
        <v>1.882869190579243</v>
      </c>
      <c r="E275">
        <v>2.1860859461272382</v>
      </c>
      <c r="F275">
        <v>5.5855785014316766</v>
      </c>
      <c r="G275">
        <v>6.0155963133418453</v>
      </c>
      <c r="H275">
        <v>23.647510535984939</v>
      </c>
      <c r="I275">
        <v>17.74913589263442</v>
      </c>
      <c r="J275">
        <v>21.53891810587433</v>
      </c>
      <c r="K275">
        <v>1710.8633077768279</v>
      </c>
      <c r="L275">
        <v>1</v>
      </c>
      <c r="M275" t="s">
        <v>66</v>
      </c>
    </row>
    <row r="276" spans="1:13" x14ac:dyDescent="0.3">
      <c r="A276" t="s">
        <v>16</v>
      </c>
      <c r="B276" t="s">
        <v>36</v>
      </c>
      <c r="C276">
        <v>14.66946801040535</v>
      </c>
      <c r="D276">
        <v>0</v>
      </c>
      <c r="E276">
        <v>0.9987263775665296</v>
      </c>
      <c r="F276">
        <v>1.8855230479207781</v>
      </c>
      <c r="G276">
        <v>5.5517352448036776</v>
      </c>
      <c r="H276">
        <v>27.873264519045211</v>
      </c>
      <c r="I276">
        <v>23.122078065980361</v>
      </c>
      <c r="J276">
        <v>26.975167035914069</v>
      </c>
      <c r="K276">
        <v>2031.4884549560711</v>
      </c>
      <c r="L276">
        <v>1</v>
      </c>
      <c r="M276" t="s">
        <v>66</v>
      </c>
    </row>
    <row r="277" spans="1:13" x14ac:dyDescent="0.3">
      <c r="A277" t="s">
        <v>24</v>
      </c>
      <c r="B277" t="s">
        <v>57</v>
      </c>
      <c r="C277">
        <v>62.016988428385581</v>
      </c>
      <c r="D277">
        <v>2.882352719857419</v>
      </c>
      <c r="E277">
        <v>4.2057397548232309</v>
      </c>
      <c r="F277">
        <v>9.7280077879550397</v>
      </c>
      <c r="G277">
        <v>6.4001235640008707</v>
      </c>
      <c r="H277">
        <v>19.629834543733761</v>
      </c>
      <c r="I277">
        <v>21.909344533670119</v>
      </c>
      <c r="J277">
        <v>20.553421167351491</v>
      </c>
      <c r="K277">
        <v>1545.607300098374</v>
      </c>
      <c r="L277">
        <v>1</v>
      </c>
      <c r="M277" t="s">
        <v>66</v>
      </c>
    </row>
    <row r="278" spans="1:13" x14ac:dyDescent="0.3">
      <c r="A278" t="s">
        <v>15</v>
      </c>
      <c r="B278" t="s">
        <v>34</v>
      </c>
      <c r="C278">
        <v>65.447854658764811</v>
      </c>
      <c r="D278">
        <v>3.5698662729112991</v>
      </c>
      <c r="E278">
        <v>4.6846956584439869</v>
      </c>
      <c r="F278">
        <v>8.8934179750641889</v>
      </c>
      <c r="G278">
        <v>6.1988324904970833</v>
      </c>
      <c r="H278">
        <v>33.554139201302043</v>
      </c>
      <c r="I278">
        <v>17.561125488984519</v>
      </c>
      <c r="J278">
        <v>18.80388664837815</v>
      </c>
      <c r="K278">
        <v>2034.6941266739029</v>
      </c>
      <c r="L278">
        <v>1</v>
      </c>
      <c r="M278" t="s">
        <v>66</v>
      </c>
    </row>
    <row r="279" spans="1:13" x14ac:dyDescent="0.3">
      <c r="A279" t="s">
        <v>19</v>
      </c>
      <c r="B279" t="s">
        <v>47</v>
      </c>
      <c r="C279">
        <v>77.964255759593968</v>
      </c>
      <c r="D279">
        <v>2.7059637128949849</v>
      </c>
      <c r="E279">
        <v>4.3351929901721116</v>
      </c>
      <c r="F279">
        <v>10.826450760689241</v>
      </c>
      <c r="G279">
        <v>6.3573599607365914</v>
      </c>
      <c r="H279">
        <v>15.419175182651809</v>
      </c>
      <c r="I279">
        <v>27.181906117674071</v>
      </c>
      <c r="J279">
        <v>25.405880776166061</v>
      </c>
      <c r="K279">
        <v>695.1621547854686</v>
      </c>
      <c r="L279">
        <v>1</v>
      </c>
      <c r="M279" t="s">
        <v>66</v>
      </c>
    </row>
    <row r="280" spans="1:13" x14ac:dyDescent="0.3">
      <c r="A280" t="s">
        <v>17</v>
      </c>
      <c r="B280" t="s">
        <v>39</v>
      </c>
      <c r="C280">
        <v>136.98481156600721</v>
      </c>
      <c r="D280">
        <v>5.477991846675943</v>
      </c>
      <c r="E280">
        <v>8.1134501101762613</v>
      </c>
      <c r="F280">
        <v>20.483617666841809</v>
      </c>
      <c r="G280">
        <v>5.2506508063221906</v>
      </c>
      <c r="H280">
        <v>19.77001747149907</v>
      </c>
      <c r="I280">
        <v>18.574457311984581</v>
      </c>
      <c r="J280">
        <v>20.35608423122375</v>
      </c>
      <c r="K280">
        <v>1930.685052468589</v>
      </c>
      <c r="L280">
        <v>1</v>
      </c>
      <c r="M280" t="s">
        <v>66</v>
      </c>
    </row>
    <row r="281" spans="1:13" x14ac:dyDescent="0.3">
      <c r="A281" t="s">
        <v>22</v>
      </c>
      <c r="B281" t="s">
        <v>53</v>
      </c>
      <c r="C281">
        <v>347.84797166986311</v>
      </c>
      <c r="D281">
        <v>16.411292536655409</v>
      </c>
      <c r="E281">
        <v>27.598536460107582</v>
      </c>
      <c r="F281">
        <v>49.872657533325331</v>
      </c>
      <c r="G281">
        <v>6.306001864097845</v>
      </c>
      <c r="H281">
        <v>30.94188955604038</v>
      </c>
      <c r="I281">
        <v>24.629165676561701</v>
      </c>
      <c r="J281">
        <v>21.194478087931891</v>
      </c>
      <c r="K281">
        <v>1373.2702817865911</v>
      </c>
      <c r="L281">
        <v>1</v>
      </c>
      <c r="M281" t="s">
        <v>66</v>
      </c>
    </row>
    <row r="282" spans="1:13" x14ac:dyDescent="0.3">
      <c r="A282" t="s">
        <v>18</v>
      </c>
      <c r="B282" t="s">
        <v>43</v>
      </c>
      <c r="C282">
        <v>25.08512603337978</v>
      </c>
      <c r="D282">
        <v>0.99015564210109197</v>
      </c>
      <c r="E282">
        <v>1.161487118802027</v>
      </c>
      <c r="F282">
        <v>3.976247515427584</v>
      </c>
      <c r="G282">
        <v>6.403429380301767</v>
      </c>
      <c r="H282">
        <v>26.018947691003142</v>
      </c>
      <c r="I282">
        <v>24.77123068166641</v>
      </c>
      <c r="J282">
        <v>19.021646164522739</v>
      </c>
      <c r="K282">
        <v>1834.928750736847</v>
      </c>
      <c r="L282">
        <v>1</v>
      </c>
      <c r="M282" t="s">
        <v>66</v>
      </c>
    </row>
    <row r="283" spans="1:13" x14ac:dyDescent="0.3">
      <c r="A283" t="s">
        <v>19</v>
      </c>
      <c r="B283" t="s">
        <v>48</v>
      </c>
      <c r="C283">
        <v>28.61255620765505</v>
      </c>
      <c r="D283">
        <v>0.97053515180257399</v>
      </c>
      <c r="E283">
        <v>0.9145319767789637</v>
      </c>
      <c r="F283">
        <v>3.4021500619402469</v>
      </c>
      <c r="G283">
        <v>6.0476118826369527</v>
      </c>
      <c r="H283">
        <v>15.806379879014679</v>
      </c>
      <c r="I283">
        <v>29.40791169943191</v>
      </c>
      <c r="J283">
        <v>25.300143218725331</v>
      </c>
      <c r="K283">
        <v>1172.9096067690971</v>
      </c>
      <c r="L283">
        <v>0</v>
      </c>
      <c r="M283" t="s">
        <v>66</v>
      </c>
    </row>
    <row r="284" spans="1:13" x14ac:dyDescent="0.3">
      <c r="A284" t="s">
        <v>18</v>
      </c>
      <c r="B284" t="s">
        <v>42</v>
      </c>
      <c r="C284">
        <v>34.074983323962698</v>
      </c>
      <c r="D284">
        <v>0.94762329120564148</v>
      </c>
      <c r="E284">
        <v>1.9305438807984709</v>
      </c>
      <c r="F284">
        <v>4.9584932598942544</v>
      </c>
      <c r="G284">
        <v>5.8732569735129001</v>
      </c>
      <c r="H284">
        <v>27.695474807902471</v>
      </c>
      <c r="I284">
        <v>22.496007659631989</v>
      </c>
      <c r="J284">
        <v>27.398158024323848</v>
      </c>
      <c r="K284">
        <v>1626.721778258441</v>
      </c>
      <c r="L284">
        <v>1</v>
      </c>
      <c r="M284" t="s">
        <v>66</v>
      </c>
    </row>
    <row r="285" spans="1:13" x14ac:dyDescent="0.3">
      <c r="A285" t="s">
        <v>19</v>
      </c>
      <c r="B285" t="s">
        <v>48</v>
      </c>
      <c r="C285">
        <v>24.91992235012907</v>
      </c>
      <c r="D285">
        <v>1.0335039079287669</v>
      </c>
      <c r="E285">
        <v>0.91691703527289192</v>
      </c>
      <c r="F285">
        <v>3.695748016771601</v>
      </c>
      <c r="G285">
        <v>5.7701715188464302</v>
      </c>
      <c r="H285">
        <v>16.409671546340881</v>
      </c>
      <c r="I285">
        <v>31.690441468094619</v>
      </c>
      <c r="J285">
        <v>25.982486397952471</v>
      </c>
      <c r="K285">
        <v>1140.3564412451251</v>
      </c>
      <c r="L285">
        <v>0</v>
      </c>
      <c r="M285" t="s">
        <v>66</v>
      </c>
    </row>
    <row r="286" spans="1:13" x14ac:dyDescent="0.3">
      <c r="A286" t="s">
        <v>22</v>
      </c>
      <c r="B286" t="s">
        <v>54</v>
      </c>
      <c r="C286">
        <v>21.681256005210269</v>
      </c>
      <c r="D286">
        <v>1.04917685138324</v>
      </c>
      <c r="E286">
        <v>0.88824881369928921</v>
      </c>
      <c r="F286">
        <v>2.876497865987456</v>
      </c>
      <c r="G286">
        <v>6.3467180332683171</v>
      </c>
      <c r="H286">
        <v>33.999458041341583</v>
      </c>
      <c r="I286">
        <v>18.126438442564481</v>
      </c>
      <c r="J286">
        <v>16</v>
      </c>
      <c r="K286">
        <v>1736.843453248104</v>
      </c>
      <c r="L286">
        <v>1</v>
      </c>
      <c r="M286" t="s">
        <v>66</v>
      </c>
    </row>
    <row r="287" spans="1:13" x14ac:dyDescent="0.3">
      <c r="A287" t="s">
        <v>24</v>
      </c>
      <c r="B287" t="s">
        <v>61</v>
      </c>
      <c r="C287">
        <v>332.36445293958201</v>
      </c>
      <c r="D287">
        <v>17.07211744570651</v>
      </c>
      <c r="E287">
        <v>21.01066650445166</v>
      </c>
      <c r="F287">
        <v>57.029461828715583</v>
      </c>
      <c r="G287">
        <v>4.3</v>
      </c>
      <c r="H287">
        <v>61.553387856489998</v>
      </c>
      <c r="I287">
        <v>29.671720694120321</v>
      </c>
      <c r="J287">
        <v>27.896616232863021</v>
      </c>
      <c r="K287">
        <v>14.178798915841529</v>
      </c>
      <c r="L287">
        <v>-1</v>
      </c>
      <c r="M287" t="s">
        <v>66</v>
      </c>
    </row>
    <row r="288" spans="1:13" x14ac:dyDescent="0.3">
      <c r="A288" t="s">
        <v>24</v>
      </c>
      <c r="B288" t="s">
        <v>58</v>
      </c>
      <c r="C288">
        <v>12.812880769069791</v>
      </c>
      <c r="D288">
        <v>0</v>
      </c>
      <c r="E288">
        <v>0</v>
      </c>
      <c r="F288">
        <v>1.6714121125176751</v>
      </c>
      <c r="G288">
        <v>6.4787308754389654</v>
      </c>
      <c r="H288">
        <v>43.224168490683553</v>
      </c>
      <c r="I288">
        <v>24.40361023923596</v>
      </c>
      <c r="J288">
        <v>23.086033441187951</v>
      </c>
      <c r="K288">
        <v>761.41260704519425</v>
      </c>
      <c r="L288">
        <v>0</v>
      </c>
      <c r="M288" t="s">
        <v>66</v>
      </c>
    </row>
    <row r="289" spans="1:13" x14ac:dyDescent="0.3">
      <c r="A289" t="s">
        <v>16</v>
      </c>
      <c r="B289" t="s">
        <v>36</v>
      </c>
      <c r="C289">
        <v>22.402434206483459</v>
      </c>
      <c r="D289">
        <v>1.011977563726461</v>
      </c>
      <c r="E289">
        <v>1.003940540082207</v>
      </c>
      <c r="F289">
        <v>3.0256893461311658</v>
      </c>
      <c r="G289">
        <v>6.2516632686452152</v>
      </c>
      <c r="H289">
        <v>27.777155326702509</v>
      </c>
      <c r="I289">
        <v>22.749991863197049</v>
      </c>
      <c r="J289">
        <v>22.79461294433095</v>
      </c>
      <c r="K289">
        <v>1679.743382779171</v>
      </c>
      <c r="L289">
        <v>1</v>
      </c>
      <c r="M289" t="s">
        <v>66</v>
      </c>
    </row>
    <row r="290" spans="1:13" x14ac:dyDescent="0.3">
      <c r="A290" t="s">
        <v>17</v>
      </c>
      <c r="B290" t="s">
        <v>39</v>
      </c>
      <c r="C290">
        <v>40.718603054553398</v>
      </c>
      <c r="D290">
        <v>1.0080826999870811</v>
      </c>
      <c r="E290">
        <v>2.074849934354408</v>
      </c>
      <c r="F290">
        <v>6.4362138693462398</v>
      </c>
      <c r="G290">
        <v>6.2453603877237791</v>
      </c>
      <c r="H290">
        <v>26.62590135187904</v>
      </c>
      <c r="I290">
        <v>17.02479131192095</v>
      </c>
      <c r="J290">
        <v>23.160688179402971</v>
      </c>
      <c r="K290">
        <v>1417.3749879948559</v>
      </c>
      <c r="L290">
        <v>1</v>
      </c>
      <c r="M290" t="s">
        <v>66</v>
      </c>
    </row>
    <row r="291" spans="1:13" x14ac:dyDescent="0.3">
      <c r="A291" t="s">
        <v>15</v>
      </c>
      <c r="B291" t="s">
        <v>33</v>
      </c>
      <c r="C291">
        <v>80.833292211488853</v>
      </c>
      <c r="D291">
        <v>3.882824983071921</v>
      </c>
      <c r="E291">
        <v>6.4185454358624394</v>
      </c>
      <c r="F291">
        <v>14.0236158870902</v>
      </c>
      <c r="G291">
        <v>6.0862712278162006</v>
      </c>
      <c r="H291">
        <v>31.142426358266661</v>
      </c>
      <c r="I291">
        <v>19.94892248760916</v>
      </c>
      <c r="J291">
        <v>18.8964621420958</v>
      </c>
      <c r="K291">
        <v>2093.8895452576371</v>
      </c>
      <c r="L291">
        <v>1</v>
      </c>
      <c r="M291" t="s">
        <v>66</v>
      </c>
    </row>
    <row r="292" spans="1:13" x14ac:dyDescent="0.3">
      <c r="A292" t="s">
        <v>25</v>
      </c>
      <c r="B292" t="s">
        <v>62</v>
      </c>
      <c r="C292">
        <v>549.74910039974577</v>
      </c>
      <c r="D292">
        <v>30.290231879489571</v>
      </c>
      <c r="E292">
        <v>42.965522316448762</v>
      </c>
      <c r="F292">
        <v>100.6810204848781</v>
      </c>
      <c r="G292">
        <v>4.6340820865538062</v>
      </c>
      <c r="H292">
        <v>88.4</v>
      </c>
      <c r="I292">
        <v>28.479688598805211</v>
      </c>
      <c r="J292">
        <v>24.309739827527441</v>
      </c>
      <c r="K292">
        <v>703.3426476349332</v>
      </c>
      <c r="L292">
        <v>0</v>
      </c>
      <c r="M292" t="s">
        <v>66</v>
      </c>
    </row>
    <row r="293" spans="1:13" x14ac:dyDescent="0.3">
      <c r="A293" t="s">
        <v>19</v>
      </c>
      <c r="B293" t="s">
        <v>44</v>
      </c>
      <c r="C293">
        <v>37.313514279243563</v>
      </c>
      <c r="D293">
        <v>1.1715457007901191</v>
      </c>
      <c r="E293">
        <v>2.19721667653348</v>
      </c>
      <c r="F293">
        <v>5.6429591132578274</v>
      </c>
      <c r="G293">
        <v>6.0054786266222022</v>
      </c>
      <c r="H293">
        <v>18.330807392956959</v>
      </c>
      <c r="I293">
        <v>18.16906195583012</v>
      </c>
      <c r="J293">
        <v>30.024213522358949</v>
      </c>
      <c r="K293">
        <v>2236.013878405618</v>
      </c>
      <c r="L293">
        <v>1</v>
      </c>
      <c r="M293" t="s">
        <v>66</v>
      </c>
    </row>
    <row r="294" spans="1:13" x14ac:dyDescent="0.3">
      <c r="A294" t="s">
        <v>19</v>
      </c>
      <c r="B294" t="s">
        <v>46</v>
      </c>
      <c r="C294">
        <v>22.420184780978719</v>
      </c>
      <c r="D294">
        <v>0.96320173250812946</v>
      </c>
      <c r="E294">
        <v>1.0910683154456271</v>
      </c>
      <c r="F294">
        <v>3.1420900019833158</v>
      </c>
      <c r="G294">
        <v>6.2126393140583041</v>
      </c>
      <c r="H294">
        <v>28.850577149501031</v>
      </c>
      <c r="I294">
        <v>24.75045328435003</v>
      </c>
      <c r="J294">
        <v>27.05257545581064</v>
      </c>
      <c r="K294">
        <v>1353.3714309369479</v>
      </c>
      <c r="L294">
        <v>1</v>
      </c>
      <c r="M294" t="s">
        <v>66</v>
      </c>
    </row>
    <row r="295" spans="1:13" x14ac:dyDescent="0.3">
      <c r="A295" t="s">
        <v>16</v>
      </c>
      <c r="B295" t="s">
        <v>36</v>
      </c>
      <c r="C295">
        <v>54.720239151148157</v>
      </c>
      <c r="D295">
        <v>2.4506149504778509</v>
      </c>
      <c r="E295">
        <v>2.7097498927511672</v>
      </c>
      <c r="F295">
        <v>7.5184309390988249</v>
      </c>
      <c r="G295">
        <v>4.8583787831826024</v>
      </c>
      <c r="H295">
        <v>34.26228117685956</v>
      </c>
      <c r="I295">
        <v>23.85132129284127</v>
      </c>
      <c r="J295">
        <v>26.793508312687841</v>
      </c>
      <c r="K295">
        <v>1958.774779659811</v>
      </c>
      <c r="L295">
        <v>1</v>
      </c>
      <c r="M295" t="s">
        <v>66</v>
      </c>
    </row>
    <row r="296" spans="1:13" x14ac:dyDescent="0.3">
      <c r="A296" t="s">
        <v>19</v>
      </c>
      <c r="B296" t="s">
        <v>44</v>
      </c>
      <c r="C296">
        <v>13.65018080377425</v>
      </c>
      <c r="D296">
        <v>0</v>
      </c>
      <c r="E296">
        <v>0.99874240096413303</v>
      </c>
      <c r="F296">
        <v>1.9947738205727981</v>
      </c>
      <c r="G296">
        <v>5.8248295288312404</v>
      </c>
      <c r="H296">
        <v>44.594530542390878</v>
      </c>
      <c r="I296">
        <v>19.188102140889669</v>
      </c>
      <c r="J296">
        <v>19.168199561653189</v>
      </c>
      <c r="K296">
        <v>1977.4143116264461</v>
      </c>
      <c r="L296">
        <v>1</v>
      </c>
      <c r="M296" t="s">
        <v>66</v>
      </c>
    </row>
    <row r="297" spans="1:13" x14ac:dyDescent="0.3">
      <c r="A297" t="s">
        <v>18</v>
      </c>
      <c r="B297" t="s">
        <v>40</v>
      </c>
      <c r="C297">
        <v>129.98978139671519</v>
      </c>
      <c r="D297">
        <v>6.6500456654903486</v>
      </c>
      <c r="E297">
        <v>8.8676680229375062</v>
      </c>
      <c r="F297">
        <v>20.622944116460921</v>
      </c>
      <c r="G297">
        <v>6.1445551191618932</v>
      </c>
      <c r="H297">
        <v>28.981171917842751</v>
      </c>
      <c r="I297">
        <v>22.205048579635442</v>
      </c>
      <c r="J297">
        <v>21.055825742378161</v>
      </c>
      <c r="K297">
        <v>1598.618956681544</v>
      </c>
      <c r="L297">
        <v>1</v>
      </c>
      <c r="M297" t="s">
        <v>66</v>
      </c>
    </row>
    <row r="298" spans="1:13" x14ac:dyDescent="0.3">
      <c r="A298" t="s">
        <v>18</v>
      </c>
      <c r="B298" t="s">
        <v>43</v>
      </c>
      <c r="C298">
        <v>32.70370985376114</v>
      </c>
      <c r="D298">
        <v>1.02874546446926</v>
      </c>
      <c r="E298">
        <v>1.8891644256457529</v>
      </c>
      <c r="F298">
        <v>4.8727866207656287</v>
      </c>
      <c r="G298">
        <v>6.1900783532819661</v>
      </c>
      <c r="H298">
        <v>23.326781906622209</v>
      </c>
      <c r="I298">
        <v>23.252239174774871</v>
      </c>
      <c r="J298">
        <v>18.547674404249939</v>
      </c>
      <c r="K298">
        <v>1847.6132719763341</v>
      </c>
      <c r="L298">
        <v>1</v>
      </c>
      <c r="M298" t="s">
        <v>66</v>
      </c>
    </row>
    <row r="299" spans="1:13" x14ac:dyDescent="0.3">
      <c r="A299" t="s">
        <v>23</v>
      </c>
      <c r="B299" t="s">
        <v>56</v>
      </c>
      <c r="C299">
        <v>88.088472379713039</v>
      </c>
      <c r="D299">
        <v>4.5309494542165414</v>
      </c>
      <c r="E299">
        <v>5.3476838452712254</v>
      </c>
      <c r="F299">
        <v>13.223472134598079</v>
      </c>
      <c r="G299">
        <v>6.2183637919380788</v>
      </c>
      <c r="H299">
        <v>24.191862753220882</v>
      </c>
      <c r="I299">
        <v>19.877007109824259</v>
      </c>
      <c r="J299">
        <v>18.68213038652193</v>
      </c>
      <c r="K299">
        <v>1612.4634126255071</v>
      </c>
      <c r="L299">
        <v>1</v>
      </c>
      <c r="M299" t="s">
        <v>66</v>
      </c>
    </row>
    <row r="300" spans="1:13" x14ac:dyDescent="0.3">
      <c r="A300" t="s">
        <v>16</v>
      </c>
      <c r="B300" t="s">
        <v>36</v>
      </c>
      <c r="C300">
        <v>52.64647640393747</v>
      </c>
      <c r="D300">
        <v>2.0678228233262619</v>
      </c>
      <c r="E300">
        <v>2.7901773686938092</v>
      </c>
      <c r="F300">
        <v>8.6334883717794035</v>
      </c>
      <c r="G300">
        <v>4.97664445078202</v>
      </c>
      <c r="H300">
        <v>35.511352782034777</v>
      </c>
      <c r="I300">
        <v>24.822527795248881</v>
      </c>
      <c r="J300">
        <v>26.513106279508321</v>
      </c>
      <c r="K300">
        <v>2044.669956964656</v>
      </c>
      <c r="L300">
        <v>1</v>
      </c>
      <c r="M300" t="s">
        <v>66</v>
      </c>
    </row>
    <row r="301" spans="1:13" x14ac:dyDescent="0.3">
      <c r="A301" t="s">
        <v>16</v>
      </c>
      <c r="B301" t="s">
        <v>36</v>
      </c>
      <c r="C301">
        <v>55.772937576123972</v>
      </c>
      <c r="D301">
        <v>2.228482747039259</v>
      </c>
      <c r="E301">
        <v>2.967677771027462</v>
      </c>
      <c r="F301">
        <v>8.1057391655506699</v>
      </c>
      <c r="G301">
        <v>4.9924753766757606</v>
      </c>
      <c r="H301">
        <v>33.652590578970127</v>
      </c>
      <c r="I301">
        <v>25.32047137421317</v>
      </c>
      <c r="J301">
        <v>26.963246071455401</v>
      </c>
      <c r="K301">
        <v>2031.5790787000881</v>
      </c>
      <c r="L301">
        <v>1</v>
      </c>
      <c r="M301" t="s">
        <v>66</v>
      </c>
    </row>
    <row r="302" spans="1:13" x14ac:dyDescent="0.3">
      <c r="A302" t="s">
        <v>20</v>
      </c>
      <c r="B302" t="s">
        <v>51</v>
      </c>
      <c r="C302">
        <v>74.920006601594224</v>
      </c>
      <c r="D302">
        <v>2.8974735948955059</v>
      </c>
      <c r="E302">
        <v>4.8038774154603274</v>
      </c>
      <c r="F302">
        <v>11.15470992998925</v>
      </c>
      <c r="G302">
        <v>6.0609322614086834</v>
      </c>
      <c r="H302">
        <v>63.422115241460382</v>
      </c>
      <c r="I302">
        <v>20.111134565610708</v>
      </c>
      <c r="J302">
        <v>21.279588064308602</v>
      </c>
      <c r="K302">
        <v>1512.9538077129041</v>
      </c>
      <c r="L302">
        <v>1</v>
      </c>
      <c r="M302" t="s">
        <v>66</v>
      </c>
    </row>
    <row r="303" spans="1:13" x14ac:dyDescent="0.3">
      <c r="A303" t="s">
        <v>18</v>
      </c>
      <c r="B303" t="s">
        <v>40</v>
      </c>
      <c r="C303">
        <v>121.5839761338701</v>
      </c>
      <c r="D303">
        <v>6.5281210636667</v>
      </c>
      <c r="E303">
        <v>8.2383865813310226</v>
      </c>
      <c r="F303">
        <v>18.06650275058298</v>
      </c>
      <c r="G303">
        <v>6.3367947151266213</v>
      </c>
      <c r="H303">
        <v>28.13893718814116</v>
      </c>
      <c r="I303">
        <v>20.07996520503001</v>
      </c>
      <c r="J303">
        <v>20.683181820530891</v>
      </c>
      <c r="K303">
        <v>1691.3360892287781</v>
      </c>
      <c r="L303">
        <v>1</v>
      </c>
      <c r="M303" t="s">
        <v>66</v>
      </c>
    </row>
    <row r="304" spans="1:13" x14ac:dyDescent="0.3">
      <c r="A304" t="s">
        <v>19</v>
      </c>
      <c r="B304" t="s">
        <v>45</v>
      </c>
      <c r="C304">
        <v>46.420099417796827</v>
      </c>
      <c r="D304">
        <v>2.0742571854052039</v>
      </c>
      <c r="E304">
        <v>2.9263988679953719</v>
      </c>
      <c r="F304">
        <v>6.1275007848737806</v>
      </c>
      <c r="G304">
        <v>6.0962709526700767</v>
      </c>
      <c r="H304">
        <v>28.366918200349541</v>
      </c>
      <c r="I304">
        <v>21.56492257579049</v>
      </c>
      <c r="J304">
        <v>27.579023552430879</v>
      </c>
      <c r="K304">
        <v>1387.9227624482801</v>
      </c>
      <c r="L304">
        <v>1</v>
      </c>
      <c r="M304" t="s">
        <v>66</v>
      </c>
    </row>
    <row r="305" spans="1:13" x14ac:dyDescent="0.3">
      <c r="A305" t="s">
        <v>16</v>
      </c>
      <c r="B305" t="s">
        <v>36</v>
      </c>
      <c r="C305">
        <v>9.969181864033402</v>
      </c>
      <c r="D305">
        <v>0</v>
      </c>
      <c r="E305">
        <v>0</v>
      </c>
      <c r="F305">
        <v>1.059249316461587</v>
      </c>
      <c r="G305">
        <v>6.3710095904318758</v>
      </c>
      <c r="H305">
        <v>29.951141680977301</v>
      </c>
      <c r="I305">
        <v>15.9</v>
      </c>
      <c r="J305">
        <v>23.469231135320818</v>
      </c>
      <c r="K305">
        <v>1463.26943455792</v>
      </c>
      <c r="L305">
        <v>1</v>
      </c>
      <c r="M305" t="s">
        <v>66</v>
      </c>
    </row>
    <row r="306" spans="1:13" x14ac:dyDescent="0.3">
      <c r="A306" t="s">
        <v>19</v>
      </c>
      <c r="B306" t="s">
        <v>44</v>
      </c>
      <c r="C306">
        <v>30.059350917413649</v>
      </c>
      <c r="D306">
        <v>0.87613763762223318</v>
      </c>
      <c r="E306">
        <v>1.9884329263479661</v>
      </c>
      <c r="F306">
        <v>4.025173603933716</v>
      </c>
      <c r="G306">
        <v>5.8314149158624859</v>
      </c>
      <c r="H306">
        <v>22.053276564486929</v>
      </c>
      <c r="I306">
        <v>16.143706099086579</v>
      </c>
      <c r="J306">
        <v>20.754988456170771</v>
      </c>
      <c r="K306">
        <v>1750.7272972124019</v>
      </c>
      <c r="L306">
        <v>1</v>
      </c>
      <c r="M306" t="s">
        <v>66</v>
      </c>
    </row>
    <row r="307" spans="1:13" x14ac:dyDescent="0.3">
      <c r="A307" t="s">
        <v>22</v>
      </c>
      <c r="B307" t="s">
        <v>53</v>
      </c>
      <c r="C307">
        <v>35.270360853221902</v>
      </c>
      <c r="D307">
        <v>0.89535644257966185</v>
      </c>
      <c r="E307">
        <v>2.2885851498197569</v>
      </c>
      <c r="F307">
        <v>4.9269327506133678</v>
      </c>
      <c r="G307">
        <v>6.4790012341210037</v>
      </c>
      <c r="H307">
        <v>22.45440166684973</v>
      </c>
      <c r="I307">
        <v>23.822276631665279</v>
      </c>
      <c r="J307">
        <v>20.001593148153539</v>
      </c>
      <c r="K307">
        <v>1266.345310264476</v>
      </c>
      <c r="L307">
        <v>1</v>
      </c>
      <c r="M307" t="s">
        <v>66</v>
      </c>
    </row>
    <row r="308" spans="1:13" x14ac:dyDescent="0.3">
      <c r="A308" t="s">
        <v>19</v>
      </c>
      <c r="B308" t="s">
        <v>47</v>
      </c>
      <c r="C308">
        <v>10.57356165371044</v>
      </c>
      <c r="D308">
        <v>4.0400471066542254</v>
      </c>
      <c r="E308">
        <v>7.697737410813942</v>
      </c>
      <c r="F308">
        <v>15.16348373217261</v>
      </c>
      <c r="G308">
        <v>6.3388316638521696</v>
      </c>
      <c r="H308">
        <v>27.742233719854969</v>
      </c>
      <c r="I308">
        <v>24.75993072291794</v>
      </c>
      <c r="J308">
        <v>23.71288308620354</v>
      </c>
      <c r="K308">
        <v>671.49927830777449</v>
      </c>
      <c r="L308">
        <v>1</v>
      </c>
      <c r="M308" t="s">
        <v>66</v>
      </c>
    </row>
    <row r="309" spans="1:13" x14ac:dyDescent="0.3">
      <c r="A309" t="s">
        <v>22</v>
      </c>
      <c r="B309" t="s">
        <v>53</v>
      </c>
      <c r="C309">
        <v>37.17433242756794</v>
      </c>
      <c r="D309">
        <v>1.031863245412908</v>
      </c>
      <c r="E309">
        <v>2.0956557058124119</v>
      </c>
      <c r="F309">
        <v>5.8277248299933966</v>
      </c>
      <c r="G309">
        <v>6.1420388142523432</v>
      </c>
      <c r="H309">
        <v>21.869570171001101</v>
      </c>
      <c r="I309">
        <v>23.996323347838182</v>
      </c>
      <c r="J309">
        <v>19.251763925168689</v>
      </c>
      <c r="K309">
        <v>1293.937295165837</v>
      </c>
      <c r="L309">
        <v>1</v>
      </c>
      <c r="M309" t="s">
        <v>66</v>
      </c>
    </row>
    <row r="310" spans="1:13" x14ac:dyDescent="0.3">
      <c r="A310" t="s">
        <v>21</v>
      </c>
      <c r="B310" t="s">
        <v>52</v>
      </c>
      <c r="C310">
        <v>21.0661895230017</v>
      </c>
      <c r="D310">
        <v>1.0318429122551009</v>
      </c>
      <c r="E310">
        <v>0.800311373888003</v>
      </c>
      <c r="F310">
        <v>3.123776037971759</v>
      </c>
      <c r="G310">
        <v>6.0947498385730148</v>
      </c>
      <c r="H310">
        <v>28.60775062171053</v>
      </c>
      <c r="I310">
        <v>22.727494129506979</v>
      </c>
      <c r="J310">
        <v>19.813147738235831</v>
      </c>
      <c r="K310">
        <v>1212.429898974329</v>
      </c>
      <c r="L310">
        <v>1</v>
      </c>
      <c r="M310" t="s">
        <v>66</v>
      </c>
    </row>
    <row r="311" spans="1:13" x14ac:dyDescent="0.3">
      <c r="A311" t="s">
        <v>16</v>
      </c>
      <c r="B311" t="s">
        <v>36</v>
      </c>
      <c r="C311">
        <v>17.414769717461059</v>
      </c>
      <c r="D311">
        <v>0</v>
      </c>
      <c r="E311">
        <v>1.0764719654346819</v>
      </c>
      <c r="F311">
        <v>1.6121179512877339</v>
      </c>
      <c r="G311">
        <v>5.5892377081295272</v>
      </c>
      <c r="H311">
        <v>26.58242945577792</v>
      </c>
      <c r="I311">
        <v>23.7011558681717</v>
      </c>
      <c r="J311">
        <v>25.822408627201149</v>
      </c>
      <c r="K311">
        <v>1930.670660945663</v>
      </c>
      <c r="L311">
        <v>1</v>
      </c>
      <c r="M311" t="s">
        <v>66</v>
      </c>
    </row>
    <row r="312" spans="1:13" x14ac:dyDescent="0.3">
      <c r="A312" t="s">
        <v>21</v>
      </c>
      <c r="B312" t="s">
        <v>52</v>
      </c>
      <c r="C312">
        <v>19.22764427688405</v>
      </c>
      <c r="D312">
        <v>0.88605150740845628</v>
      </c>
      <c r="E312">
        <v>1.0985158448297989</v>
      </c>
      <c r="F312">
        <v>3.214167956237278</v>
      </c>
      <c r="G312">
        <v>5.9952219347549249</v>
      </c>
      <c r="H312">
        <v>28.630357956328009</v>
      </c>
      <c r="I312">
        <v>22.245285547458899</v>
      </c>
      <c r="J312">
        <v>20.66279284003592</v>
      </c>
      <c r="K312">
        <v>1258.443525208161</v>
      </c>
      <c r="L312">
        <v>1</v>
      </c>
      <c r="M312" t="s">
        <v>66</v>
      </c>
    </row>
    <row r="313" spans="1:13" x14ac:dyDescent="0.3">
      <c r="A313" t="s">
        <v>21</v>
      </c>
      <c r="B313" t="s">
        <v>52</v>
      </c>
      <c r="C313">
        <v>32.522163719445153</v>
      </c>
      <c r="D313">
        <v>0.98244787227392472</v>
      </c>
      <c r="E313">
        <v>2.1778728090169381</v>
      </c>
      <c r="F313">
        <v>5.2365558557042</v>
      </c>
      <c r="G313">
        <v>5.9407661106805723</v>
      </c>
      <c r="H313">
        <v>35.147835984605678</v>
      </c>
      <c r="I313">
        <v>21.335074647604909</v>
      </c>
      <c r="J313">
        <v>19.685483761134879</v>
      </c>
      <c r="K313">
        <v>1528.844700437541</v>
      </c>
      <c r="L313">
        <v>1</v>
      </c>
      <c r="M313" t="s">
        <v>66</v>
      </c>
    </row>
    <row r="314" spans="1:13" x14ac:dyDescent="0.3">
      <c r="A314" t="s">
        <v>15</v>
      </c>
      <c r="B314" t="s">
        <v>31</v>
      </c>
      <c r="C314">
        <v>121.0709789609639</v>
      </c>
      <c r="D314">
        <v>4.7879143791639693</v>
      </c>
      <c r="E314">
        <v>8.3317318642382912</v>
      </c>
      <c r="F314">
        <v>13.65357331255097</v>
      </c>
      <c r="G314">
        <v>5.4322600301705686</v>
      </c>
      <c r="H314">
        <v>47.328210506906579</v>
      </c>
      <c r="I314">
        <v>21.461183279902819</v>
      </c>
      <c r="J314">
        <v>26.655713047520809</v>
      </c>
      <c r="K314">
        <v>1831.3734706030571</v>
      </c>
      <c r="L314">
        <v>1</v>
      </c>
      <c r="M314" t="s">
        <v>66</v>
      </c>
    </row>
    <row r="315" spans="1:13" x14ac:dyDescent="0.3">
      <c r="A315" t="s">
        <v>20</v>
      </c>
      <c r="B315" t="s">
        <v>50</v>
      </c>
      <c r="C315">
        <v>52.162148707218883</v>
      </c>
      <c r="D315">
        <v>2.0217642733030821</v>
      </c>
      <c r="E315">
        <v>3.165423799931069</v>
      </c>
      <c r="F315">
        <v>6.9002160611784582</v>
      </c>
      <c r="G315">
        <v>6.3158062537679092</v>
      </c>
      <c r="H315">
        <v>25.108824141950539</v>
      </c>
      <c r="I315">
        <v>18.068511574020309</v>
      </c>
      <c r="J315">
        <v>20.269345427381801</v>
      </c>
      <c r="K315">
        <v>1745.370578672713</v>
      </c>
      <c r="L315">
        <v>1</v>
      </c>
      <c r="M315" t="s">
        <v>66</v>
      </c>
    </row>
    <row r="316" spans="1:13" x14ac:dyDescent="0.3">
      <c r="A316" t="s">
        <v>25</v>
      </c>
      <c r="B316" t="s">
        <v>62</v>
      </c>
      <c r="C316">
        <v>99.967574802687352</v>
      </c>
      <c r="D316">
        <v>3.619876985751616</v>
      </c>
      <c r="E316">
        <v>4.8906534108089437</v>
      </c>
      <c r="F316">
        <v>14.67445510920856</v>
      </c>
      <c r="G316">
        <v>6.8186092811686949</v>
      </c>
      <c r="H316">
        <v>15.058870509935961</v>
      </c>
      <c r="I316">
        <v>33.896425693984384</v>
      </c>
      <c r="J316">
        <v>30.147292401316321</v>
      </c>
      <c r="K316">
        <v>46.76530734842936</v>
      </c>
      <c r="L316">
        <v>-1</v>
      </c>
      <c r="M316" t="s">
        <v>66</v>
      </c>
    </row>
    <row r="317" spans="1:13" x14ac:dyDescent="0.3">
      <c r="A317" t="s">
        <v>24</v>
      </c>
      <c r="B317" t="s">
        <v>57</v>
      </c>
      <c r="C317">
        <v>61.622949561801313</v>
      </c>
      <c r="D317">
        <v>2.7144566505462402</v>
      </c>
      <c r="E317">
        <v>4.5856629514408622</v>
      </c>
      <c r="F317">
        <v>8.9132809122134447</v>
      </c>
      <c r="G317">
        <v>6.4155853142689958</v>
      </c>
      <c r="H317">
        <v>18.544514466072251</v>
      </c>
      <c r="I317">
        <v>23.079466525403699</v>
      </c>
      <c r="J317">
        <v>21.192954386586688</v>
      </c>
      <c r="K317">
        <v>1583.093001147068</v>
      </c>
      <c r="L317">
        <v>1</v>
      </c>
      <c r="M317" t="s">
        <v>66</v>
      </c>
    </row>
    <row r="318" spans="1:13" x14ac:dyDescent="0.3">
      <c r="A318" t="s">
        <v>18</v>
      </c>
      <c r="B318" t="s">
        <v>43</v>
      </c>
      <c r="C318">
        <v>33.092979421187827</v>
      </c>
      <c r="D318">
        <v>0.88098956932995431</v>
      </c>
      <c r="E318">
        <v>2.006751272854153</v>
      </c>
      <c r="F318">
        <v>3.674423600271993</v>
      </c>
      <c r="G318">
        <v>6.2598305660069959</v>
      </c>
      <c r="H318">
        <v>23.99128129551222</v>
      </c>
      <c r="I318">
        <v>22.105468843450321</v>
      </c>
      <c r="J318">
        <v>19.031940221138878</v>
      </c>
      <c r="K318">
        <v>1850.5782787437331</v>
      </c>
      <c r="L318">
        <v>1</v>
      </c>
      <c r="M318" t="s">
        <v>66</v>
      </c>
    </row>
    <row r="319" spans="1:13" x14ac:dyDescent="0.3">
      <c r="A319" t="s">
        <v>18</v>
      </c>
      <c r="B319" t="s">
        <v>42</v>
      </c>
      <c r="C319">
        <v>51.491354182805829</v>
      </c>
      <c r="D319">
        <v>1.934604029362728</v>
      </c>
      <c r="E319">
        <v>3.298981700094501</v>
      </c>
      <c r="F319">
        <v>6.9998380970327734</v>
      </c>
      <c r="G319">
        <v>5.3679007715382063</v>
      </c>
      <c r="H319">
        <v>19.98060906193356</v>
      </c>
      <c r="I319">
        <v>23.08601680442618</v>
      </c>
      <c r="J319">
        <v>27.07176274581208</v>
      </c>
      <c r="K319">
        <v>1522.47913881419</v>
      </c>
      <c r="L319">
        <v>1</v>
      </c>
      <c r="M319" t="s">
        <v>66</v>
      </c>
    </row>
    <row r="320" spans="1:13" x14ac:dyDescent="0.3">
      <c r="A320" t="s">
        <v>24</v>
      </c>
      <c r="B320" t="s">
        <v>61</v>
      </c>
      <c r="C320">
        <v>84.279127802871471</v>
      </c>
      <c r="D320">
        <v>4.1654105143699569</v>
      </c>
      <c r="E320">
        <v>5.626177233089745</v>
      </c>
      <c r="F320">
        <v>14.062778366901471</v>
      </c>
      <c r="G320">
        <v>6.2261100208325404</v>
      </c>
      <c r="H320">
        <v>13.9</v>
      </c>
      <c r="I320">
        <v>33.785624006786712</v>
      </c>
      <c r="J320">
        <v>29.00256889664421</v>
      </c>
      <c r="K320">
        <v>47.931065452730991</v>
      </c>
      <c r="L320">
        <v>-1</v>
      </c>
      <c r="M320" t="s">
        <v>66</v>
      </c>
    </row>
    <row r="321" spans="1:13" x14ac:dyDescent="0.3">
      <c r="A321" t="s">
        <v>18</v>
      </c>
      <c r="B321" t="s">
        <v>41</v>
      </c>
      <c r="C321">
        <v>6.4217153444975574</v>
      </c>
      <c r="D321">
        <v>0</v>
      </c>
      <c r="E321">
        <v>0</v>
      </c>
      <c r="F321">
        <v>-1.7763568394002501E-15</v>
      </c>
      <c r="G321">
        <v>6.2413916057051217</v>
      </c>
      <c r="H321">
        <v>25.1894009611078</v>
      </c>
      <c r="I321">
        <v>26.837295881812441</v>
      </c>
      <c r="J321">
        <v>33.463084269138733</v>
      </c>
      <c r="K321">
        <v>1856.837512039883</v>
      </c>
      <c r="L321">
        <v>1</v>
      </c>
      <c r="M321" t="s">
        <v>66</v>
      </c>
    </row>
    <row r="322" spans="1:13" x14ac:dyDescent="0.3">
      <c r="A322" t="s">
        <v>21</v>
      </c>
      <c r="B322" t="s">
        <v>52</v>
      </c>
      <c r="C322">
        <v>32.340894387579603</v>
      </c>
      <c r="D322">
        <v>1.0550741750106769</v>
      </c>
      <c r="E322">
        <v>1.8213603322483289</v>
      </c>
      <c r="F322">
        <v>4.9648121666254141</v>
      </c>
      <c r="G322">
        <v>6.0298399505601896</v>
      </c>
      <c r="H322">
        <v>24.60190855893002</v>
      </c>
      <c r="I322">
        <v>27.342890048459079</v>
      </c>
      <c r="J322">
        <v>22.80801403465578</v>
      </c>
      <c r="K322">
        <v>1190.0171114874629</v>
      </c>
      <c r="L322">
        <v>1</v>
      </c>
      <c r="M322" t="s">
        <v>66</v>
      </c>
    </row>
    <row r="323" spans="1:13" x14ac:dyDescent="0.3">
      <c r="A323" t="s">
        <v>25</v>
      </c>
      <c r="B323" t="s">
        <v>62</v>
      </c>
      <c r="C323">
        <v>579.58356258696517</v>
      </c>
      <c r="D323">
        <v>24.88963162331564</v>
      </c>
      <c r="E323">
        <v>38.830658705639053</v>
      </c>
      <c r="F323">
        <v>78.957769606155637</v>
      </c>
      <c r="G323">
        <v>4.4177113088026214</v>
      </c>
      <c r="H323">
        <v>84.742520696824442</v>
      </c>
      <c r="I323">
        <v>25.584325241331609</v>
      </c>
      <c r="J323">
        <v>24.595393518406048</v>
      </c>
      <c r="K323">
        <v>711.50584962298069</v>
      </c>
      <c r="L323">
        <v>0</v>
      </c>
      <c r="M323" t="s">
        <v>66</v>
      </c>
    </row>
    <row r="324" spans="1:13" x14ac:dyDescent="0.3">
      <c r="A324" t="s">
        <v>19</v>
      </c>
      <c r="B324" t="s">
        <v>48</v>
      </c>
      <c r="C324">
        <v>25.408672873271751</v>
      </c>
      <c r="D324">
        <v>1.033959887797081</v>
      </c>
      <c r="E324">
        <v>0.98355249984899462</v>
      </c>
      <c r="F324">
        <v>3.3357672598929362</v>
      </c>
      <c r="G324">
        <v>6.0297110265464866</v>
      </c>
      <c r="H324">
        <v>17.33369386803578</v>
      </c>
      <c r="I324">
        <v>31.522992769225361</v>
      </c>
      <c r="J324">
        <v>26.528970803930029</v>
      </c>
      <c r="K324">
        <v>1169.806188960612</v>
      </c>
      <c r="L324">
        <v>0</v>
      </c>
      <c r="M324" t="s">
        <v>66</v>
      </c>
    </row>
    <row r="325" spans="1:13" x14ac:dyDescent="0.3">
      <c r="A325" t="s">
        <v>20</v>
      </c>
      <c r="B325" t="s">
        <v>51</v>
      </c>
      <c r="C325">
        <v>84.986139112520675</v>
      </c>
      <c r="D325">
        <v>4.0877584568559353</v>
      </c>
      <c r="E325">
        <v>6.2609858849606894</v>
      </c>
      <c r="F325">
        <v>13.16596037390328</v>
      </c>
      <c r="G325">
        <v>6.2220200615479326</v>
      </c>
      <c r="H325">
        <v>37.551107722522246</v>
      </c>
      <c r="I325">
        <v>22.28364401431984</v>
      </c>
      <c r="J325">
        <v>20.00295216157372</v>
      </c>
      <c r="K325">
        <v>1530.4501809211199</v>
      </c>
      <c r="L325">
        <v>1</v>
      </c>
      <c r="M325" t="s">
        <v>66</v>
      </c>
    </row>
    <row r="326" spans="1:13" x14ac:dyDescent="0.3">
      <c r="A326" t="s">
        <v>18</v>
      </c>
      <c r="B326" t="s">
        <v>43</v>
      </c>
      <c r="C326">
        <v>30.039233194438751</v>
      </c>
      <c r="D326">
        <v>1.057542290986548</v>
      </c>
      <c r="E326">
        <v>1.9788349701173791</v>
      </c>
      <c r="F326">
        <v>4.0153741362920172</v>
      </c>
      <c r="G326">
        <v>6.2527321481527496</v>
      </c>
      <c r="H326">
        <v>24.60588392630688</v>
      </c>
      <c r="I326">
        <v>23.173876095109431</v>
      </c>
      <c r="J326">
        <v>19.193217447346811</v>
      </c>
      <c r="K326">
        <v>1912.6858203668839</v>
      </c>
      <c r="L326">
        <v>1</v>
      </c>
      <c r="M326" t="s">
        <v>66</v>
      </c>
    </row>
    <row r="327" spans="1:13" x14ac:dyDescent="0.3">
      <c r="A327" t="s">
        <v>18</v>
      </c>
      <c r="B327" t="s">
        <v>42</v>
      </c>
      <c r="C327">
        <v>33.872315803931038</v>
      </c>
      <c r="D327">
        <v>1.1042946092940089</v>
      </c>
      <c r="E327">
        <v>1.7245485719670659</v>
      </c>
      <c r="F327">
        <v>4.8532793900260707</v>
      </c>
      <c r="G327">
        <v>5.6564040180347197</v>
      </c>
      <c r="H327">
        <v>29.2378185665711</v>
      </c>
      <c r="I327">
        <v>22.978164191687618</v>
      </c>
      <c r="J327">
        <v>26.365750470445018</v>
      </c>
      <c r="K327">
        <v>1634.794390097255</v>
      </c>
      <c r="L327">
        <v>1</v>
      </c>
      <c r="M327" t="s">
        <v>66</v>
      </c>
    </row>
    <row r="328" spans="1:13" x14ac:dyDescent="0.3">
      <c r="A328" t="s">
        <v>15</v>
      </c>
      <c r="B328" t="s">
        <v>33</v>
      </c>
      <c r="C328">
        <v>78.641077107249131</v>
      </c>
      <c r="D328">
        <v>3.7602693175044291</v>
      </c>
      <c r="E328">
        <v>4.7679875822293409</v>
      </c>
      <c r="F328">
        <v>10.46343758655323</v>
      </c>
      <c r="G328">
        <v>5.3790831170980598</v>
      </c>
      <c r="H328">
        <v>26.136195535288081</v>
      </c>
      <c r="I328">
        <v>18.755863463710369</v>
      </c>
      <c r="J328">
        <v>18.18422996125468</v>
      </c>
      <c r="K328">
        <v>1947.4034657443051</v>
      </c>
      <c r="L328">
        <v>1</v>
      </c>
      <c r="M328" t="s">
        <v>66</v>
      </c>
    </row>
    <row r="329" spans="1:13" x14ac:dyDescent="0.3">
      <c r="A329" t="s">
        <v>17</v>
      </c>
      <c r="B329" t="s">
        <v>39</v>
      </c>
      <c r="C329">
        <v>12.870509613800071</v>
      </c>
      <c r="D329">
        <v>0</v>
      </c>
      <c r="E329">
        <v>0</v>
      </c>
      <c r="F329">
        <v>2.1058574176074489</v>
      </c>
      <c r="G329">
        <v>5.0078070119063733</v>
      </c>
      <c r="H329">
        <v>27.741551016039899</v>
      </c>
      <c r="I329">
        <v>20.11737871432317</v>
      </c>
      <c r="J329">
        <v>26.35526235301521</v>
      </c>
      <c r="K329">
        <v>2158.8224234368122</v>
      </c>
      <c r="L329">
        <v>1</v>
      </c>
      <c r="M329" t="s">
        <v>66</v>
      </c>
    </row>
    <row r="330" spans="1:13" x14ac:dyDescent="0.3">
      <c r="A330" t="s">
        <v>22</v>
      </c>
      <c r="B330" t="s">
        <v>53</v>
      </c>
      <c r="C330">
        <v>69.432662523248709</v>
      </c>
      <c r="D330">
        <v>3.2929178426995431</v>
      </c>
      <c r="E330">
        <v>5.1116862651087489</v>
      </c>
      <c r="F330">
        <v>9.5553785852031119</v>
      </c>
      <c r="G330">
        <v>6.3816103724314628</v>
      </c>
      <c r="H330">
        <v>33.882719401292761</v>
      </c>
      <c r="I330">
        <v>26.071375920966229</v>
      </c>
      <c r="J330">
        <v>21.843304609280679</v>
      </c>
      <c r="K330">
        <v>1367.8539761237071</v>
      </c>
      <c r="L330">
        <v>1</v>
      </c>
      <c r="M330" t="s">
        <v>66</v>
      </c>
    </row>
    <row r="331" spans="1:13" x14ac:dyDescent="0.3">
      <c r="A331" t="s">
        <v>22</v>
      </c>
      <c r="B331" t="s">
        <v>54</v>
      </c>
      <c r="C331">
        <v>49.142212590242892</v>
      </c>
      <c r="D331">
        <v>2.039540483662091</v>
      </c>
      <c r="E331">
        <v>2.5593445814554512</v>
      </c>
      <c r="F331">
        <v>5.8014154042835013</v>
      </c>
      <c r="G331">
        <v>7.5</v>
      </c>
      <c r="H331">
        <v>41.173426134615937</v>
      </c>
      <c r="I331">
        <v>32.104068540153087</v>
      </c>
      <c r="J331">
        <v>22.363293970772059</v>
      </c>
      <c r="K331">
        <v>1307.3354928927799</v>
      </c>
      <c r="L331">
        <v>1</v>
      </c>
      <c r="M331" t="s">
        <v>66</v>
      </c>
    </row>
    <row r="332" spans="1:13" x14ac:dyDescent="0.3">
      <c r="A332" t="s">
        <v>20</v>
      </c>
      <c r="B332" t="s">
        <v>51</v>
      </c>
      <c r="C332">
        <v>97.117472364773207</v>
      </c>
      <c r="D332">
        <v>3.986658943346058</v>
      </c>
      <c r="E332">
        <v>6.5837671567811746</v>
      </c>
      <c r="F332">
        <v>13.812124863730959</v>
      </c>
      <c r="G332">
        <v>6.1569073329411079</v>
      </c>
      <c r="H332">
        <v>32.139175975681148</v>
      </c>
      <c r="I332">
        <v>20.1763321729191</v>
      </c>
      <c r="J332">
        <v>19.68858553602097</v>
      </c>
      <c r="K332">
        <v>1576.771401728771</v>
      </c>
      <c r="L332">
        <v>1</v>
      </c>
      <c r="M332" t="s">
        <v>66</v>
      </c>
    </row>
    <row r="333" spans="1:13" x14ac:dyDescent="0.3">
      <c r="A333" t="s">
        <v>20</v>
      </c>
      <c r="B333" t="s">
        <v>49</v>
      </c>
      <c r="C333">
        <v>89.780930512504952</v>
      </c>
      <c r="D333">
        <v>3.854344927082487</v>
      </c>
      <c r="E333">
        <v>6.6184255962471434</v>
      </c>
      <c r="F333">
        <v>12.98197883699164</v>
      </c>
      <c r="G333">
        <v>5.4722952857827751</v>
      </c>
      <c r="H333">
        <v>29.850967299146379</v>
      </c>
      <c r="I333">
        <v>22.800438069594239</v>
      </c>
      <c r="J333">
        <v>21.083028132705099</v>
      </c>
      <c r="K333">
        <v>1774.46249151441</v>
      </c>
      <c r="L333">
        <v>1</v>
      </c>
      <c r="M333" t="s">
        <v>66</v>
      </c>
    </row>
    <row r="334" spans="1:13" x14ac:dyDescent="0.3">
      <c r="A334" t="s">
        <v>20</v>
      </c>
      <c r="B334" t="s">
        <v>51</v>
      </c>
      <c r="C334">
        <v>91.441148592894578</v>
      </c>
      <c r="D334">
        <v>4.3473614514300802</v>
      </c>
      <c r="E334">
        <v>6.3444360412125942</v>
      </c>
      <c r="F334">
        <v>12.36454897482767</v>
      </c>
      <c r="G334">
        <v>6.3735096559874957</v>
      </c>
      <c r="H334">
        <v>33.767996667205033</v>
      </c>
      <c r="I334">
        <v>21.35514046668473</v>
      </c>
      <c r="J334">
        <v>18.854840956623811</v>
      </c>
      <c r="K334">
        <v>1532.4272483066591</v>
      </c>
      <c r="L334">
        <v>1</v>
      </c>
      <c r="M334" t="s">
        <v>66</v>
      </c>
    </row>
    <row r="335" spans="1:13" x14ac:dyDescent="0.3">
      <c r="A335" t="s">
        <v>19</v>
      </c>
      <c r="B335" t="s">
        <v>45</v>
      </c>
      <c r="C335">
        <v>18.460360318423671</v>
      </c>
      <c r="D335">
        <v>0.90350769276664344</v>
      </c>
      <c r="E335">
        <v>0.85470467577224429</v>
      </c>
      <c r="F335">
        <v>2.891914669645482</v>
      </c>
      <c r="G335">
        <v>6.3054118624330204</v>
      </c>
      <c r="H335">
        <v>17.831123836842561</v>
      </c>
      <c r="I335">
        <v>31.48099670333794</v>
      </c>
      <c r="J335">
        <v>24.576445951616311</v>
      </c>
      <c r="K335">
        <v>1336.2164070576971</v>
      </c>
      <c r="L335">
        <v>0</v>
      </c>
      <c r="M335" t="s">
        <v>66</v>
      </c>
    </row>
    <row r="336" spans="1:13" x14ac:dyDescent="0.3">
      <c r="A336" t="s">
        <v>20</v>
      </c>
      <c r="B336" t="s">
        <v>51</v>
      </c>
      <c r="C336">
        <v>89.713270287942592</v>
      </c>
      <c r="D336">
        <v>4.3196133785423036</v>
      </c>
      <c r="E336">
        <v>5.7559652133859922</v>
      </c>
      <c r="F336">
        <v>15.14992181041961</v>
      </c>
      <c r="G336">
        <v>6.0917836832512089</v>
      </c>
      <c r="H336">
        <v>35.032449619624167</v>
      </c>
      <c r="I336">
        <v>22.039707548263749</v>
      </c>
      <c r="J336">
        <v>20.296663250694131</v>
      </c>
      <c r="K336">
        <v>1547.5771890090459</v>
      </c>
      <c r="L336">
        <v>1</v>
      </c>
      <c r="M336" t="s">
        <v>66</v>
      </c>
    </row>
    <row r="337" spans="1:13" x14ac:dyDescent="0.3">
      <c r="A337" t="s">
        <v>15</v>
      </c>
      <c r="B337" t="s">
        <v>30</v>
      </c>
      <c r="C337">
        <v>44.534402391034149</v>
      </c>
      <c r="D337">
        <v>1.8780273630944659</v>
      </c>
      <c r="E337">
        <v>2.1012439444720639</v>
      </c>
      <c r="F337">
        <v>5.7572325941313842</v>
      </c>
      <c r="G337">
        <v>6.4965717837320716</v>
      </c>
      <c r="H337">
        <v>27.156030841024709</v>
      </c>
      <c r="I337">
        <v>19.856155156848359</v>
      </c>
      <c r="J337">
        <v>28.258971252960968</v>
      </c>
      <c r="K337">
        <v>2015.565926192545</v>
      </c>
      <c r="L337">
        <v>1</v>
      </c>
      <c r="M337" t="s">
        <v>66</v>
      </c>
    </row>
    <row r="338" spans="1:13" x14ac:dyDescent="0.3">
      <c r="A338" t="s">
        <v>22</v>
      </c>
      <c r="B338" t="s">
        <v>53</v>
      </c>
      <c r="C338">
        <v>73.361406356301742</v>
      </c>
      <c r="D338">
        <v>3.216985143391287</v>
      </c>
      <c r="E338">
        <v>5.0961388919733546</v>
      </c>
      <c r="F338">
        <v>12.60550521703405</v>
      </c>
      <c r="G338">
        <v>6.2184709913584477</v>
      </c>
      <c r="H338">
        <v>36.951689995565111</v>
      </c>
      <c r="I338">
        <v>26.35315194629105</v>
      </c>
      <c r="J338">
        <v>22.32177822810549</v>
      </c>
      <c r="K338">
        <v>1379.9569668778411</v>
      </c>
      <c r="L338">
        <v>1</v>
      </c>
      <c r="M338" t="s">
        <v>66</v>
      </c>
    </row>
    <row r="339" spans="1:13" x14ac:dyDescent="0.3">
      <c r="A339" t="s">
        <v>18</v>
      </c>
      <c r="B339" t="s">
        <v>42</v>
      </c>
      <c r="C339">
        <v>5.8162129945274614</v>
      </c>
      <c r="D339">
        <v>0</v>
      </c>
      <c r="E339">
        <v>0</v>
      </c>
      <c r="F339">
        <v>-1.7763568394002501E-15</v>
      </c>
      <c r="G339">
        <v>5.9369758102890193</v>
      </c>
      <c r="H339">
        <v>23.613243753840202</v>
      </c>
      <c r="I339">
        <v>21.438694222319089</v>
      </c>
      <c r="J339">
        <v>25.402097434480819</v>
      </c>
      <c r="K339">
        <v>1849.586223498723</v>
      </c>
      <c r="L339">
        <v>1</v>
      </c>
      <c r="M339" t="s">
        <v>66</v>
      </c>
    </row>
    <row r="340" spans="1:13" x14ac:dyDescent="0.3">
      <c r="A340" t="s">
        <v>19</v>
      </c>
      <c r="B340" t="s">
        <v>46</v>
      </c>
      <c r="C340">
        <v>49.474820129195862</v>
      </c>
      <c r="D340">
        <v>2.008983441581536</v>
      </c>
      <c r="E340">
        <v>3.1754164208300861</v>
      </c>
      <c r="F340">
        <v>2.1743931144900919</v>
      </c>
      <c r="G340">
        <v>6.0978274666366064</v>
      </c>
      <c r="H340">
        <v>20.89430658578982</v>
      </c>
      <c r="I340">
        <v>30.154260799006039</v>
      </c>
      <c r="J340">
        <v>26.454971683384141</v>
      </c>
      <c r="K340">
        <v>726.38537994126295</v>
      </c>
      <c r="L340">
        <v>-1</v>
      </c>
      <c r="M340" t="s">
        <v>66</v>
      </c>
    </row>
    <row r="341" spans="1:13" x14ac:dyDescent="0.3">
      <c r="A341" t="s">
        <v>22</v>
      </c>
      <c r="B341" t="s">
        <v>53</v>
      </c>
      <c r="C341">
        <v>31.051361782541289</v>
      </c>
      <c r="D341">
        <v>1.053939439116379</v>
      </c>
      <c r="E341">
        <v>1.745464651190525</v>
      </c>
      <c r="F341">
        <v>4.4492513162517078</v>
      </c>
      <c r="G341">
        <v>6.2581884042893403</v>
      </c>
      <c r="H341">
        <v>17.95047335263364</v>
      </c>
      <c r="I341">
        <v>25.220230674254999</v>
      </c>
      <c r="J341">
        <v>19.55959146468836</v>
      </c>
      <c r="K341">
        <v>1277.1545752041379</v>
      </c>
      <c r="L341">
        <v>1</v>
      </c>
      <c r="M341" t="s">
        <v>66</v>
      </c>
    </row>
    <row r="342" spans="1:13" x14ac:dyDescent="0.3">
      <c r="A342" t="s">
        <v>24</v>
      </c>
      <c r="B342" t="s">
        <v>60</v>
      </c>
      <c r="C342">
        <v>523.26830070405811</v>
      </c>
      <c r="D342">
        <v>27.87433538705459</v>
      </c>
      <c r="E342">
        <v>33.388500888234383</v>
      </c>
      <c r="F342">
        <v>80.648235443800417</v>
      </c>
      <c r="G342">
        <v>5.3676937856717766</v>
      </c>
      <c r="H342">
        <v>67.223211802917319</v>
      </c>
      <c r="I342">
        <v>30.375693991082478</v>
      </c>
      <c r="J342">
        <v>31.573459693953179</v>
      </c>
      <c r="K342">
        <v>11</v>
      </c>
      <c r="L342">
        <v>-1</v>
      </c>
      <c r="M342" t="s">
        <v>66</v>
      </c>
    </row>
    <row r="343" spans="1:13" x14ac:dyDescent="0.3">
      <c r="A343" t="s">
        <v>22</v>
      </c>
      <c r="B343" t="s">
        <v>53</v>
      </c>
      <c r="C343">
        <v>53.178112942519647</v>
      </c>
      <c r="D343">
        <v>1.916249455899665</v>
      </c>
      <c r="E343">
        <v>3.4118843254436348</v>
      </c>
      <c r="F343">
        <v>6.0087188539770304</v>
      </c>
      <c r="G343">
        <v>6.0471468972533682</v>
      </c>
      <c r="H343">
        <v>27.83026750516397</v>
      </c>
      <c r="I343">
        <v>25.945340474518151</v>
      </c>
      <c r="J343">
        <v>23.418096587442211</v>
      </c>
      <c r="K343">
        <v>1456.1876593619429</v>
      </c>
      <c r="L343">
        <v>1</v>
      </c>
      <c r="M343" t="s">
        <v>66</v>
      </c>
    </row>
    <row r="344" spans="1:13" x14ac:dyDescent="0.3">
      <c r="A344" t="s">
        <v>22</v>
      </c>
      <c r="B344" t="s">
        <v>53</v>
      </c>
      <c r="C344">
        <v>71.911298180693038</v>
      </c>
      <c r="D344">
        <v>2.7713085774160051</v>
      </c>
      <c r="E344">
        <v>4.5762922074460182</v>
      </c>
      <c r="F344">
        <v>11.554900805808391</v>
      </c>
      <c r="G344">
        <v>6.2600776564609051</v>
      </c>
      <c r="H344">
        <v>37.395751582037107</v>
      </c>
      <c r="I344">
        <v>25.62905340637295</v>
      </c>
      <c r="J344">
        <v>22.572703139241838</v>
      </c>
      <c r="K344">
        <v>1354.335867584321</v>
      </c>
      <c r="L344">
        <v>1</v>
      </c>
      <c r="M344" t="s">
        <v>66</v>
      </c>
    </row>
    <row r="345" spans="1:13" x14ac:dyDescent="0.3">
      <c r="A345" t="s">
        <v>18</v>
      </c>
      <c r="B345" t="s">
        <v>42</v>
      </c>
      <c r="C345">
        <v>33.763384289520879</v>
      </c>
      <c r="D345">
        <v>1.110784496460909</v>
      </c>
      <c r="E345">
        <v>2.0266644721580018</v>
      </c>
      <c r="F345">
        <v>5.375463812615223</v>
      </c>
      <c r="G345">
        <v>5.5995993685026404</v>
      </c>
      <c r="H345">
        <v>27.29164797478899</v>
      </c>
      <c r="I345">
        <v>20.10253503443511</v>
      </c>
      <c r="J345">
        <v>25.849982512287859</v>
      </c>
      <c r="K345">
        <v>1816.6678701513019</v>
      </c>
      <c r="L345">
        <v>1</v>
      </c>
      <c r="M345" t="s">
        <v>66</v>
      </c>
    </row>
    <row r="346" spans="1:13" x14ac:dyDescent="0.3">
      <c r="A346" t="s">
        <v>25</v>
      </c>
      <c r="B346" t="s">
        <v>62</v>
      </c>
      <c r="C346">
        <v>573.65186736221892</v>
      </c>
      <c r="D346">
        <v>33.101821757731791</v>
      </c>
      <c r="E346">
        <v>35.789948507757373</v>
      </c>
      <c r="F346">
        <v>85.828300794508067</v>
      </c>
      <c r="G346">
        <v>4.6329451554420116</v>
      </c>
      <c r="H346">
        <v>88.4</v>
      </c>
      <c r="I346">
        <v>25.786291553325491</v>
      </c>
      <c r="J346">
        <v>25.17020589762555</v>
      </c>
      <c r="K346">
        <v>721.85706886885112</v>
      </c>
      <c r="L346">
        <v>0</v>
      </c>
      <c r="M346" t="s">
        <v>66</v>
      </c>
    </row>
    <row r="347" spans="1:13" x14ac:dyDescent="0.3">
      <c r="A347" t="s">
        <v>25</v>
      </c>
      <c r="B347" t="s">
        <v>62</v>
      </c>
      <c r="C347">
        <v>548.43363323986603</v>
      </c>
      <c r="D347">
        <v>26.091591953544409</v>
      </c>
      <c r="E347">
        <v>39.852758962291617</v>
      </c>
      <c r="F347">
        <v>95.961305060463928</v>
      </c>
      <c r="G347">
        <v>4.5722776948371404</v>
      </c>
      <c r="H347">
        <v>82.457386544439402</v>
      </c>
      <c r="I347">
        <v>27.218641405135049</v>
      </c>
      <c r="J347">
        <v>23.36431087260922</v>
      </c>
      <c r="K347">
        <v>714.50470717468022</v>
      </c>
      <c r="L347">
        <v>0</v>
      </c>
      <c r="M347" t="s">
        <v>66</v>
      </c>
    </row>
    <row r="348" spans="1:13" x14ac:dyDescent="0.3">
      <c r="A348" t="s">
        <v>19</v>
      </c>
      <c r="B348" t="s">
        <v>44</v>
      </c>
      <c r="C348">
        <v>39.75624698653796</v>
      </c>
      <c r="D348">
        <v>0.93915548205971344</v>
      </c>
      <c r="E348">
        <v>1.6323893745198861</v>
      </c>
      <c r="F348">
        <v>5.5225891300459926</v>
      </c>
      <c r="G348">
        <v>6.1748434454399481</v>
      </c>
      <c r="H348">
        <v>25.083830393380829</v>
      </c>
      <c r="I348">
        <v>19.675201163476679</v>
      </c>
      <c r="J348">
        <v>18.604983982688669</v>
      </c>
      <c r="K348">
        <v>1920.4741065731851</v>
      </c>
      <c r="L348">
        <v>1</v>
      </c>
      <c r="M348" t="s">
        <v>66</v>
      </c>
    </row>
    <row r="349" spans="1:13" x14ac:dyDescent="0.3">
      <c r="A349" t="s">
        <v>22</v>
      </c>
      <c r="B349" t="s">
        <v>53</v>
      </c>
      <c r="C349">
        <v>25.755802446154501</v>
      </c>
      <c r="D349">
        <v>1.0174692823147149</v>
      </c>
      <c r="E349">
        <v>1.0014934462476099</v>
      </c>
      <c r="F349">
        <v>3.5760720969860871</v>
      </c>
      <c r="G349">
        <v>7.0981947895597388</v>
      </c>
      <c r="H349">
        <v>51.515255435887141</v>
      </c>
      <c r="I349">
        <v>20.00693423106468</v>
      </c>
      <c r="J349">
        <v>20.056302888346789</v>
      </c>
      <c r="K349">
        <v>1275.3396748575919</v>
      </c>
      <c r="L349">
        <v>1</v>
      </c>
      <c r="M349" t="s">
        <v>66</v>
      </c>
    </row>
    <row r="350" spans="1:13" x14ac:dyDescent="0.3">
      <c r="A350" t="s">
        <v>24</v>
      </c>
      <c r="B350" t="s">
        <v>59</v>
      </c>
      <c r="C350">
        <v>360.63564961661098</v>
      </c>
      <c r="D350">
        <v>16.577489089286068</v>
      </c>
      <c r="E350">
        <v>23.85921741711752</v>
      </c>
      <c r="F350">
        <v>65.653568200573076</v>
      </c>
      <c r="G350">
        <v>5.1641308908485604</v>
      </c>
      <c r="H350">
        <v>81.185731120351036</v>
      </c>
      <c r="I350">
        <v>31.70522018262573</v>
      </c>
      <c r="J350">
        <v>31.807532734650021</v>
      </c>
      <c r="K350">
        <v>11</v>
      </c>
      <c r="L350">
        <v>-1</v>
      </c>
      <c r="M350" t="s">
        <v>66</v>
      </c>
    </row>
    <row r="351" spans="1:13" x14ac:dyDescent="0.3">
      <c r="A351" t="s">
        <v>17</v>
      </c>
      <c r="B351" t="s">
        <v>39</v>
      </c>
      <c r="C351">
        <v>24.596683155292439</v>
      </c>
      <c r="D351">
        <v>1.1277848545706151</v>
      </c>
      <c r="E351">
        <v>1.0246727907474109</v>
      </c>
      <c r="F351">
        <v>5.2281893343723924</v>
      </c>
      <c r="G351">
        <v>6.0468527728122616</v>
      </c>
      <c r="H351">
        <v>19.37082776047054</v>
      </c>
      <c r="I351">
        <v>20.762153058734881</v>
      </c>
      <c r="J351">
        <v>27.09378733102707</v>
      </c>
      <c r="K351">
        <v>2165.621711768722</v>
      </c>
      <c r="L351">
        <v>1</v>
      </c>
      <c r="M351" t="s">
        <v>66</v>
      </c>
    </row>
    <row r="352" spans="1:13" x14ac:dyDescent="0.3">
      <c r="A352" t="s">
        <v>16</v>
      </c>
      <c r="B352" t="s">
        <v>35</v>
      </c>
      <c r="C352">
        <v>17.455681942794119</v>
      </c>
      <c r="D352">
        <v>0</v>
      </c>
      <c r="E352">
        <v>0.94524824078745873</v>
      </c>
      <c r="F352">
        <v>2.2137074264597199</v>
      </c>
      <c r="G352">
        <v>6.2427995949717836</v>
      </c>
      <c r="H352">
        <v>22.188956509565919</v>
      </c>
      <c r="I352">
        <v>22.345083565279769</v>
      </c>
      <c r="J352">
        <v>28.844562297095749</v>
      </c>
      <c r="K352">
        <v>2080.2429469271669</v>
      </c>
      <c r="L352">
        <v>1</v>
      </c>
      <c r="M352" t="s">
        <v>66</v>
      </c>
    </row>
    <row r="353" spans="1:13" x14ac:dyDescent="0.3">
      <c r="A353" t="s">
        <v>19</v>
      </c>
      <c r="B353" t="s">
        <v>44</v>
      </c>
      <c r="C353">
        <v>20.129763865086279</v>
      </c>
      <c r="D353">
        <v>1.0342578658074471</v>
      </c>
      <c r="E353">
        <v>1.0148700467861951</v>
      </c>
      <c r="F353">
        <v>3.350419280813242</v>
      </c>
      <c r="G353">
        <v>5.9537669311267516</v>
      </c>
      <c r="H353">
        <v>19.62158091845685</v>
      </c>
      <c r="I353">
        <v>20.221696143890359</v>
      </c>
      <c r="J353">
        <v>20.121876596015412</v>
      </c>
      <c r="K353">
        <v>1947.0727967726259</v>
      </c>
      <c r="L353">
        <v>1</v>
      </c>
      <c r="M353" t="s">
        <v>66</v>
      </c>
    </row>
    <row r="354" spans="1:13" x14ac:dyDescent="0.3">
      <c r="A354" t="s">
        <v>21</v>
      </c>
      <c r="B354" t="s">
        <v>52</v>
      </c>
      <c r="C354">
        <v>31.617811522268799</v>
      </c>
      <c r="D354">
        <v>1.1352586435211169</v>
      </c>
      <c r="E354">
        <v>1.746469468148419</v>
      </c>
      <c r="F354">
        <v>4.4437543853741364</v>
      </c>
      <c r="G354">
        <v>5.977772576096914</v>
      </c>
      <c r="H354">
        <v>30.272729636116701</v>
      </c>
      <c r="I354">
        <v>20.645814642453349</v>
      </c>
      <c r="J354">
        <v>19.366623885380321</v>
      </c>
      <c r="K354">
        <v>1515.5206100588621</v>
      </c>
      <c r="L354">
        <v>1</v>
      </c>
      <c r="M354" t="s">
        <v>66</v>
      </c>
    </row>
    <row r="355" spans="1:13" x14ac:dyDescent="0.3">
      <c r="A355" t="s">
        <v>19</v>
      </c>
      <c r="B355" t="s">
        <v>48</v>
      </c>
      <c r="C355">
        <v>63.195305520453807</v>
      </c>
      <c r="D355">
        <v>3.211620283110094</v>
      </c>
      <c r="E355">
        <v>4.3597030780276826</v>
      </c>
      <c r="F355">
        <v>10.24693204443728</v>
      </c>
      <c r="G355">
        <v>6.3289136910729837</v>
      </c>
      <c r="H355">
        <v>18.756973752844019</v>
      </c>
      <c r="I355">
        <v>30.621367696741551</v>
      </c>
      <c r="J355">
        <v>26.014236078085531</v>
      </c>
      <c r="K355">
        <v>1178.9952175269491</v>
      </c>
      <c r="L355">
        <v>0</v>
      </c>
      <c r="M355" t="s">
        <v>66</v>
      </c>
    </row>
    <row r="356" spans="1:13" x14ac:dyDescent="0.3">
      <c r="A356" t="s">
        <v>24</v>
      </c>
      <c r="B356" t="s">
        <v>57</v>
      </c>
      <c r="C356">
        <v>54.47489132714454</v>
      </c>
      <c r="D356">
        <v>2.0558379617059028</v>
      </c>
      <c r="E356">
        <v>2.627117172484672</v>
      </c>
      <c r="F356">
        <v>6.242974440950622</v>
      </c>
      <c r="G356">
        <v>5.5816370304280198</v>
      </c>
      <c r="H356">
        <v>52.757202164775912</v>
      </c>
      <c r="I356">
        <v>23.811181198818389</v>
      </c>
      <c r="J356">
        <v>21.376973580720769</v>
      </c>
      <c r="K356">
        <v>716.75683190894222</v>
      </c>
      <c r="L356">
        <v>0</v>
      </c>
      <c r="M356" t="s">
        <v>66</v>
      </c>
    </row>
    <row r="357" spans="1:13" x14ac:dyDescent="0.3">
      <c r="A357" t="s">
        <v>24</v>
      </c>
      <c r="B357" t="s">
        <v>59</v>
      </c>
      <c r="C357">
        <v>60.169870812896882</v>
      </c>
      <c r="D357">
        <v>1.7406972198762669</v>
      </c>
      <c r="E357">
        <v>3.689950261204292</v>
      </c>
      <c r="F357">
        <v>9.9662385346283067</v>
      </c>
      <c r="G357">
        <v>6.6929335689131504</v>
      </c>
      <c r="H357">
        <v>60.961787738922887</v>
      </c>
      <c r="I357">
        <v>27.358202699012701</v>
      </c>
      <c r="J357">
        <v>22.679985747372729</v>
      </c>
      <c r="K357">
        <v>737.08509648344148</v>
      </c>
      <c r="L357">
        <v>0</v>
      </c>
      <c r="M357" t="s">
        <v>66</v>
      </c>
    </row>
    <row r="358" spans="1:13" x14ac:dyDescent="0.3">
      <c r="A358" t="s">
        <v>19</v>
      </c>
      <c r="B358" t="s">
        <v>48</v>
      </c>
      <c r="C358">
        <v>40.233750430056233</v>
      </c>
      <c r="D358">
        <v>2.0502329281251082</v>
      </c>
      <c r="E358">
        <v>2.1984188561636149</v>
      </c>
      <c r="F358">
        <v>5.2306273245771742</v>
      </c>
      <c r="G358">
        <v>6.1454456239565634</v>
      </c>
      <c r="H358">
        <v>17.00222545893855</v>
      </c>
      <c r="I358">
        <v>32.916117365097627</v>
      </c>
      <c r="J358">
        <v>26.264719366157809</v>
      </c>
      <c r="K358">
        <v>1153.9507337814109</v>
      </c>
      <c r="L358">
        <v>0</v>
      </c>
      <c r="M358" t="s">
        <v>66</v>
      </c>
    </row>
    <row r="359" spans="1:13" x14ac:dyDescent="0.3">
      <c r="A359" t="s">
        <v>22</v>
      </c>
      <c r="B359" t="s">
        <v>53</v>
      </c>
      <c r="C359">
        <v>345.70710919579318</v>
      </c>
      <c r="D359">
        <v>17.457258768762561</v>
      </c>
      <c r="E359">
        <v>20.994642253182171</v>
      </c>
      <c r="F359">
        <v>52.660877193790448</v>
      </c>
      <c r="G359">
        <v>6.3319960095041674</v>
      </c>
      <c r="H359">
        <v>36.077961316454839</v>
      </c>
      <c r="I359">
        <v>26.304718510773721</v>
      </c>
      <c r="J359">
        <v>22.46195137195361</v>
      </c>
      <c r="K359">
        <v>1323.6118334861819</v>
      </c>
      <c r="L359">
        <v>1</v>
      </c>
      <c r="M359" t="s">
        <v>66</v>
      </c>
    </row>
    <row r="360" spans="1:13" x14ac:dyDescent="0.3">
      <c r="A360" t="s">
        <v>19</v>
      </c>
      <c r="B360" t="s">
        <v>44</v>
      </c>
      <c r="C360">
        <v>30.54106775107336</v>
      </c>
      <c r="D360">
        <v>1.1141253395421871</v>
      </c>
      <c r="E360">
        <v>2.089925419987547</v>
      </c>
      <c r="F360">
        <v>4.1736357551649981</v>
      </c>
      <c r="G360">
        <v>6.0195595167042066</v>
      </c>
      <c r="H360">
        <v>19.219354839437429</v>
      </c>
      <c r="I360">
        <v>19.980462871161631</v>
      </c>
      <c r="J360">
        <v>19.0463629472105</v>
      </c>
      <c r="K360">
        <v>1980.0358082657831</v>
      </c>
      <c r="L360">
        <v>1</v>
      </c>
      <c r="M360" t="s">
        <v>66</v>
      </c>
    </row>
    <row r="361" spans="1:13" x14ac:dyDescent="0.3">
      <c r="A361" t="s">
        <v>19</v>
      </c>
      <c r="B361" t="s">
        <v>48</v>
      </c>
      <c r="C361">
        <v>95.896071789830458</v>
      </c>
      <c r="D361">
        <v>4.1867769969913731</v>
      </c>
      <c r="E361">
        <v>6.8754822149502974</v>
      </c>
      <c r="F361">
        <v>14.958074872556541</v>
      </c>
      <c r="G361">
        <v>5.5653906206180812</v>
      </c>
      <c r="H361">
        <v>34.952175304708057</v>
      </c>
      <c r="I361">
        <v>24.820017076190069</v>
      </c>
      <c r="J361">
        <v>25.6311007448511</v>
      </c>
      <c r="K361">
        <v>674.27520349994074</v>
      </c>
      <c r="L361">
        <v>1</v>
      </c>
      <c r="M361" t="s">
        <v>66</v>
      </c>
    </row>
    <row r="362" spans="1:13" x14ac:dyDescent="0.3">
      <c r="A362" t="s">
        <v>15</v>
      </c>
      <c r="B362" t="s">
        <v>31</v>
      </c>
      <c r="C362">
        <v>111.9710033115467</v>
      </c>
      <c r="D362">
        <v>5.5244851903862342</v>
      </c>
      <c r="E362">
        <v>7.1184747519484466</v>
      </c>
      <c r="F362">
        <v>18.302614332985101</v>
      </c>
      <c r="G362">
        <v>5.2995535149284354</v>
      </c>
      <c r="H362">
        <v>41.423975843693007</v>
      </c>
      <c r="I362">
        <v>20.042820191107271</v>
      </c>
      <c r="J362">
        <v>26.766870614582089</v>
      </c>
      <c r="K362">
        <v>1830.55440854361</v>
      </c>
      <c r="L362">
        <v>1</v>
      </c>
      <c r="M362" t="s">
        <v>66</v>
      </c>
    </row>
    <row r="363" spans="1:13" x14ac:dyDescent="0.3">
      <c r="A363" t="s">
        <v>24</v>
      </c>
      <c r="B363" t="s">
        <v>61</v>
      </c>
      <c r="C363">
        <v>723.18170745313773</v>
      </c>
      <c r="D363">
        <v>33.015391042670991</v>
      </c>
      <c r="E363">
        <v>44.141568060379832</v>
      </c>
      <c r="F363">
        <v>99.492362617756015</v>
      </c>
      <c r="G363">
        <v>6.072475805647886</v>
      </c>
      <c r="H363">
        <v>68.814689384081561</v>
      </c>
      <c r="I363">
        <v>30.65608745866529</v>
      </c>
      <c r="J363">
        <v>31.50105332895701</v>
      </c>
      <c r="K363">
        <v>11.24841754747376</v>
      </c>
      <c r="L363">
        <v>-1</v>
      </c>
      <c r="M363" t="s">
        <v>66</v>
      </c>
    </row>
    <row r="364" spans="1:13" x14ac:dyDescent="0.3">
      <c r="A364" t="s">
        <v>24</v>
      </c>
      <c r="B364" t="s">
        <v>60</v>
      </c>
      <c r="C364">
        <v>524.41277711009332</v>
      </c>
      <c r="D364">
        <v>24.438717970763339</v>
      </c>
      <c r="E364">
        <v>40.074998013731907</v>
      </c>
      <c r="F364">
        <v>86.356342189224961</v>
      </c>
      <c r="G364">
        <v>5.44007405656573</v>
      </c>
      <c r="H364">
        <v>68.06259184426257</v>
      </c>
      <c r="I364">
        <v>31.043521489093461</v>
      </c>
      <c r="J364">
        <v>31.500159617573448</v>
      </c>
      <c r="K364">
        <v>11</v>
      </c>
      <c r="L364">
        <v>-1</v>
      </c>
      <c r="M364" t="s">
        <v>66</v>
      </c>
    </row>
    <row r="365" spans="1:13" x14ac:dyDescent="0.3">
      <c r="A365" t="s">
        <v>19</v>
      </c>
      <c r="B365" t="s">
        <v>47</v>
      </c>
      <c r="C365">
        <v>70.99039217130327</v>
      </c>
      <c r="D365">
        <v>2.7386824239923131</v>
      </c>
      <c r="E365">
        <v>5.4860801935461616</v>
      </c>
      <c r="F365">
        <v>12.542987883675281</v>
      </c>
      <c r="G365">
        <v>6.5380121463604777</v>
      </c>
      <c r="H365">
        <v>16.027924287792551</v>
      </c>
      <c r="I365">
        <v>27.198113114735548</v>
      </c>
      <c r="J365">
        <v>24.47270127275403</v>
      </c>
      <c r="K365">
        <v>674.18485385971519</v>
      </c>
      <c r="L365">
        <v>1</v>
      </c>
      <c r="M365" t="s">
        <v>66</v>
      </c>
    </row>
    <row r="366" spans="1:13" x14ac:dyDescent="0.3">
      <c r="A366" t="s">
        <v>24</v>
      </c>
      <c r="B366" t="s">
        <v>60</v>
      </c>
      <c r="C366">
        <v>487.8951426574007</v>
      </c>
      <c r="D366">
        <v>24.428672844744799</v>
      </c>
      <c r="E366">
        <v>39.503918635344853</v>
      </c>
      <c r="F366">
        <v>77.241775566698067</v>
      </c>
      <c r="G366">
        <v>5.4318051522708348</v>
      </c>
      <c r="H366">
        <v>66.781104664669243</v>
      </c>
      <c r="I366">
        <v>30.862110360977049</v>
      </c>
      <c r="J366">
        <v>30.21432468769245</v>
      </c>
      <c r="K366">
        <v>11</v>
      </c>
      <c r="L366">
        <v>-1</v>
      </c>
      <c r="M366" t="s">
        <v>66</v>
      </c>
    </row>
    <row r="367" spans="1:13" x14ac:dyDescent="0.3">
      <c r="A367" t="s">
        <v>24</v>
      </c>
      <c r="B367" t="s">
        <v>61</v>
      </c>
      <c r="C367">
        <v>691.9538192412034</v>
      </c>
      <c r="D367">
        <v>36.836673949516822</v>
      </c>
      <c r="E367">
        <v>50.212431612043993</v>
      </c>
      <c r="F367">
        <v>122.4831272471571</v>
      </c>
      <c r="G367">
        <v>5.8966956984704533</v>
      </c>
      <c r="H367">
        <v>69.951300434151506</v>
      </c>
      <c r="I367">
        <v>28.887580383687041</v>
      </c>
      <c r="J367">
        <v>30.530287898205469</v>
      </c>
      <c r="K367">
        <v>11</v>
      </c>
      <c r="L367">
        <v>-1</v>
      </c>
      <c r="M367" t="s">
        <v>66</v>
      </c>
    </row>
    <row r="368" spans="1:13" x14ac:dyDescent="0.3">
      <c r="A368" t="s">
        <v>19</v>
      </c>
      <c r="B368" t="s">
        <v>48</v>
      </c>
      <c r="C368">
        <v>29.040736036025901</v>
      </c>
      <c r="D368">
        <v>1.0667238307327589</v>
      </c>
      <c r="E368">
        <v>1.1790537778185579</v>
      </c>
      <c r="F368">
        <v>4.6425401463365894</v>
      </c>
      <c r="G368">
        <v>6.0634444718168412</v>
      </c>
      <c r="H368">
        <v>15.52504080661431</v>
      </c>
      <c r="I368">
        <v>30.38004385673359</v>
      </c>
      <c r="J368">
        <v>26.0950197487305</v>
      </c>
      <c r="K368">
        <v>1162.0951878017961</v>
      </c>
      <c r="L368">
        <v>0</v>
      </c>
      <c r="M368" t="s">
        <v>66</v>
      </c>
    </row>
    <row r="369" spans="1:13" x14ac:dyDescent="0.3">
      <c r="A369" t="s">
        <v>18</v>
      </c>
      <c r="B369" t="s">
        <v>42</v>
      </c>
      <c r="C369">
        <v>30.428674513339189</v>
      </c>
      <c r="D369">
        <v>0.99704023827524813</v>
      </c>
      <c r="E369">
        <v>1.958007813687624</v>
      </c>
      <c r="F369">
        <v>6.0123553831826646</v>
      </c>
      <c r="G369">
        <v>5.7824866633838399</v>
      </c>
      <c r="H369">
        <v>29.890851534403769</v>
      </c>
      <c r="I369">
        <v>22.96902820788754</v>
      </c>
      <c r="J369">
        <v>25.83548200841436</v>
      </c>
      <c r="K369">
        <v>1578.558286688012</v>
      </c>
      <c r="L369">
        <v>1</v>
      </c>
      <c r="M369" t="s">
        <v>66</v>
      </c>
    </row>
    <row r="370" spans="1:13" x14ac:dyDescent="0.3">
      <c r="A370" t="s">
        <v>25</v>
      </c>
      <c r="B370" t="s">
        <v>62</v>
      </c>
      <c r="C370">
        <v>250.59812454831629</v>
      </c>
      <c r="D370">
        <v>17.732896191945539</v>
      </c>
      <c r="E370">
        <v>23.62181611526864</v>
      </c>
      <c r="F370">
        <v>66.637068870615693</v>
      </c>
      <c r="G370">
        <v>4.3</v>
      </c>
      <c r="H370">
        <v>69.127804874268335</v>
      </c>
      <c r="I370">
        <v>29.873227836710779</v>
      </c>
      <c r="J370">
        <v>22.217269438398318</v>
      </c>
      <c r="K370">
        <v>705.15857683635954</v>
      </c>
      <c r="L370">
        <v>0</v>
      </c>
      <c r="M370" t="s">
        <v>66</v>
      </c>
    </row>
    <row r="371" spans="1:13" x14ac:dyDescent="0.3">
      <c r="A371" t="s">
        <v>22</v>
      </c>
      <c r="B371" t="s">
        <v>53</v>
      </c>
      <c r="C371">
        <v>32.770923069687299</v>
      </c>
      <c r="D371">
        <v>1.0252199555224559</v>
      </c>
      <c r="E371">
        <v>2.300207967575238</v>
      </c>
      <c r="F371">
        <v>5.2434395278551023</v>
      </c>
      <c r="G371">
        <v>6.2534784304512252</v>
      </c>
      <c r="H371">
        <v>21.493409653547541</v>
      </c>
      <c r="I371">
        <v>23.89882512282642</v>
      </c>
      <c r="J371">
        <v>19.855939526549651</v>
      </c>
      <c r="K371">
        <v>1274.5077091206681</v>
      </c>
      <c r="L371">
        <v>1</v>
      </c>
      <c r="M371" t="s">
        <v>66</v>
      </c>
    </row>
    <row r="372" spans="1:13" x14ac:dyDescent="0.3">
      <c r="A372" t="s">
        <v>17</v>
      </c>
      <c r="B372" t="s">
        <v>39</v>
      </c>
      <c r="C372">
        <v>12.994614121230679</v>
      </c>
      <c r="D372">
        <v>0</v>
      </c>
      <c r="E372">
        <v>0</v>
      </c>
      <c r="F372">
        <v>1.995262156679503</v>
      </c>
      <c r="G372">
        <v>5.2477065337876958</v>
      </c>
      <c r="H372">
        <v>31.2414968368108</v>
      </c>
      <c r="I372">
        <v>20.66279516494523</v>
      </c>
      <c r="J372">
        <v>26.49888972133547</v>
      </c>
      <c r="K372">
        <v>2168.922391267105</v>
      </c>
      <c r="L372">
        <v>1</v>
      </c>
      <c r="M372" t="s">
        <v>66</v>
      </c>
    </row>
    <row r="373" spans="1:13" x14ac:dyDescent="0.3">
      <c r="A373" t="s">
        <v>19</v>
      </c>
      <c r="B373" t="s">
        <v>45</v>
      </c>
      <c r="C373">
        <v>52.394581827976829</v>
      </c>
      <c r="D373">
        <v>1.717820245202673</v>
      </c>
      <c r="E373">
        <v>2.7857529967079819</v>
      </c>
      <c r="F373">
        <v>7.7044409108654328</v>
      </c>
      <c r="G373">
        <v>6.039654137780901</v>
      </c>
      <c r="H373">
        <v>37.319863466540212</v>
      </c>
      <c r="I373">
        <v>26.691226974545579</v>
      </c>
      <c r="J373">
        <v>27.67602841788484</v>
      </c>
      <c r="K373">
        <v>1538.591650623122</v>
      </c>
      <c r="L373">
        <v>1</v>
      </c>
      <c r="M373" t="s">
        <v>66</v>
      </c>
    </row>
    <row r="374" spans="1:13" x14ac:dyDescent="0.3">
      <c r="A374" t="s">
        <v>20</v>
      </c>
      <c r="B374" t="s">
        <v>50</v>
      </c>
      <c r="C374">
        <v>56.765393728470933</v>
      </c>
      <c r="D374">
        <v>1.768908242570145</v>
      </c>
      <c r="E374">
        <v>3.4020893842715729</v>
      </c>
      <c r="F374">
        <v>7.4355465242204781</v>
      </c>
      <c r="G374">
        <v>6.6530668777759034</v>
      </c>
      <c r="H374">
        <v>20.61592998138121</v>
      </c>
      <c r="I374">
        <v>21.762857360022512</v>
      </c>
      <c r="J374">
        <v>20.56901209813709</v>
      </c>
      <c r="K374">
        <v>1783.424104976096</v>
      </c>
      <c r="L374">
        <v>1</v>
      </c>
      <c r="M374" t="s">
        <v>66</v>
      </c>
    </row>
    <row r="375" spans="1:13" x14ac:dyDescent="0.3">
      <c r="A375" t="s">
        <v>22</v>
      </c>
      <c r="B375" t="s">
        <v>53</v>
      </c>
      <c r="C375">
        <v>33.862527547093627</v>
      </c>
      <c r="D375">
        <v>0.927319303445028</v>
      </c>
      <c r="E375">
        <v>1.7692859050005449</v>
      </c>
      <c r="F375">
        <v>4.3325916538868441</v>
      </c>
      <c r="G375">
        <v>6.4787619964765746</v>
      </c>
      <c r="H375">
        <v>19.32482281256323</v>
      </c>
      <c r="I375">
        <v>23.57409968022106</v>
      </c>
      <c r="J375">
        <v>20.458442627021931</v>
      </c>
      <c r="K375">
        <v>1249.5877891196019</v>
      </c>
      <c r="L375">
        <v>1</v>
      </c>
      <c r="M375" t="s">
        <v>66</v>
      </c>
    </row>
    <row r="376" spans="1:13" x14ac:dyDescent="0.3">
      <c r="A376" t="s">
        <v>15</v>
      </c>
      <c r="B376" t="s">
        <v>33</v>
      </c>
      <c r="C376">
        <v>74.744938639995055</v>
      </c>
      <c r="D376">
        <v>3.272211471506473</v>
      </c>
      <c r="E376">
        <v>4.9694199677880144</v>
      </c>
      <c r="F376">
        <v>10.48691803591646</v>
      </c>
      <c r="G376">
        <v>5.5349517874607717</v>
      </c>
      <c r="H376">
        <v>29.51316242011108</v>
      </c>
      <c r="I376">
        <v>17.656223187160769</v>
      </c>
      <c r="J376">
        <v>18.57253877556683</v>
      </c>
      <c r="K376">
        <v>1865.3567004597419</v>
      </c>
      <c r="L376">
        <v>1</v>
      </c>
      <c r="M376" t="s">
        <v>66</v>
      </c>
    </row>
    <row r="377" spans="1:13" x14ac:dyDescent="0.3">
      <c r="A377" t="s">
        <v>24</v>
      </c>
      <c r="B377" t="s">
        <v>61</v>
      </c>
      <c r="C377">
        <v>303.30192287822848</v>
      </c>
      <c r="D377">
        <v>16.676377982464011</v>
      </c>
      <c r="E377">
        <v>25.018537117889888</v>
      </c>
      <c r="F377">
        <v>57.915341159027811</v>
      </c>
      <c r="G377">
        <v>4.4464747240597324</v>
      </c>
      <c r="H377">
        <v>60.370212635184778</v>
      </c>
      <c r="I377">
        <v>30.013499388723321</v>
      </c>
      <c r="J377">
        <v>30.334903612314211</v>
      </c>
      <c r="K377">
        <v>13.6380961115542</v>
      </c>
      <c r="L377">
        <v>-1</v>
      </c>
      <c r="M377" t="s">
        <v>66</v>
      </c>
    </row>
    <row r="378" spans="1:13" x14ac:dyDescent="0.3">
      <c r="A378" t="s">
        <v>25</v>
      </c>
      <c r="B378" t="s">
        <v>62</v>
      </c>
      <c r="C378">
        <v>28.745167506197671</v>
      </c>
      <c r="D378">
        <v>1.0845540615379849</v>
      </c>
      <c r="E378">
        <v>2.0845491848633788</v>
      </c>
      <c r="F378">
        <v>3.8051598992854898</v>
      </c>
      <c r="G378">
        <v>6.2021014672715529</v>
      </c>
      <c r="H378">
        <v>25.311462350588801</v>
      </c>
      <c r="I378">
        <v>22.511042864085251</v>
      </c>
      <c r="J378">
        <v>25.233642254647471</v>
      </c>
      <c r="K378">
        <v>1217.3316082469121</v>
      </c>
      <c r="L378">
        <v>0</v>
      </c>
      <c r="M378" t="s">
        <v>66</v>
      </c>
    </row>
    <row r="379" spans="1:13" x14ac:dyDescent="0.3">
      <c r="A379" t="s">
        <v>17</v>
      </c>
      <c r="B379" t="s">
        <v>39</v>
      </c>
      <c r="C379">
        <v>130.091103353769</v>
      </c>
      <c r="D379">
        <v>6.6904221244948507</v>
      </c>
      <c r="E379">
        <v>8.0101513587263238</v>
      </c>
      <c r="F379">
        <v>18.135841309237659</v>
      </c>
      <c r="G379">
        <v>5.2025780791831524</v>
      </c>
      <c r="H379">
        <v>18.71764049035675</v>
      </c>
      <c r="I379">
        <v>18.115498900071909</v>
      </c>
      <c r="J379">
        <v>19.610927484026181</v>
      </c>
      <c r="K379">
        <v>1950.8257137070991</v>
      </c>
      <c r="L379">
        <v>1</v>
      </c>
      <c r="M379" t="s">
        <v>66</v>
      </c>
    </row>
    <row r="380" spans="1:13" x14ac:dyDescent="0.3">
      <c r="A380" t="s">
        <v>20</v>
      </c>
      <c r="B380" t="s">
        <v>49</v>
      </c>
      <c r="C380">
        <v>34.686551921173987</v>
      </c>
      <c r="D380">
        <v>0.93140597503566802</v>
      </c>
      <c r="E380">
        <v>2.296782025184033</v>
      </c>
      <c r="F380">
        <v>6.8782635942912478</v>
      </c>
      <c r="G380">
        <v>6.3308903014225466</v>
      </c>
      <c r="H380">
        <v>16.6889449030249</v>
      </c>
      <c r="I380">
        <v>32.591816689545773</v>
      </c>
      <c r="J380">
        <v>26.558607474878251</v>
      </c>
      <c r="K380">
        <v>1121.0227768405141</v>
      </c>
      <c r="L380">
        <v>0</v>
      </c>
      <c r="M380" t="s">
        <v>66</v>
      </c>
    </row>
    <row r="381" spans="1:13" x14ac:dyDescent="0.3">
      <c r="A381" t="s">
        <v>15</v>
      </c>
      <c r="B381" t="s">
        <v>33</v>
      </c>
      <c r="C381">
        <v>62.958071979258001</v>
      </c>
      <c r="D381">
        <v>2.772664010164692</v>
      </c>
      <c r="E381">
        <v>3.7794212541656131</v>
      </c>
      <c r="F381">
        <v>11.75818748232064</v>
      </c>
      <c r="G381">
        <v>5.466167013106773</v>
      </c>
      <c r="H381">
        <v>35.958034446925133</v>
      </c>
      <c r="I381">
        <v>21.74181221073415</v>
      </c>
      <c r="J381">
        <v>17.88497594485235</v>
      </c>
      <c r="K381">
        <v>1863.4330831986249</v>
      </c>
      <c r="L381">
        <v>1</v>
      </c>
      <c r="M381" t="s">
        <v>66</v>
      </c>
    </row>
    <row r="382" spans="1:13" x14ac:dyDescent="0.3">
      <c r="A382" t="s">
        <v>24</v>
      </c>
      <c r="B382" t="s">
        <v>59</v>
      </c>
      <c r="C382">
        <v>56.999018402297388</v>
      </c>
      <c r="D382">
        <v>2.1183611892796552</v>
      </c>
      <c r="E382">
        <v>3.5985189021087081</v>
      </c>
      <c r="F382">
        <v>8.5177473207946939</v>
      </c>
      <c r="G382">
        <v>6.736368499242662</v>
      </c>
      <c r="H382">
        <v>56.474060353237007</v>
      </c>
      <c r="I382">
        <v>26.54144361783306</v>
      </c>
      <c r="J382">
        <v>22.421365259959241</v>
      </c>
      <c r="K382">
        <v>733.13172823930074</v>
      </c>
      <c r="L382">
        <v>0</v>
      </c>
      <c r="M382" t="s">
        <v>66</v>
      </c>
    </row>
    <row r="383" spans="1:13" x14ac:dyDescent="0.3">
      <c r="A383" t="s">
        <v>19</v>
      </c>
      <c r="B383" t="s">
        <v>47</v>
      </c>
      <c r="C383">
        <v>79.360720919899165</v>
      </c>
      <c r="D383">
        <v>3.146141845091337</v>
      </c>
      <c r="E383">
        <v>5.4947188494329708</v>
      </c>
      <c r="F383">
        <v>13.887492285207561</v>
      </c>
      <c r="G383">
        <v>6.5906675860012633</v>
      </c>
      <c r="H383">
        <v>16.314815250321359</v>
      </c>
      <c r="I383">
        <v>26.39414762487684</v>
      </c>
      <c r="J383">
        <v>23.79283628297441</v>
      </c>
      <c r="K383">
        <v>691.65475522258384</v>
      </c>
      <c r="L383">
        <v>1</v>
      </c>
      <c r="M383" t="s">
        <v>66</v>
      </c>
    </row>
    <row r="384" spans="1:13" x14ac:dyDescent="0.3">
      <c r="A384" t="s">
        <v>20</v>
      </c>
      <c r="B384" t="s">
        <v>51</v>
      </c>
      <c r="C384">
        <v>374.20162022560362</v>
      </c>
      <c r="D384">
        <v>16.979300228988759</v>
      </c>
      <c r="E384">
        <v>23.008473114436171</v>
      </c>
      <c r="F384">
        <v>62.43277578320356</v>
      </c>
      <c r="G384">
        <v>4.6888761330804556</v>
      </c>
      <c r="H384">
        <v>48.904726040873037</v>
      </c>
      <c r="I384">
        <v>18.625735514494121</v>
      </c>
      <c r="J384">
        <v>20.8311180599427</v>
      </c>
      <c r="K384">
        <v>1619.620313049026</v>
      </c>
      <c r="L384">
        <v>1</v>
      </c>
      <c r="M384" t="s">
        <v>66</v>
      </c>
    </row>
    <row r="385" spans="1:13" x14ac:dyDescent="0.3">
      <c r="A385" t="s">
        <v>18</v>
      </c>
      <c r="B385" t="s">
        <v>41</v>
      </c>
      <c r="C385">
        <v>10.405325263774969</v>
      </c>
      <c r="D385">
        <v>0</v>
      </c>
      <c r="E385">
        <v>0</v>
      </c>
      <c r="F385">
        <v>0.93542113118038017</v>
      </c>
      <c r="G385">
        <v>5.9485359777018481</v>
      </c>
      <c r="H385">
        <v>19.13832823905458</v>
      </c>
      <c r="I385">
        <v>18.518134078714059</v>
      </c>
      <c r="J385">
        <v>19.514936779876141</v>
      </c>
      <c r="K385">
        <v>1885.7422852586751</v>
      </c>
      <c r="L385">
        <v>1</v>
      </c>
      <c r="M385" t="s">
        <v>66</v>
      </c>
    </row>
    <row r="386" spans="1:13" x14ac:dyDescent="0.3">
      <c r="A386" t="s">
        <v>20</v>
      </c>
      <c r="B386" t="s">
        <v>51</v>
      </c>
      <c r="C386">
        <v>88.831193604828101</v>
      </c>
      <c r="D386">
        <v>4.2404015048566066</v>
      </c>
      <c r="E386">
        <v>6.1104993328420836</v>
      </c>
      <c r="F386">
        <v>11.93606602484906</v>
      </c>
      <c r="G386">
        <v>6.2802935619326794</v>
      </c>
      <c r="H386">
        <v>32.325104774720202</v>
      </c>
      <c r="I386">
        <v>21.8645939167085</v>
      </c>
      <c r="J386">
        <v>20.575668189790889</v>
      </c>
      <c r="K386">
        <v>1590.8941368625519</v>
      </c>
      <c r="L386">
        <v>1</v>
      </c>
      <c r="M386" t="s">
        <v>66</v>
      </c>
    </row>
    <row r="387" spans="1:13" x14ac:dyDescent="0.3">
      <c r="A387" t="s">
        <v>15</v>
      </c>
      <c r="B387" t="s">
        <v>30</v>
      </c>
      <c r="C387">
        <v>40.797313838751371</v>
      </c>
      <c r="D387">
        <v>2.1747271958137211</v>
      </c>
      <c r="E387">
        <v>1.973708337644954</v>
      </c>
      <c r="F387">
        <v>6.3670982833531484</v>
      </c>
      <c r="G387">
        <v>6.3231784922936409</v>
      </c>
      <c r="H387">
        <v>27.767110502878921</v>
      </c>
      <c r="I387">
        <v>19.670034827776259</v>
      </c>
      <c r="J387">
        <v>27.07166596284641</v>
      </c>
      <c r="K387">
        <v>2067.094630900227</v>
      </c>
      <c r="L387">
        <v>1</v>
      </c>
      <c r="M387" t="s">
        <v>66</v>
      </c>
    </row>
    <row r="388" spans="1:13" x14ac:dyDescent="0.3">
      <c r="A388" t="s">
        <v>22</v>
      </c>
      <c r="B388" t="s">
        <v>53</v>
      </c>
      <c r="C388">
        <v>31.886003984867958</v>
      </c>
      <c r="D388">
        <v>0.97421781225967941</v>
      </c>
      <c r="E388">
        <v>2.2539574593578422</v>
      </c>
      <c r="F388">
        <v>5.4527724968724343</v>
      </c>
      <c r="G388">
        <v>6.3293100663773059</v>
      </c>
      <c r="H388">
        <v>21.535602831485221</v>
      </c>
      <c r="I388">
        <v>25.336794567993881</v>
      </c>
      <c r="J388">
        <v>19.88740146912729</v>
      </c>
      <c r="K388">
        <v>1285.121179182514</v>
      </c>
      <c r="L388">
        <v>1</v>
      </c>
      <c r="M388" t="s">
        <v>66</v>
      </c>
    </row>
    <row r="389" spans="1:13" x14ac:dyDescent="0.3">
      <c r="A389" t="s">
        <v>18</v>
      </c>
      <c r="B389" t="s">
        <v>41</v>
      </c>
      <c r="C389">
        <v>45.111904565171457</v>
      </c>
      <c r="D389">
        <v>1.9177065433993961</v>
      </c>
      <c r="E389">
        <v>3.0729483189488018</v>
      </c>
      <c r="F389">
        <v>7.0484839255013787</v>
      </c>
      <c r="G389">
        <v>5.8275160891982951</v>
      </c>
      <c r="H389">
        <v>30.731703123799061</v>
      </c>
      <c r="I389">
        <v>19.494258356584378</v>
      </c>
      <c r="J389">
        <v>20.195980181328849</v>
      </c>
      <c r="K389">
        <v>1791.450354774398</v>
      </c>
      <c r="L389">
        <v>1</v>
      </c>
      <c r="M389" t="s">
        <v>66</v>
      </c>
    </row>
    <row r="390" spans="1:13" x14ac:dyDescent="0.3">
      <c r="A390" t="s">
        <v>24</v>
      </c>
      <c r="B390" t="s">
        <v>58</v>
      </c>
      <c r="C390">
        <v>27.135671889490819</v>
      </c>
      <c r="D390">
        <v>1.137203403273243</v>
      </c>
      <c r="E390">
        <v>1.73376321422792</v>
      </c>
      <c r="F390">
        <v>3.3307426113108551</v>
      </c>
      <c r="G390">
        <v>6.2433743010913174</v>
      </c>
      <c r="H390">
        <v>40.400991210833773</v>
      </c>
      <c r="I390">
        <v>24.770840299136399</v>
      </c>
      <c r="J390">
        <v>23.201256366139539</v>
      </c>
      <c r="K390">
        <v>760.46614985450469</v>
      </c>
      <c r="L390">
        <v>0</v>
      </c>
      <c r="M390" t="s">
        <v>66</v>
      </c>
    </row>
    <row r="391" spans="1:13" x14ac:dyDescent="0.3">
      <c r="A391" t="s">
        <v>17</v>
      </c>
      <c r="B391" t="s">
        <v>39</v>
      </c>
      <c r="C391">
        <v>19.584041259597878</v>
      </c>
      <c r="D391">
        <v>0</v>
      </c>
      <c r="E391">
        <v>0.94219350944005331</v>
      </c>
      <c r="F391">
        <v>1.8027682874608799</v>
      </c>
      <c r="G391">
        <v>5.3004487636808424</v>
      </c>
      <c r="H391">
        <v>19.83174003397027</v>
      </c>
      <c r="I391">
        <v>21.056364325242338</v>
      </c>
      <c r="J391">
        <v>27.153888716804762</v>
      </c>
      <c r="K391">
        <v>2096.819989585917</v>
      </c>
      <c r="L391">
        <v>1</v>
      </c>
      <c r="M391" t="s">
        <v>66</v>
      </c>
    </row>
    <row r="392" spans="1:13" x14ac:dyDescent="0.3">
      <c r="A392" t="s">
        <v>25</v>
      </c>
      <c r="B392" t="s">
        <v>62</v>
      </c>
      <c r="C392">
        <v>607.44094284335245</v>
      </c>
      <c r="D392">
        <v>30.4277825094915</v>
      </c>
      <c r="E392">
        <v>40.08942972599931</v>
      </c>
      <c r="F392">
        <v>89.032054360296542</v>
      </c>
      <c r="G392">
        <v>4.4278784255742973</v>
      </c>
      <c r="H392">
        <v>77.940294606841576</v>
      </c>
      <c r="I392">
        <v>27.19286543027016</v>
      </c>
      <c r="J392">
        <v>22.50800087654294</v>
      </c>
      <c r="K392">
        <v>699.67042757098181</v>
      </c>
      <c r="L392">
        <v>0</v>
      </c>
      <c r="M392" t="s">
        <v>66</v>
      </c>
    </row>
    <row r="393" spans="1:13" x14ac:dyDescent="0.3">
      <c r="A393" t="s">
        <v>15</v>
      </c>
      <c r="B393" t="s">
        <v>33</v>
      </c>
      <c r="C393">
        <v>70.051641846339948</v>
      </c>
      <c r="D393">
        <v>2.8031050711792611</v>
      </c>
      <c r="E393">
        <v>4.0588966820574992</v>
      </c>
      <c r="F393">
        <v>10.39430034247885</v>
      </c>
      <c r="G393">
        <v>5.7308260869070828</v>
      </c>
      <c r="H393">
        <v>32.990816153178628</v>
      </c>
      <c r="I393">
        <v>19.745138284183401</v>
      </c>
      <c r="J393">
        <v>17.880882806924131</v>
      </c>
      <c r="K393">
        <v>1878.0803630806349</v>
      </c>
      <c r="L393">
        <v>1</v>
      </c>
      <c r="M393" t="s">
        <v>66</v>
      </c>
    </row>
    <row r="394" spans="1:13" x14ac:dyDescent="0.3">
      <c r="A394" t="s">
        <v>20</v>
      </c>
      <c r="B394" t="s">
        <v>49</v>
      </c>
      <c r="C394">
        <v>39.130062418659683</v>
      </c>
      <c r="D394">
        <v>0.69569879344916163</v>
      </c>
      <c r="E394">
        <v>1.5880874817487829</v>
      </c>
      <c r="F394">
        <v>5.59640929429019</v>
      </c>
      <c r="G394">
        <v>6.0861488352796878</v>
      </c>
      <c r="H394">
        <v>16.708185696517099</v>
      </c>
      <c r="I394">
        <v>32.338973463936078</v>
      </c>
      <c r="J394">
        <v>24.81212275539734</v>
      </c>
      <c r="K394">
        <v>1162.2148272041391</v>
      </c>
      <c r="L394">
        <v>0</v>
      </c>
      <c r="M394" t="s">
        <v>66</v>
      </c>
    </row>
    <row r="395" spans="1:13" x14ac:dyDescent="0.3">
      <c r="A395" t="s">
        <v>24</v>
      </c>
      <c r="B395" t="s">
        <v>60</v>
      </c>
      <c r="C395">
        <v>541.97412946835777</v>
      </c>
      <c r="D395">
        <v>25.00295734610642</v>
      </c>
      <c r="E395">
        <v>34.479533750145599</v>
      </c>
      <c r="F395">
        <v>84.964089106584026</v>
      </c>
      <c r="G395">
        <v>5.3460208191998086</v>
      </c>
      <c r="H395">
        <v>61.124729462731771</v>
      </c>
      <c r="I395">
        <v>30.100284175935979</v>
      </c>
      <c r="J395">
        <v>32.072651989660969</v>
      </c>
      <c r="K395">
        <v>11.228888987477379</v>
      </c>
      <c r="L395">
        <v>-1</v>
      </c>
      <c r="M395" t="s">
        <v>66</v>
      </c>
    </row>
    <row r="396" spans="1:13" x14ac:dyDescent="0.3">
      <c r="A396" t="s">
        <v>18</v>
      </c>
      <c r="B396" t="s">
        <v>41</v>
      </c>
      <c r="C396">
        <v>47.475793843525089</v>
      </c>
      <c r="D396">
        <v>2.1734017455436838</v>
      </c>
      <c r="E396">
        <v>3.2139460444681291</v>
      </c>
      <c r="F396">
        <v>8.0845180608235747</v>
      </c>
      <c r="G396">
        <v>5.7976007601951638</v>
      </c>
      <c r="H396">
        <v>30.020042769147899</v>
      </c>
      <c r="I396">
        <v>18.195663725342069</v>
      </c>
      <c r="J396">
        <v>20.847213138789751</v>
      </c>
      <c r="K396">
        <v>1778.5999526583389</v>
      </c>
      <c r="L396">
        <v>1</v>
      </c>
      <c r="M396" t="s">
        <v>66</v>
      </c>
    </row>
    <row r="397" spans="1:13" x14ac:dyDescent="0.3">
      <c r="A397" t="s">
        <v>22</v>
      </c>
      <c r="B397" t="s">
        <v>54</v>
      </c>
      <c r="C397">
        <v>47.203640753913326</v>
      </c>
      <c r="D397">
        <v>1.8807983231722729</v>
      </c>
      <c r="E397">
        <v>2.6451938679705909</v>
      </c>
      <c r="F397">
        <v>6.908135083611322</v>
      </c>
      <c r="G397">
        <v>7.5</v>
      </c>
      <c r="H397">
        <v>44.40119922211835</v>
      </c>
      <c r="I397">
        <v>29.161644438073768</v>
      </c>
      <c r="J397">
        <v>21.62767003876953</v>
      </c>
      <c r="K397">
        <v>1314.3601385160509</v>
      </c>
      <c r="L397">
        <v>1</v>
      </c>
      <c r="M397" t="s">
        <v>66</v>
      </c>
    </row>
    <row r="398" spans="1:13" x14ac:dyDescent="0.3">
      <c r="A398" t="s">
        <v>24</v>
      </c>
      <c r="B398" t="s">
        <v>61</v>
      </c>
      <c r="C398">
        <v>636.31673014485364</v>
      </c>
      <c r="D398">
        <v>29.22554061261765</v>
      </c>
      <c r="E398">
        <v>53.026586348987522</v>
      </c>
      <c r="F398">
        <v>104.5366593147652</v>
      </c>
      <c r="G398">
        <v>6.030866893444812</v>
      </c>
      <c r="H398">
        <v>72.566809737530477</v>
      </c>
      <c r="I398">
        <v>28.620717041581869</v>
      </c>
      <c r="J398">
        <v>29.735067542257671</v>
      </c>
      <c r="K398">
        <v>11.228935857035591</v>
      </c>
      <c r="L398">
        <v>-1</v>
      </c>
      <c r="M398" t="s">
        <v>66</v>
      </c>
    </row>
    <row r="399" spans="1:13" x14ac:dyDescent="0.3">
      <c r="A399" t="s">
        <v>24</v>
      </c>
      <c r="B399" t="s">
        <v>61</v>
      </c>
      <c r="C399">
        <v>82.216745197113994</v>
      </c>
      <c r="D399">
        <v>3.987361815414856</v>
      </c>
      <c r="E399">
        <v>5.4396080592985703</v>
      </c>
      <c r="F399">
        <v>10.02855677654237</v>
      </c>
      <c r="G399">
        <v>6.1691581296405564</v>
      </c>
      <c r="H399">
        <v>15.493595178642741</v>
      </c>
      <c r="I399">
        <v>34.911098225948578</v>
      </c>
      <c r="J399">
        <v>30.431078199594481</v>
      </c>
      <c r="K399">
        <v>47.547177537057003</v>
      </c>
      <c r="L399">
        <v>-1</v>
      </c>
      <c r="M399" t="s">
        <v>66</v>
      </c>
    </row>
    <row r="400" spans="1:13" x14ac:dyDescent="0.3">
      <c r="A400" t="s">
        <v>18</v>
      </c>
      <c r="B400" t="s">
        <v>42</v>
      </c>
      <c r="C400">
        <v>5.9569710775567017</v>
      </c>
      <c r="D400">
        <v>0</v>
      </c>
      <c r="E400">
        <v>0</v>
      </c>
      <c r="F400">
        <v>-1.7763568394002501E-15</v>
      </c>
      <c r="G400">
        <v>5.7482003814334179</v>
      </c>
      <c r="H400">
        <v>22.927370057131419</v>
      </c>
      <c r="I400">
        <v>21.972969725688909</v>
      </c>
      <c r="J400">
        <v>26.19899621004862</v>
      </c>
      <c r="K400">
        <v>1927.26059757538</v>
      </c>
      <c r="L400">
        <v>1</v>
      </c>
      <c r="M400" t="s">
        <v>66</v>
      </c>
    </row>
    <row r="401" spans="1:13" x14ac:dyDescent="0.3">
      <c r="A401" t="s">
        <v>21</v>
      </c>
      <c r="B401" t="s">
        <v>52</v>
      </c>
      <c r="C401">
        <v>55.504099559531483</v>
      </c>
      <c r="D401">
        <v>2.2134447604123211</v>
      </c>
      <c r="E401">
        <v>3.0329647022584201</v>
      </c>
      <c r="F401">
        <v>7.4722470714870326</v>
      </c>
      <c r="G401">
        <v>6.382832429678353</v>
      </c>
      <c r="H401">
        <v>30.032777914692559</v>
      </c>
      <c r="I401">
        <v>22.123460904857719</v>
      </c>
      <c r="J401">
        <v>20.596208068403399</v>
      </c>
      <c r="K401">
        <v>1309.1434703850409</v>
      </c>
      <c r="L401">
        <v>1</v>
      </c>
      <c r="M401" t="s">
        <v>66</v>
      </c>
    </row>
    <row r="402" spans="1:13" x14ac:dyDescent="0.3">
      <c r="A402" t="s">
        <v>25</v>
      </c>
      <c r="B402" t="s">
        <v>62</v>
      </c>
      <c r="C402">
        <v>244.99172840982399</v>
      </c>
      <c r="D402">
        <v>17.356247865237911</v>
      </c>
      <c r="E402">
        <v>23.4064857360551</v>
      </c>
      <c r="F402">
        <v>68.673566941036512</v>
      </c>
      <c r="G402">
        <v>4.3918761542036284</v>
      </c>
      <c r="H402">
        <v>75.365485069476506</v>
      </c>
      <c r="I402">
        <v>27.594494189071661</v>
      </c>
      <c r="J402">
        <v>24.26503326259666</v>
      </c>
      <c r="K402">
        <v>713.09076382883973</v>
      </c>
      <c r="L402">
        <v>0</v>
      </c>
      <c r="M402" t="s">
        <v>66</v>
      </c>
    </row>
    <row r="403" spans="1:13" x14ac:dyDescent="0.3">
      <c r="A403" t="s">
        <v>24</v>
      </c>
      <c r="B403" t="s">
        <v>61</v>
      </c>
      <c r="C403">
        <v>76.178006199328493</v>
      </c>
      <c r="D403">
        <v>3.8681028946551699</v>
      </c>
      <c r="E403">
        <v>5.0049868718405683</v>
      </c>
      <c r="F403">
        <v>12.64016636632827</v>
      </c>
      <c r="G403">
        <v>6.0591101270266332</v>
      </c>
      <c r="H403">
        <v>14.53141126020285</v>
      </c>
      <c r="I403">
        <v>34.341986094327822</v>
      </c>
      <c r="J403">
        <v>32.481562724262737</v>
      </c>
      <c r="K403">
        <v>48.454656738546653</v>
      </c>
      <c r="L403">
        <v>-1</v>
      </c>
      <c r="M403" t="s">
        <v>66</v>
      </c>
    </row>
    <row r="404" spans="1:13" x14ac:dyDescent="0.3">
      <c r="A404" t="s">
        <v>21</v>
      </c>
      <c r="B404" t="s">
        <v>52</v>
      </c>
      <c r="C404">
        <v>35.494050877443428</v>
      </c>
      <c r="D404">
        <v>1.0230001394474459</v>
      </c>
      <c r="E404">
        <v>1.7683498033851379</v>
      </c>
      <c r="F404">
        <v>5.4039498684489136</v>
      </c>
      <c r="G404">
        <v>6.0995676459285342</v>
      </c>
      <c r="H404">
        <v>29.254666355036271</v>
      </c>
      <c r="I404">
        <v>21.28487720401235</v>
      </c>
      <c r="J404">
        <v>20.041912490295971</v>
      </c>
      <c r="K404">
        <v>1498.939340768447</v>
      </c>
      <c r="L404">
        <v>1</v>
      </c>
      <c r="M404" t="s">
        <v>66</v>
      </c>
    </row>
    <row r="405" spans="1:13" x14ac:dyDescent="0.3">
      <c r="A405" t="s">
        <v>19</v>
      </c>
      <c r="B405" t="s">
        <v>44</v>
      </c>
      <c r="C405">
        <v>28.310845335222101</v>
      </c>
      <c r="D405">
        <v>1.2267016228209131</v>
      </c>
      <c r="E405">
        <v>1.88633322682746</v>
      </c>
      <c r="F405">
        <v>4.380637151906047</v>
      </c>
      <c r="G405">
        <v>6.1124368458128977</v>
      </c>
      <c r="H405">
        <v>23.94528529580715</v>
      </c>
      <c r="I405">
        <v>16.516252477328209</v>
      </c>
      <c r="J405">
        <v>21.180619800733918</v>
      </c>
      <c r="K405">
        <v>1737.8177350336559</v>
      </c>
      <c r="L405">
        <v>1</v>
      </c>
      <c r="M405" t="s">
        <v>66</v>
      </c>
    </row>
    <row r="406" spans="1:13" x14ac:dyDescent="0.3">
      <c r="A406" t="s">
        <v>20</v>
      </c>
      <c r="B406" t="s">
        <v>51</v>
      </c>
      <c r="C406">
        <v>87.103506384156788</v>
      </c>
      <c r="D406">
        <v>3.7602612990285289</v>
      </c>
      <c r="E406">
        <v>6.8288184765264086</v>
      </c>
      <c r="F406">
        <v>13.19567245596531</v>
      </c>
      <c r="G406">
        <v>6.3163655927325584</v>
      </c>
      <c r="H406">
        <v>34.728459823450883</v>
      </c>
      <c r="I406">
        <v>21.822574254178662</v>
      </c>
      <c r="J406">
        <v>18.927686515605039</v>
      </c>
      <c r="K406">
        <v>1543.6925078171189</v>
      </c>
      <c r="L406">
        <v>1</v>
      </c>
      <c r="M406" t="s">
        <v>66</v>
      </c>
    </row>
    <row r="407" spans="1:13" x14ac:dyDescent="0.3">
      <c r="A407" t="s">
        <v>20</v>
      </c>
      <c r="B407" t="s">
        <v>50</v>
      </c>
      <c r="C407">
        <v>51.418599616692212</v>
      </c>
      <c r="D407">
        <v>2.1624384454318211</v>
      </c>
      <c r="E407">
        <v>2.5317170818654708</v>
      </c>
      <c r="F407">
        <v>8.7309545350684559</v>
      </c>
      <c r="G407">
        <v>6.5551965318229781</v>
      </c>
      <c r="H407">
        <v>21.482374078269391</v>
      </c>
      <c r="I407">
        <v>22.659809195536219</v>
      </c>
      <c r="J407">
        <v>19.603685190802839</v>
      </c>
      <c r="K407">
        <v>1685.654628930728</v>
      </c>
      <c r="L407">
        <v>1</v>
      </c>
      <c r="M407" t="s">
        <v>66</v>
      </c>
    </row>
    <row r="408" spans="1:13" x14ac:dyDescent="0.3">
      <c r="A408" t="s">
        <v>19</v>
      </c>
      <c r="B408" t="s">
        <v>45</v>
      </c>
      <c r="C408">
        <v>43.062020926587223</v>
      </c>
      <c r="D408">
        <v>2.3102066975065569</v>
      </c>
      <c r="E408">
        <v>2.7356691959362789</v>
      </c>
      <c r="F408">
        <v>6.5769738982748436</v>
      </c>
      <c r="G408">
        <v>6.1989314755425307</v>
      </c>
      <c r="H408">
        <v>31.138406409105158</v>
      </c>
      <c r="I408">
        <v>21.35042477059427</v>
      </c>
      <c r="J408">
        <v>26.922140526637939</v>
      </c>
      <c r="K408">
        <v>1409.391158855251</v>
      </c>
      <c r="L408">
        <v>1</v>
      </c>
      <c r="M408" t="s">
        <v>66</v>
      </c>
    </row>
    <row r="409" spans="1:13" x14ac:dyDescent="0.3">
      <c r="A409" t="s">
        <v>20</v>
      </c>
      <c r="B409" t="s">
        <v>51</v>
      </c>
      <c r="C409">
        <v>383.60824182133331</v>
      </c>
      <c r="D409">
        <v>18.4991385051134</v>
      </c>
      <c r="E409">
        <v>28.394748509134939</v>
      </c>
      <c r="F409">
        <v>60.989571459779562</v>
      </c>
      <c r="G409">
        <v>4.5596111826930699</v>
      </c>
      <c r="H409">
        <v>51.778463500486019</v>
      </c>
      <c r="I409">
        <v>19.752253741847522</v>
      </c>
      <c r="J409">
        <v>20.59082831509809</v>
      </c>
      <c r="K409">
        <v>1627.6764587431051</v>
      </c>
      <c r="L409">
        <v>1</v>
      </c>
      <c r="M409" t="s">
        <v>66</v>
      </c>
    </row>
    <row r="410" spans="1:13" x14ac:dyDescent="0.3">
      <c r="A410" t="s">
        <v>20</v>
      </c>
      <c r="B410" t="s">
        <v>49</v>
      </c>
      <c r="C410">
        <v>36.849918330648222</v>
      </c>
      <c r="D410">
        <v>0.97608024297611928</v>
      </c>
      <c r="E410">
        <v>2.0553484345613531</v>
      </c>
      <c r="F410">
        <v>5.5380381583923768</v>
      </c>
      <c r="G410">
        <v>6.2980082314861159</v>
      </c>
      <c r="H410">
        <v>16.653210874161442</v>
      </c>
      <c r="I410">
        <v>31.41280686482661</v>
      </c>
      <c r="J410">
        <v>25.326715604028099</v>
      </c>
      <c r="K410">
        <v>1170.1058285053059</v>
      </c>
      <c r="L410">
        <v>0</v>
      </c>
      <c r="M410" t="s">
        <v>66</v>
      </c>
    </row>
    <row r="411" spans="1:13" x14ac:dyDescent="0.3">
      <c r="A411" t="s">
        <v>24</v>
      </c>
      <c r="B411" t="s">
        <v>61</v>
      </c>
      <c r="C411">
        <v>128.76510026368831</v>
      </c>
      <c r="D411">
        <v>6.9308110436506922</v>
      </c>
      <c r="E411">
        <v>8.9824992242337061</v>
      </c>
      <c r="F411">
        <v>17.472197326640291</v>
      </c>
      <c r="G411">
        <v>6.4698211553478941</v>
      </c>
      <c r="H411">
        <v>21.007980249040632</v>
      </c>
      <c r="I411">
        <v>30.72017685785104</v>
      </c>
      <c r="J411">
        <v>30.991405342337899</v>
      </c>
      <c r="K411">
        <v>48.533001132403108</v>
      </c>
      <c r="L411">
        <v>-1</v>
      </c>
      <c r="M411" t="s">
        <v>66</v>
      </c>
    </row>
    <row r="412" spans="1:13" x14ac:dyDescent="0.3">
      <c r="A412" t="s">
        <v>19</v>
      </c>
      <c r="B412" t="s">
        <v>48</v>
      </c>
      <c r="C412">
        <v>99.231790128550358</v>
      </c>
      <c r="D412">
        <v>3.9434382320158492</v>
      </c>
      <c r="E412">
        <v>5.5549568626202026</v>
      </c>
      <c r="F412">
        <v>15.235582520331199</v>
      </c>
      <c r="G412">
        <v>5.8245495429380796</v>
      </c>
      <c r="H412">
        <v>34.470323039999677</v>
      </c>
      <c r="I412">
        <v>24.668091226650631</v>
      </c>
      <c r="J412">
        <v>24.405834627332979</v>
      </c>
      <c r="K412">
        <v>683.34616109983062</v>
      </c>
      <c r="L412">
        <v>1</v>
      </c>
      <c r="M412" t="s">
        <v>66</v>
      </c>
    </row>
    <row r="413" spans="1:13" x14ac:dyDescent="0.3">
      <c r="A413" t="s">
        <v>24</v>
      </c>
      <c r="B413" t="s">
        <v>60</v>
      </c>
      <c r="C413">
        <v>551.73992668043172</v>
      </c>
      <c r="D413">
        <v>26.843119830438191</v>
      </c>
      <c r="E413">
        <v>43.762131444800332</v>
      </c>
      <c r="F413">
        <v>78.075383566401953</v>
      </c>
      <c r="G413">
        <v>6.2581257087414057</v>
      </c>
      <c r="H413">
        <v>81.169587727139302</v>
      </c>
      <c r="I413">
        <v>32.639024363049252</v>
      </c>
      <c r="J413">
        <v>31.417055479015609</v>
      </c>
      <c r="K413">
        <v>11.21082912560041</v>
      </c>
      <c r="L413">
        <v>-1</v>
      </c>
      <c r="M413" t="s">
        <v>66</v>
      </c>
    </row>
    <row r="414" spans="1:13" x14ac:dyDescent="0.3">
      <c r="A414" t="s">
        <v>22</v>
      </c>
      <c r="B414" t="s">
        <v>53</v>
      </c>
      <c r="C414">
        <v>35.512561716501267</v>
      </c>
      <c r="D414">
        <v>1.1639934244207351</v>
      </c>
      <c r="E414">
        <v>2.2807960383746391</v>
      </c>
      <c r="F414">
        <v>4.2483999442098899</v>
      </c>
      <c r="G414">
        <v>6.1507835175900496</v>
      </c>
      <c r="H414">
        <v>22.803320805362869</v>
      </c>
      <c r="I414">
        <v>24.11868292187544</v>
      </c>
      <c r="J414">
        <v>20.747441514410959</v>
      </c>
      <c r="K414">
        <v>1221.2009388769579</v>
      </c>
      <c r="L414">
        <v>1</v>
      </c>
      <c r="M414" t="s">
        <v>66</v>
      </c>
    </row>
    <row r="415" spans="1:13" x14ac:dyDescent="0.3">
      <c r="A415" t="s">
        <v>20</v>
      </c>
      <c r="B415" t="s">
        <v>51</v>
      </c>
      <c r="C415">
        <v>264.63536202228619</v>
      </c>
      <c r="D415">
        <v>12.304177477673271</v>
      </c>
      <c r="E415">
        <v>17.04444363754045</v>
      </c>
      <c r="F415">
        <v>43.181584357684898</v>
      </c>
      <c r="G415">
        <v>5.2564871557841899</v>
      </c>
      <c r="H415">
        <v>30.200218308660709</v>
      </c>
      <c r="I415">
        <v>20.623316674066061</v>
      </c>
      <c r="J415">
        <v>19.94640207432618</v>
      </c>
      <c r="K415">
        <v>1556.2797015839569</v>
      </c>
      <c r="L415">
        <v>1</v>
      </c>
      <c r="M415" t="s">
        <v>66</v>
      </c>
    </row>
    <row r="416" spans="1:13" x14ac:dyDescent="0.3">
      <c r="A416" t="s">
        <v>19</v>
      </c>
      <c r="B416" t="s">
        <v>45</v>
      </c>
      <c r="C416">
        <v>56.051553977089647</v>
      </c>
      <c r="D416">
        <v>1.9124408345344259</v>
      </c>
      <c r="E416">
        <v>3.0616654830468502</v>
      </c>
      <c r="F416">
        <v>7.9458440685255836</v>
      </c>
      <c r="G416">
        <v>6.0102779840446319</v>
      </c>
      <c r="H416">
        <v>37.944665767816517</v>
      </c>
      <c r="I416">
        <v>26.525973003023282</v>
      </c>
      <c r="J416">
        <v>26.617942122157888</v>
      </c>
      <c r="K416">
        <v>1548.553057879335</v>
      </c>
      <c r="L416">
        <v>1</v>
      </c>
      <c r="M416" t="s">
        <v>66</v>
      </c>
    </row>
    <row r="417" spans="1:13" x14ac:dyDescent="0.3">
      <c r="A417" t="s">
        <v>18</v>
      </c>
      <c r="B417" t="s">
        <v>42</v>
      </c>
      <c r="C417">
        <v>6.7941462898324829</v>
      </c>
      <c r="D417">
        <v>0</v>
      </c>
      <c r="E417">
        <v>0</v>
      </c>
      <c r="F417">
        <v>-1.7763568394002501E-15</v>
      </c>
      <c r="G417">
        <v>5.8122342301541581</v>
      </c>
      <c r="H417">
        <v>21.672683514061191</v>
      </c>
      <c r="I417">
        <v>20.844769582729771</v>
      </c>
      <c r="J417">
        <v>25.93012698980715</v>
      </c>
      <c r="K417">
        <v>1871.7419035751259</v>
      </c>
      <c r="L417">
        <v>1</v>
      </c>
      <c r="M417" t="s">
        <v>66</v>
      </c>
    </row>
    <row r="418" spans="1:13" x14ac:dyDescent="0.3">
      <c r="A418" t="s">
        <v>25</v>
      </c>
      <c r="B418" t="s">
        <v>62</v>
      </c>
      <c r="C418">
        <v>267.34641368318307</v>
      </c>
      <c r="D418">
        <v>18.148289274702879</v>
      </c>
      <c r="E418">
        <v>28.112610705890891</v>
      </c>
      <c r="F418">
        <v>56.790940391744627</v>
      </c>
      <c r="G418">
        <v>4.4732318854470989</v>
      </c>
      <c r="H418">
        <v>75.303968587655334</v>
      </c>
      <c r="I418">
        <v>30.90314528355518</v>
      </c>
      <c r="J418">
        <v>24.21540684934325</v>
      </c>
      <c r="K418">
        <v>738.34002894775256</v>
      </c>
      <c r="L418">
        <v>0</v>
      </c>
      <c r="M418" t="s">
        <v>66</v>
      </c>
    </row>
    <row r="419" spans="1:13" x14ac:dyDescent="0.3">
      <c r="A419" t="s">
        <v>19</v>
      </c>
      <c r="B419" t="s">
        <v>44</v>
      </c>
      <c r="C419">
        <v>40.942831797395733</v>
      </c>
      <c r="D419">
        <v>0.9042843291339695</v>
      </c>
      <c r="E419">
        <v>1.9081715381808759</v>
      </c>
      <c r="F419">
        <v>5.5809144307574439</v>
      </c>
      <c r="G419">
        <v>5.9605483780032298</v>
      </c>
      <c r="H419">
        <v>24.445231441594181</v>
      </c>
      <c r="I419">
        <v>20.97087390178223</v>
      </c>
      <c r="J419">
        <v>18.85111925503805</v>
      </c>
      <c r="K419">
        <v>1925.976625138848</v>
      </c>
      <c r="L419">
        <v>1</v>
      </c>
      <c r="M419" t="s">
        <v>66</v>
      </c>
    </row>
    <row r="420" spans="1:13" x14ac:dyDescent="0.3">
      <c r="A420" t="s">
        <v>16</v>
      </c>
      <c r="B420" t="s">
        <v>38</v>
      </c>
      <c r="C420">
        <v>960</v>
      </c>
      <c r="D420">
        <v>47</v>
      </c>
      <c r="E420">
        <v>63.403271750134309</v>
      </c>
      <c r="F420">
        <v>153</v>
      </c>
      <c r="G420">
        <v>5.0754833390433101</v>
      </c>
      <c r="H420">
        <v>26.945259189890219</v>
      </c>
      <c r="I420">
        <v>18.227045367112972</v>
      </c>
      <c r="J420">
        <v>21.67428876051326</v>
      </c>
      <c r="K420">
        <v>1462.953978015011</v>
      </c>
      <c r="L420">
        <v>1</v>
      </c>
      <c r="M420" t="s">
        <v>66</v>
      </c>
    </row>
    <row r="421" spans="1:13" x14ac:dyDescent="0.3">
      <c r="A421" t="s">
        <v>24</v>
      </c>
      <c r="B421" t="s">
        <v>58</v>
      </c>
      <c r="C421">
        <v>28.035722431495358</v>
      </c>
      <c r="D421">
        <v>1.007574762237466</v>
      </c>
      <c r="E421">
        <v>2.302380186941972</v>
      </c>
      <c r="F421">
        <v>4.00813557773985</v>
      </c>
      <c r="G421">
        <v>6.9252739094442264</v>
      </c>
      <c r="H421">
        <v>32.437035891127877</v>
      </c>
      <c r="I421">
        <v>23.678636090621239</v>
      </c>
      <c r="J421">
        <v>22.869870029746021</v>
      </c>
      <c r="K421">
        <v>707.89814957152146</v>
      </c>
      <c r="L421">
        <v>0</v>
      </c>
      <c r="M421" t="s">
        <v>66</v>
      </c>
    </row>
    <row r="422" spans="1:13" x14ac:dyDescent="0.3">
      <c r="A422" t="s">
        <v>15</v>
      </c>
      <c r="B422" t="s">
        <v>34</v>
      </c>
      <c r="C422">
        <v>28.54582541166458</v>
      </c>
      <c r="D422">
        <v>1.078177232896963</v>
      </c>
      <c r="E422">
        <v>2.1467357791509269</v>
      </c>
      <c r="F422">
        <v>3.5194282432584711</v>
      </c>
      <c r="G422">
        <v>6.3623295775482616</v>
      </c>
      <c r="H422">
        <v>21.27720269242851</v>
      </c>
      <c r="I422">
        <v>17.34434374076762</v>
      </c>
      <c r="J422">
        <v>27.38150061010246</v>
      </c>
      <c r="K422">
        <v>1654.99217471355</v>
      </c>
      <c r="L422">
        <v>1</v>
      </c>
      <c r="M422" t="s">
        <v>66</v>
      </c>
    </row>
    <row r="423" spans="1:13" x14ac:dyDescent="0.3">
      <c r="A423" t="s">
        <v>18</v>
      </c>
      <c r="B423" t="s">
        <v>41</v>
      </c>
      <c r="C423">
        <v>51.369214662050886</v>
      </c>
      <c r="D423">
        <v>2.2150028231712589</v>
      </c>
      <c r="E423">
        <v>2.6601636528578112</v>
      </c>
      <c r="F423">
        <v>8.8544803119478885</v>
      </c>
      <c r="G423">
        <v>5.7185538571994252</v>
      </c>
      <c r="H423">
        <v>31.041657170719599</v>
      </c>
      <c r="I423">
        <v>18.614769149589041</v>
      </c>
      <c r="J423">
        <v>20.753963587335559</v>
      </c>
      <c r="K423">
        <v>1793.413447611322</v>
      </c>
      <c r="L423">
        <v>1</v>
      </c>
      <c r="M423" t="s">
        <v>66</v>
      </c>
    </row>
    <row r="424" spans="1:13" x14ac:dyDescent="0.3">
      <c r="A424" t="s">
        <v>24</v>
      </c>
      <c r="B424" t="s">
        <v>61</v>
      </c>
      <c r="C424">
        <v>692.76018462439299</v>
      </c>
      <c r="D424">
        <v>32.448457202439627</v>
      </c>
      <c r="E424">
        <v>49.581066398765643</v>
      </c>
      <c r="F424">
        <v>87.950010776852508</v>
      </c>
      <c r="G424">
        <v>5.9812019765993911</v>
      </c>
      <c r="H424">
        <v>64.926969902427402</v>
      </c>
      <c r="I424">
        <v>30.861753212132449</v>
      </c>
      <c r="J424">
        <v>30.808790396030179</v>
      </c>
      <c r="K424">
        <v>11</v>
      </c>
      <c r="L424">
        <v>-1</v>
      </c>
      <c r="M424" t="s">
        <v>66</v>
      </c>
    </row>
    <row r="425" spans="1:13" x14ac:dyDescent="0.3">
      <c r="A425" t="s">
        <v>22</v>
      </c>
      <c r="B425" t="s">
        <v>53</v>
      </c>
      <c r="C425">
        <v>33.718247134325033</v>
      </c>
      <c r="D425">
        <v>0.88829703930001047</v>
      </c>
      <c r="E425">
        <v>1.8387121068565799</v>
      </c>
      <c r="F425">
        <v>4.7756155374103617</v>
      </c>
      <c r="G425">
        <v>6.1311762562948804</v>
      </c>
      <c r="H425">
        <v>21.466848182567979</v>
      </c>
      <c r="I425">
        <v>24.71977093672584</v>
      </c>
      <c r="J425">
        <v>20.364296357338809</v>
      </c>
      <c r="K425">
        <v>1287.034816541191</v>
      </c>
      <c r="L425">
        <v>1</v>
      </c>
      <c r="M425" t="s">
        <v>66</v>
      </c>
    </row>
    <row r="426" spans="1:13" x14ac:dyDescent="0.3">
      <c r="A426" t="s">
        <v>24</v>
      </c>
      <c r="B426" t="s">
        <v>57</v>
      </c>
      <c r="C426">
        <v>11.826832334598119</v>
      </c>
      <c r="D426">
        <v>0</v>
      </c>
      <c r="E426">
        <v>0</v>
      </c>
      <c r="F426">
        <v>0.96331244359321389</v>
      </c>
      <c r="G426">
        <v>6.4404612938854902</v>
      </c>
      <c r="H426">
        <v>14.802740642025849</v>
      </c>
      <c r="I426">
        <v>21.467942413125439</v>
      </c>
      <c r="J426">
        <v>20.658983736673981</v>
      </c>
      <c r="K426">
        <v>1562.639515509863</v>
      </c>
      <c r="L426">
        <v>1</v>
      </c>
      <c r="M426" t="s">
        <v>66</v>
      </c>
    </row>
    <row r="427" spans="1:13" x14ac:dyDescent="0.3">
      <c r="A427" t="s">
        <v>23</v>
      </c>
      <c r="B427" t="s">
        <v>56</v>
      </c>
      <c r="C427">
        <v>73.86467774376311</v>
      </c>
      <c r="D427">
        <v>2.5380112843755591</v>
      </c>
      <c r="E427">
        <v>4.2696994369691019</v>
      </c>
      <c r="F427">
        <v>11.25896865354478</v>
      </c>
      <c r="G427">
        <v>6.2554097803740616</v>
      </c>
      <c r="H427">
        <v>16.02972447737962</v>
      </c>
      <c r="I427">
        <v>19.32533981606052</v>
      </c>
      <c r="J427">
        <v>19.45526925574103</v>
      </c>
      <c r="K427">
        <v>1611.9911835222961</v>
      </c>
      <c r="L427">
        <v>1</v>
      </c>
      <c r="M427" t="s">
        <v>66</v>
      </c>
    </row>
    <row r="428" spans="1:13" x14ac:dyDescent="0.3">
      <c r="A428" t="s">
        <v>24</v>
      </c>
      <c r="B428" t="s">
        <v>59</v>
      </c>
      <c r="C428">
        <v>357.12765693661419</v>
      </c>
      <c r="D428">
        <v>17.69038979214691</v>
      </c>
      <c r="E428">
        <v>28.680761412550179</v>
      </c>
      <c r="F428">
        <v>57.834646191930347</v>
      </c>
      <c r="G428">
        <v>5.2565585523384257</v>
      </c>
      <c r="H428">
        <v>75.216818880217303</v>
      </c>
      <c r="I428">
        <v>31.645158443023419</v>
      </c>
      <c r="J428">
        <v>29.9703668398517</v>
      </c>
      <c r="K428">
        <v>11</v>
      </c>
      <c r="L428">
        <v>-1</v>
      </c>
      <c r="M428" t="s">
        <v>66</v>
      </c>
    </row>
    <row r="429" spans="1:13" x14ac:dyDescent="0.3">
      <c r="A429" t="s">
        <v>22</v>
      </c>
      <c r="B429" t="s">
        <v>53</v>
      </c>
      <c r="C429">
        <v>35.704920426176137</v>
      </c>
      <c r="D429">
        <v>1.032367164676995</v>
      </c>
      <c r="E429">
        <v>2.4329457637962322</v>
      </c>
      <c r="F429">
        <v>4.6014945218119827</v>
      </c>
      <c r="G429">
        <v>6.326870410788703</v>
      </c>
      <c r="H429">
        <v>20.616018307702561</v>
      </c>
      <c r="I429">
        <v>25.05181606141922</v>
      </c>
      <c r="J429">
        <v>20.438748612961291</v>
      </c>
      <c r="K429">
        <v>1287.319858409003</v>
      </c>
      <c r="L429">
        <v>1</v>
      </c>
      <c r="M429" t="s">
        <v>66</v>
      </c>
    </row>
    <row r="430" spans="1:13" x14ac:dyDescent="0.3">
      <c r="A430" t="s">
        <v>16</v>
      </c>
      <c r="B430" t="s">
        <v>38</v>
      </c>
      <c r="C430">
        <v>960</v>
      </c>
      <c r="D430">
        <v>42.392097951126651</v>
      </c>
      <c r="E430">
        <v>66.260211836925521</v>
      </c>
      <c r="F430">
        <v>153</v>
      </c>
      <c r="G430">
        <v>5.2234547711217179</v>
      </c>
      <c r="H430">
        <v>27.19918877362991</v>
      </c>
      <c r="I430">
        <v>20.385394309767289</v>
      </c>
      <c r="J430">
        <v>22.75757969971081</v>
      </c>
      <c r="K430">
        <v>1482.594413975821</v>
      </c>
      <c r="L430">
        <v>1</v>
      </c>
      <c r="M430" t="s">
        <v>66</v>
      </c>
    </row>
    <row r="431" spans="1:13" x14ac:dyDescent="0.3">
      <c r="A431" t="s">
        <v>21</v>
      </c>
      <c r="B431" t="s">
        <v>52</v>
      </c>
      <c r="C431">
        <v>70.105633036337068</v>
      </c>
      <c r="D431">
        <v>3.0365053536555759</v>
      </c>
      <c r="E431">
        <v>3.5513933888833802</v>
      </c>
      <c r="F431">
        <v>8.0053525334624815</v>
      </c>
      <c r="G431">
        <v>5.7425348643566672</v>
      </c>
      <c r="H431">
        <v>30.173705325455291</v>
      </c>
      <c r="I431">
        <v>19.155238359094799</v>
      </c>
      <c r="J431">
        <v>19.898825989120091</v>
      </c>
      <c r="K431">
        <v>1476.8521978739909</v>
      </c>
      <c r="L431">
        <v>1</v>
      </c>
      <c r="M431" t="s">
        <v>66</v>
      </c>
    </row>
    <row r="432" spans="1:13" x14ac:dyDescent="0.3">
      <c r="A432" t="s">
        <v>21</v>
      </c>
      <c r="B432" t="s">
        <v>52</v>
      </c>
      <c r="C432">
        <v>22.658934454423871</v>
      </c>
      <c r="D432">
        <v>1.041304189850728</v>
      </c>
      <c r="E432">
        <v>0.97262355599539774</v>
      </c>
      <c r="F432">
        <v>2.542467037697298</v>
      </c>
      <c r="G432">
        <v>6.1810061353898327</v>
      </c>
      <c r="H432">
        <v>23.27326380361562</v>
      </c>
      <c r="I432">
        <v>25.922775007047111</v>
      </c>
      <c r="J432">
        <v>22.09367306427546</v>
      </c>
      <c r="K432">
        <v>1207.855735196817</v>
      </c>
      <c r="L432">
        <v>1</v>
      </c>
      <c r="M432" t="s">
        <v>66</v>
      </c>
    </row>
    <row r="433" spans="1:13" x14ac:dyDescent="0.3">
      <c r="A433" t="s">
        <v>15</v>
      </c>
      <c r="B433" t="s">
        <v>34</v>
      </c>
      <c r="C433">
        <v>114.9619109826621</v>
      </c>
      <c r="D433">
        <v>5.4199856968220894</v>
      </c>
      <c r="E433">
        <v>6.0322701612129794</v>
      </c>
      <c r="F433">
        <v>18.29905077044172</v>
      </c>
      <c r="G433">
        <v>5.7659422107034359</v>
      </c>
      <c r="H433">
        <v>42.914965621227282</v>
      </c>
      <c r="I433">
        <v>16.836487263887431</v>
      </c>
      <c r="J433">
        <v>27.842542314851741</v>
      </c>
      <c r="K433">
        <v>1644.398353989274</v>
      </c>
      <c r="L433">
        <v>1</v>
      </c>
      <c r="M433" t="s">
        <v>66</v>
      </c>
    </row>
    <row r="434" spans="1:13" x14ac:dyDescent="0.3">
      <c r="A434" t="s">
        <v>25</v>
      </c>
      <c r="B434" t="s">
        <v>62</v>
      </c>
      <c r="C434">
        <v>25.556415831178811</v>
      </c>
      <c r="D434">
        <v>0.96950705020680283</v>
      </c>
      <c r="E434">
        <v>1.050514578230594</v>
      </c>
      <c r="F434">
        <v>3.17981637930338</v>
      </c>
      <c r="G434">
        <v>6.297291838441474</v>
      </c>
      <c r="H434">
        <v>66.187871921341284</v>
      </c>
      <c r="I434">
        <v>20.55313806800352</v>
      </c>
      <c r="J434">
        <v>25.339736108628092</v>
      </c>
      <c r="K434">
        <v>1199.5268347888789</v>
      </c>
      <c r="L434">
        <v>0</v>
      </c>
      <c r="M434" t="s">
        <v>66</v>
      </c>
    </row>
    <row r="435" spans="1:13" x14ac:dyDescent="0.3">
      <c r="A435" t="s">
        <v>17</v>
      </c>
      <c r="B435" t="s">
        <v>39</v>
      </c>
      <c r="C435">
        <v>28.50805297386982</v>
      </c>
      <c r="D435">
        <v>0.91288124136140736</v>
      </c>
      <c r="E435">
        <v>1.131735511642711</v>
      </c>
      <c r="F435">
        <v>4.8970247459475544</v>
      </c>
      <c r="G435">
        <v>5.9183355753491309</v>
      </c>
      <c r="H435">
        <v>19.897534371970881</v>
      </c>
      <c r="I435">
        <v>20.121918120473019</v>
      </c>
      <c r="J435">
        <v>26.944396168303641</v>
      </c>
      <c r="K435">
        <v>2164.1264618687769</v>
      </c>
      <c r="L435">
        <v>1</v>
      </c>
      <c r="M435" t="s">
        <v>66</v>
      </c>
    </row>
    <row r="436" spans="1:13" x14ac:dyDescent="0.3">
      <c r="A436" t="s">
        <v>20</v>
      </c>
      <c r="B436" t="s">
        <v>51</v>
      </c>
      <c r="C436">
        <v>43.197063918030352</v>
      </c>
      <c r="D436">
        <v>2.0748043088299402</v>
      </c>
      <c r="E436">
        <v>3.4331117628935739</v>
      </c>
      <c r="F436">
        <v>6.4966063258591511</v>
      </c>
      <c r="G436">
        <v>6.0171105604436939</v>
      </c>
      <c r="H436">
        <v>23.160123960446079</v>
      </c>
      <c r="I436">
        <v>21.22074719902513</v>
      </c>
      <c r="J436">
        <v>21.946583024745209</v>
      </c>
      <c r="K436">
        <v>1550.603366068483</v>
      </c>
      <c r="L436">
        <v>1</v>
      </c>
      <c r="M436" t="s">
        <v>66</v>
      </c>
    </row>
    <row r="437" spans="1:13" x14ac:dyDescent="0.3">
      <c r="A437" t="s">
        <v>18</v>
      </c>
      <c r="B437" t="s">
        <v>42</v>
      </c>
      <c r="C437">
        <v>50.853504840104833</v>
      </c>
      <c r="D437">
        <v>1.8212115053603379</v>
      </c>
      <c r="E437">
        <v>2.9796634362212342</v>
      </c>
      <c r="F437">
        <v>7.3364633067185849</v>
      </c>
      <c r="G437">
        <v>5.4084539557937914</v>
      </c>
      <c r="H437">
        <v>18.62810705200776</v>
      </c>
      <c r="I437">
        <v>22.92722496922331</v>
      </c>
      <c r="J437">
        <v>26.891803365007121</v>
      </c>
      <c r="K437">
        <v>1543.757791487667</v>
      </c>
      <c r="L437">
        <v>1</v>
      </c>
      <c r="M437" t="s">
        <v>66</v>
      </c>
    </row>
    <row r="438" spans="1:13" x14ac:dyDescent="0.3">
      <c r="A438" t="s">
        <v>15</v>
      </c>
      <c r="B438" t="s">
        <v>33</v>
      </c>
      <c r="C438">
        <v>39.555278172088258</v>
      </c>
      <c r="D438">
        <v>1.853632484921516</v>
      </c>
      <c r="E438">
        <v>2.140172396219393</v>
      </c>
      <c r="F438">
        <v>7.3557692689108851</v>
      </c>
      <c r="G438">
        <v>5.9828237102142996</v>
      </c>
      <c r="H438">
        <v>39.585562139639308</v>
      </c>
      <c r="I438">
        <v>21.43721023443371</v>
      </c>
      <c r="J438">
        <v>18.061167651953991</v>
      </c>
      <c r="K438">
        <v>1895.5069592250461</v>
      </c>
      <c r="L438">
        <v>1</v>
      </c>
      <c r="M438" t="s">
        <v>66</v>
      </c>
    </row>
    <row r="439" spans="1:13" x14ac:dyDescent="0.3">
      <c r="A439" t="s">
        <v>16</v>
      </c>
      <c r="B439" t="s">
        <v>36</v>
      </c>
      <c r="C439">
        <v>15.830396973914491</v>
      </c>
      <c r="D439">
        <v>0</v>
      </c>
      <c r="E439">
        <v>0.86679222384092292</v>
      </c>
      <c r="F439">
        <v>2.008669855050583</v>
      </c>
      <c r="G439">
        <v>5.5075382343358834</v>
      </c>
      <c r="H439">
        <v>28.908515704777059</v>
      </c>
      <c r="I439">
        <v>22.403400252125941</v>
      </c>
      <c r="J439">
        <v>25.37905490001917</v>
      </c>
      <c r="K439">
        <v>1952.6982520246579</v>
      </c>
      <c r="L439">
        <v>1</v>
      </c>
      <c r="M439" t="s">
        <v>66</v>
      </c>
    </row>
    <row r="440" spans="1:13" x14ac:dyDescent="0.3">
      <c r="A440" t="s">
        <v>16</v>
      </c>
      <c r="B440" t="s">
        <v>36</v>
      </c>
      <c r="C440">
        <v>16.290897923109512</v>
      </c>
      <c r="D440">
        <v>0</v>
      </c>
      <c r="E440">
        <v>1.0492795476734409</v>
      </c>
      <c r="F440">
        <v>2.1023030524894608</v>
      </c>
      <c r="G440">
        <v>5.4481628889761682</v>
      </c>
      <c r="H440">
        <v>26.732588357823701</v>
      </c>
      <c r="I440">
        <v>25.223803258917862</v>
      </c>
      <c r="J440">
        <v>26.422195623357659</v>
      </c>
      <c r="K440">
        <v>2006.0808107224991</v>
      </c>
      <c r="L440">
        <v>1</v>
      </c>
      <c r="M440" t="s">
        <v>66</v>
      </c>
    </row>
    <row r="441" spans="1:13" x14ac:dyDescent="0.3">
      <c r="A441" t="s">
        <v>15</v>
      </c>
      <c r="B441" t="s">
        <v>34</v>
      </c>
      <c r="C441">
        <v>27.50735409882698</v>
      </c>
      <c r="D441">
        <v>0.92896851885253717</v>
      </c>
      <c r="E441">
        <v>1.6609828518173859</v>
      </c>
      <c r="F441">
        <v>3.8779871412453351</v>
      </c>
      <c r="G441">
        <v>6.4208637529767536</v>
      </c>
      <c r="H441">
        <v>23.969232776872921</v>
      </c>
      <c r="I441">
        <v>16.97306663608423</v>
      </c>
      <c r="J441">
        <v>26.082547527502999</v>
      </c>
      <c r="K441">
        <v>1693.943585511005</v>
      </c>
      <c r="L441">
        <v>1</v>
      </c>
      <c r="M441" t="s">
        <v>66</v>
      </c>
    </row>
    <row r="442" spans="1:13" x14ac:dyDescent="0.3">
      <c r="A442" t="s">
        <v>16</v>
      </c>
      <c r="B442" t="s">
        <v>36</v>
      </c>
      <c r="C442">
        <v>9.7640659598548751</v>
      </c>
      <c r="D442">
        <v>0</v>
      </c>
      <c r="E442">
        <v>0</v>
      </c>
      <c r="F442">
        <v>1.099563179710989</v>
      </c>
      <c r="G442">
        <v>6.1657026484098711</v>
      </c>
      <c r="H442">
        <v>29.36234463884108</v>
      </c>
      <c r="I442">
        <v>16.381649653513431</v>
      </c>
      <c r="J442">
        <v>22.703974607564611</v>
      </c>
      <c r="K442">
        <v>1520.5320807448461</v>
      </c>
      <c r="L442">
        <v>1</v>
      </c>
      <c r="M442" t="s">
        <v>66</v>
      </c>
    </row>
    <row r="443" spans="1:13" x14ac:dyDescent="0.3">
      <c r="A443" t="s">
        <v>19</v>
      </c>
      <c r="B443" t="s">
        <v>48</v>
      </c>
      <c r="C443">
        <v>44.548675581291263</v>
      </c>
      <c r="D443">
        <v>1.7742183990614151</v>
      </c>
      <c r="E443">
        <v>1.810784918947379</v>
      </c>
      <c r="F443">
        <v>5.0473856991575534</v>
      </c>
      <c r="G443">
        <v>6.3403815115141207</v>
      </c>
      <c r="H443">
        <v>17.72699274227087</v>
      </c>
      <c r="I443">
        <v>32.065771680336738</v>
      </c>
      <c r="J443">
        <v>26.46809570516907</v>
      </c>
      <c r="K443">
        <v>1145.1412371705769</v>
      </c>
      <c r="L443">
        <v>0</v>
      </c>
      <c r="M443" t="s">
        <v>66</v>
      </c>
    </row>
    <row r="444" spans="1:13" x14ac:dyDescent="0.3">
      <c r="A444" t="s">
        <v>16</v>
      </c>
      <c r="B444" t="s">
        <v>36</v>
      </c>
      <c r="C444">
        <v>51.089797168897221</v>
      </c>
      <c r="D444">
        <v>2.134194074424836</v>
      </c>
      <c r="E444">
        <v>2.6872190162925431</v>
      </c>
      <c r="F444">
        <v>7.427781993135282</v>
      </c>
      <c r="G444">
        <v>5.0378762477776933</v>
      </c>
      <c r="H444">
        <v>33.992693464050546</v>
      </c>
      <c r="I444">
        <v>24.448930383708522</v>
      </c>
      <c r="J444">
        <v>28.17738840442658</v>
      </c>
      <c r="K444">
        <v>2001.281031688181</v>
      </c>
      <c r="L444">
        <v>1</v>
      </c>
      <c r="M444" t="s">
        <v>66</v>
      </c>
    </row>
    <row r="445" spans="1:13" x14ac:dyDescent="0.3">
      <c r="A445" t="s">
        <v>20</v>
      </c>
      <c r="B445" t="s">
        <v>51</v>
      </c>
      <c r="C445">
        <v>269.4247543570757</v>
      </c>
      <c r="D445">
        <v>12.94353795810634</v>
      </c>
      <c r="E445">
        <v>17.957475360376041</v>
      </c>
      <c r="F445">
        <v>40.712918728563373</v>
      </c>
      <c r="G445">
        <v>4.9920738822244646</v>
      </c>
      <c r="H445">
        <v>27.83621117316429</v>
      </c>
      <c r="I445">
        <v>21.379302852192382</v>
      </c>
      <c r="J445">
        <v>18.634325299690278</v>
      </c>
      <c r="K445">
        <v>1572.362805059548</v>
      </c>
      <c r="L445">
        <v>1</v>
      </c>
      <c r="M445" t="s">
        <v>66</v>
      </c>
    </row>
    <row r="446" spans="1:13" x14ac:dyDescent="0.3">
      <c r="A446" t="s">
        <v>18</v>
      </c>
      <c r="B446" t="s">
        <v>43</v>
      </c>
      <c r="C446">
        <v>30.005115359450901</v>
      </c>
      <c r="D446">
        <v>1.004732197174985</v>
      </c>
      <c r="E446">
        <v>2.114194402333585</v>
      </c>
      <c r="F446">
        <v>3.4818186733624401</v>
      </c>
      <c r="G446">
        <v>5.691013521807343</v>
      </c>
      <c r="H446">
        <v>30.72456055136999</v>
      </c>
      <c r="I446">
        <v>26.842450059168499</v>
      </c>
      <c r="J446">
        <v>18.62133743807167</v>
      </c>
      <c r="K446">
        <v>1838.388698529699</v>
      </c>
      <c r="L446">
        <v>1</v>
      </c>
      <c r="M446" t="s">
        <v>66</v>
      </c>
    </row>
    <row r="447" spans="1:13" x14ac:dyDescent="0.3">
      <c r="A447" t="s">
        <v>18</v>
      </c>
      <c r="B447" t="s">
        <v>41</v>
      </c>
      <c r="C447">
        <v>49.484083238079577</v>
      </c>
      <c r="D447">
        <v>2.3020275094806051</v>
      </c>
      <c r="E447">
        <v>2.4514047513945649</v>
      </c>
      <c r="F447">
        <v>8.7825760852651644</v>
      </c>
      <c r="G447">
        <v>5.9955545143924196</v>
      </c>
      <c r="H447">
        <v>33.360960885068309</v>
      </c>
      <c r="I447">
        <v>19.88510649078815</v>
      </c>
      <c r="J447">
        <v>20.975361833673489</v>
      </c>
      <c r="K447">
        <v>1784.013865565174</v>
      </c>
      <c r="L447">
        <v>1</v>
      </c>
      <c r="M447" t="s">
        <v>66</v>
      </c>
    </row>
    <row r="448" spans="1:13" x14ac:dyDescent="0.3">
      <c r="A448" t="s">
        <v>24</v>
      </c>
      <c r="B448" t="s">
        <v>60</v>
      </c>
      <c r="C448">
        <v>533.45938743310023</v>
      </c>
      <c r="D448">
        <v>25.756651137703091</v>
      </c>
      <c r="E448">
        <v>42.069258214069052</v>
      </c>
      <c r="F448">
        <v>94.67612637121664</v>
      </c>
      <c r="G448">
        <v>5.3606249586483017</v>
      </c>
      <c r="H448">
        <v>64.302749643050376</v>
      </c>
      <c r="I448">
        <v>32.169945273637843</v>
      </c>
      <c r="J448">
        <v>30.17162810780399</v>
      </c>
      <c r="K448">
        <v>11</v>
      </c>
      <c r="L448">
        <v>-1</v>
      </c>
      <c r="M448" t="s">
        <v>66</v>
      </c>
    </row>
    <row r="449" spans="1:13" x14ac:dyDescent="0.3">
      <c r="A449" t="s">
        <v>15</v>
      </c>
      <c r="B449" t="s">
        <v>31</v>
      </c>
      <c r="C449">
        <v>23.004958415482019</v>
      </c>
      <c r="D449">
        <v>0.96198877895489643</v>
      </c>
      <c r="E449">
        <v>0.93840058560879402</v>
      </c>
      <c r="F449">
        <v>2.960657367670287</v>
      </c>
      <c r="G449">
        <v>6.4027408266049148</v>
      </c>
      <c r="H449">
        <v>35.014870541057512</v>
      </c>
      <c r="I449">
        <v>25.058932251599401</v>
      </c>
      <c r="J449">
        <v>20.18578961472436</v>
      </c>
      <c r="K449">
        <v>1606.4730722237839</v>
      </c>
      <c r="L449">
        <v>1</v>
      </c>
      <c r="M449" t="s">
        <v>66</v>
      </c>
    </row>
    <row r="450" spans="1:13" x14ac:dyDescent="0.3">
      <c r="A450" t="s">
        <v>17</v>
      </c>
      <c r="B450" t="s">
        <v>39</v>
      </c>
      <c r="C450">
        <v>707.24764404399059</v>
      </c>
      <c r="D450">
        <v>38.619760530092577</v>
      </c>
      <c r="E450">
        <v>61.144338373813802</v>
      </c>
      <c r="F450">
        <v>137.00497143103919</v>
      </c>
      <c r="G450">
        <v>5.608258549370599</v>
      </c>
      <c r="H450">
        <v>44.836143381337394</v>
      </c>
      <c r="I450">
        <v>18.70184362322945</v>
      </c>
      <c r="J450">
        <v>21.904500289311311</v>
      </c>
      <c r="K450">
        <v>1514.1192898264919</v>
      </c>
      <c r="L450">
        <v>1</v>
      </c>
      <c r="M450" t="s">
        <v>66</v>
      </c>
    </row>
    <row r="451" spans="1:13" x14ac:dyDescent="0.3">
      <c r="A451" t="s">
        <v>18</v>
      </c>
      <c r="B451" t="s">
        <v>42</v>
      </c>
      <c r="C451">
        <v>70.065567646387606</v>
      </c>
      <c r="D451">
        <v>2.8379718451075839</v>
      </c>
      <c r="E451">
        <v>3.71163276013601</v>
      </c>
      <c r="F451">
        <v>10.678288769920551</v>
      </c>
      <c r="G451">
        <v>5.8467503539094086</v>
      </c>
      <c r="H451">
        <v>39.247206083831557</v>
      </c>
      <c r="I451">
        <v>19.951875599159461</v>
      </c>
      <c r="J451">
        <v>20.982105247839009</v>
      </c>
      <c r="K451">
        <v>1760.3916624178451</v>
      </c>
      <c r="L451">
        <v>1</v>
      </c>
      <c r="M451" t="s">
        <v>66</v>
      </c>
    </row>
    <row r="452" spans="1:13" x14ac:dyDescent="0.3">
      <c r="A452" t="s">
        <v>15</v>
      </c>
      <c r="B452" t="s">
        <v>34</v>
      </c>
      <c r="C452">
        <v>113.0588736930511</v>
      </c>
      <c r="D452">
        <v>5.1180701248110063</v>
      </c>
      <c r="E452">
        <v>5.7023178674482704</v>
      </c>
      <c r="F452">
        <v>18.24358766762024</v>
      </c>
      <c r="G452">
        <v>5.967871382093171</v>
      </c>
      <c r="H452">
        <v>43.024243106574289</v>
      </c>
      <c r="I452">
        <v>24.191600742439931</v>
      </c>
      <c r="J452">
        <v>18.878446209049219</v>
      </c>
      <c r="K452">
        <v>2076.649121490073</v>
      </c>
      <c r="L452">
        <v>1</v>
      </c>
      <c r="M452" t="s">
        <v>66</v>
      </c>
    </row>
    <row r="453" spans="1:13" x14ac:dyDescent="0.3">
      <c r="A453" t="s">
        <v>25</v>
      </c>
      <c r="B453" t="s">
        <v>62</v>
      </c>
      <c r="C453">
        <v>23.860314815419301</v>
      </c>
      <c r="D453">
        <v>0.86289221618810164</v>
      </c>
      <c r="E453">
        <v>0.95390825237846322</v>
      </c>
      <c r="F453">
        <v>2.740902514973595</v>
      </c>
      <c r="G453">
        <v>6.2090650966365626</v>
      </c>
      <c r="H453">
        <v>60.780398783858153</v>
      </c>
      <c r="I453">
        <v>20.062029393813351</v>
      </c>
      <c r="J453">
        <v>23.799170983214569</v>
      </c>
      <c r="K453">
        <v>1212.2792485113571</v>
      </c>
      <c r="L453">
        <v>0</v>
      </c>
      <c r="M453" t="s">
        <v>66</v>
      </c>
    </row>
    <row r="454" spans="1:13" x14ac:dyDescent="0.3">
      <c r="A454" t="s">
        <v>18</v>
      </c>
      <c r="B454" t="s">
        <v>40</v>
      </c>
      <c r="C454">
        <v>125.24623962056729</v>
      </c>
      <c r="D454">
        <v>6.1943981538754409</v>
      </c>
      <c r="E454">
        <v>8.9342452295248833</v>
      </c>
      <c r="F454">
        <v>22.118046616321791</v>
      </c>
      <c r="G454">
        <v>4.988419758385799</v>
      </c>
      <c r="H454">
        <v>55.421751007519902</v>
      </c>
      <c r="I454">
        <v>20.254306937000809</v>
      </c>
      <c r="J454">
        <v>20.75511023483946</v>
      </c>
      <c r="K454">
        <v>1631.030166365917</v>
      </c>
      <c r="L454">
        <v>1</v>
      </c>
      <c r="M454" t="s">
        <v>66</v>
      </c>
    </row>
    <row r="455" spans="1:13" x14ac:dyDescent="0.3">
      <c r="A455" t="s">
        <v>21</v>
      </c>
      <c r="B455" t="s">
        <v>52</v>
      </c>
      <c r="C455">
        <v>143.42764696892601</v>
      </c>
      <c r="D455">
        <v>5.8954973442581862</v>
      </c>
      <c r="E455">
        <v>9.7034887690446396</v>
      </c>
      <c r="F455">
        <v>22.869608969926819</v>
      </c>
      <c r="G455">
        <v>5.579361090984186</v>
      </c>
      <c r="H455">
        <v>56.145450822957081</v>
      </c>
      <c r="I455">
        <v>27.074520782522519</v>
      </c>
      <c r="J455">
        <v>24.204131169809539</v>
      </c>
      <c r="K455">
        <v>765.67092106875634</v>
      </c>
      <c r="L455">
        <v>0</v>
      </c>
      <c r="M455" t="s">
        <v>66</v>
      </c>
    </row>
    <row r="456" spans="1:13" x14ac:dyDescent="0.3">
      <c r="A456" t="s">
        <v>15</v>
      </c>
      <c r="B456" t="s">
        <v>32</v>
      </c>
      <c r="C456">
        <v>50.012085548995813</v>
      </c>
      <c r="D456">
        <v>2.244523278160818</v>
      </c>
      <c r="E456">
        <v>2.9030806935864062</v>
      </c>
      <c r="F456">
        <v>7.1764650631614142</v>
      </c>
      <c r="G456">
        <v>6.2730596764287059</v>
      </c>
      <c r="H456">
        <v>32.45981486595911</v>
      </c>
      <c r="I456">
        <v>19.394402174392361</v>
      </c>
      <c r="J456">
        <v>18.216389327390921</v>
      </c>
      <c r="K456">
        <v>1900.342434351481</v>
      </c>
      <c r="L456">
        <v>1</v>
      </c>
      <c r="M456" t="s">
        <v>66</v>
      </c>
    </row>
    <row r="457" spans="1:13" x14ac:dyDescent="0.3">
      <c r="A457" t="s">
        <v>20</v>
      </c>
      <c r="B457" t="s">
        <v>49</v>
      </c>
      <c r="C457">
        <v>38.830841098288928</v>
      </c>
      <c r="D457">
        <v>0.98995242171392039</v>
      </c>
      <c r="E457">
        <v>1.9834210250548521</v>
      </c>
      <c r="F457">
        <v>5.679627459608831</v>
      </c>
      <c r="G457">
        <v>6.1916716588354417</v>
      </c>
      <c r="H457">
        <v>16.838700558337781</v>
      </c>
      <c r="I457">
        <v>29.183233890804711</v>
      </c>
      <c r="J457">
        <v>26.784504275791011</v>
      </c>
      <c r="K457">
        <v>1159.586388871802</v>
      </c>
      <c r="L457">
        <v>0</v>
      </c>
      <c r="M457" t="s">
        <v>66</v>
      </c>
    </row>
    <row r="458" spans="1:13" x14ac:dyDescent="0.3">
      <c r="A458" t="s">
        <v>22</v>
      </c>
      <c r="B458" t="s">
        <v>53</v>
      </c>
      <c r="C458">
        <v>332.55597581140472</v>
      </c>
      <c r="D458">
        <v>20.77157726434886</v>
      </c>
      <c r="E458">
        <v>28.79057657019526</v>
      </c>
      <c r="F458">
        <v>58.454929191892717</v>
      </c>
      <c r="G458">
        <v>6.1837926008546003</v>
      </c>
      <c r="H458">
        <v>31.769153291749031</v>
      </c>
      <c r="I458">
        <v>22.513373826798802</v>
      </c>
      <c r="J458">
        <v>21.765231869783278</v>
      </c>
      <c r="K458">
        <v>1346.886765135459</v>
      </c>
      <c r="L458">
        <v>1</v>
      </c>
      <c r="M458" t="s">
        <v>66</v>
      </c>
    </row>
    <row r="459" spans="1:13" x14ac:dyDescent="0.3">
      <c r="A459" t="s">
        <v>17</v>
      </c>
      <c r="B459" t="s">
        <v>39</v>
      </c>
      <c r="C459">
        <v>17.93878930394105</v>
      </c>
      <c r="D459">
        <v>0</v>
      </c>
      <c r="E459">
        <v>1.1616040241163379</v>
      </c>
      <c r="F459">
        <v>2.0180902172972002</v>
      </c>
      <c r="G459">
        <v>5.7199830889714436</v>
      </c>
      <c r="H459">
        <v>21.991065717183961</v>
      </c>
      <c r="I459">
        <v>20.506883312049361</v>
      </c>
      <c r="J459">
        <v>27.5494160941766</v>
      </c>
      <c r="K459">
        <v>2166.3876542265871</v>
      </c>
      <c r="L459">
        <v>1</v>
      </c>
      <c r="M459" t="s">
        <v>66</v>
      </c>
    </row>
    <row r="460" spans="1:13" x14ac:dyDescent="0.3">
      <c r="A460" t="s">
        <v>16</v>
      </c>
      <c r="B460" t="s">
        <v>35</v>
      </c>
      <c r="C460">
        <v>19.023251503322872</v>
      </c>
      <c r="D460">
        <v>0</v>
      </c>
      <c r="E460">
        <v>1.0267692017070831</v>
      </c>
      <c r="F460">
        <v>2.3487720303581638</v>
      </c>
      <c r="G460">
        <v>6.3144626351033741</v>
      </c>
      <c r="H460">
        <v>22.62539227810819</v>
      </c>
      <c r="I460">
        <v>22.59167869555333</v>
      </c>
      <c r="J460">
        <v>29.373263371322981</v>
      </c>
      <c r="K460">
        <v>2094.4403514676692</v>
      </c>
      <c r="L460">
        <v>1</v>
      </c>
      <c r="M460" t="s">
        <v>66</v>
      </c>
    </row>
    <row r="461" spans="1:13" x14ac:dyDescent="0.3">
      <c r="A461" t="s">
        <v>19</v>
      </c>
      <c r="B461" t="s">
        <v>48</v>
      </c>
      <c r="C461">
        <v>102.4500832503809</v>
      </c>
      <c r="D461">
        <v>4.2260397883432868</v>
      </c>
      <c r="E461">
        <v>6.4542442914905633</v>
      </c>
      <c r="F461">
        <v>14.45634380642837</v>
      </c>
      <c r="G461">
        <v>5.8838920019724439</v>
      </c>
      <c r="H461">
        <v>35.842927150463609</v>
      </c>
      <c r="I461">
        <v>23.637201200053472</v>
      </c>
      <c r="J461">
        <v>26.284256421896689</v>
      </c>
      <c r="K461">
        <v>670.02906951490195</v>
      </c>
      <c r="L461">
        <v>1</v>
      </c>
      <c r="M461" t="s">
        <v>66</v>
      </c>
    </row>
    <row r="462" spans="1:13" x14ac:dyDescent="0.3">
      <c r="A462" t="s">
        <v>18</v>
      </c>
      <c r="B462" t="s">
        <v>40</v>
      </c>
      <c r="C462">
        <v>110.3116510976519</v>
      </c>
      <c r="D462">
        <v>6.3006060128830326</v>
      </c>
      <c r="E462">
        <v>8.1775521181682009</v>
      </c>
      <c r="F462">
        <v>20.920393722996071</v>
      </c>
      <c r="G462">
        <v>4.8601223707474572</v>
      </c>
      <c r="H462">
        <v>53.939284500553377</v>
      </c>
      <c r="I462">
        <v>20.21460752727711</v>
      </c>
      <c r="J462">
        <v>21.865053085081261</v>
      </c>
      <c r="K462">
        <v>1607.0932487011439</v>
      </c>
      <c r="L462">
        <v>1</v>
      </c>
      <c r="M462" t="s">
        <v>66</v>
      </c>
    </row>
    <row r="463" spans="1:13" x14ac:dyDescent="0.3">
      <c r="A463" t="s">
        <v>19</v>
      </c>
      <c r="B463" t="s">
        <v>48</v>
      </c>
      <c r="C463">
        <v>26.338662714623371</v>
      </c>
      <c r="D463">
        <v>1.0320955286451501</v>
      </c>
      <c r="E463">
        <v>2.4112937250167161</v>
      </c>
      <c r="F463">
        <v>5.4714711333548136</v>
      </c>
      <c r="G463">
        <v>5.9529751050586892</v>
      </c>
      <c r="H463">
        <v>24.168679184498149</v>
      </c>
      <c r="I463">
        <v>34.729502165866869</v>
      </c>
      <c r="J463">
        <v>26.28566277781405</v>
      </c>
      <c r="K463">
        <v>1213.3589347725051</v>
      </c>
      <c r="L463">
        <v>0</v>
      </c>
      <c r="M463" t="s">
        <v>66</v>
      </c>
    </row>
    <row r="464" spans="1:13" x14ac:dyDescent="0.3">
      <c r="A464" t="s">
        <v>20</v>
      </c>
      <c r="B464" t="s">
        <v>49</v>
      </c>
      <c r="C464">
        <v>35.317316087961743</v>
      </c>
      <c r="D464">
        <v>0.79481777926839392</v>
      </c>
      <c r="E464">
        <v>1.852192460814708</v>
      </c>
      <c r="F464">
        <v>6.7912227470774909</v>
      </c>
      <c r="G464">
        <v>6.0370438061619334</v>
      </c>
      <c r="H464">
        <v>16.151202029431349</v>
      </c>
      <c r="I464">
        <v>30.881696792103099</v>
      </c>
      <c r="J464">
        <v>25.917820436792251</v>
      </c>
      <c r="K464">
        <v>1179.6028968300311</v>
      </c>
      <c r="L464">
        <v>0</v>
      </c>
      <c r="M464" t="s">
        <v>66</v>
      </c>
    </row>
    <row r="465" spans="1:13" x14ac:dyDescent="0.3">
      <c r="A465" t="s">
        <v>21</v>
      </c>
      <c r="B465" t="s">
        <v>52</v>
      </c>
      <c r="C465">
        <v>31.09368756591827</v>
      </c>
      <c r="D465">
        <v>0.96165715686905395</v>
      </c>
      <c r="E465">
        <v>1.8905799823991809</v>
      </c>
      <c r="F465">
        <v>4.9519437604985264</v>
      </c>
      <c r="G465">
        <v>6.187000415589555</v>
      </c>
      <c r="H465">
        <v>30.997615131165869</v>
      </c>
      <c r="I465">
        <v>20.500122591302041</v>
      </c>
      <c r="J465">
        <v>19.685162943000769</v>
      </c>
      <c r="K465">
        <v>1565.8109360976091</v>
      </c>
      <c r="L465">
        <v>1</v>
      </c>
      <c r="M465" t="s">
        <v>66</v>
      </c>
    </row>
    <row r="466" spans="1:13" x14ac:dyDescent="0.3">
      <c r="A466" t="s">
        <v>25</v>
      </c>
      <c r="B466" t="s">
        <v>62</v>
      </c>
      <c r="C466">
        <v>547.16840329065258</v>
      </c>
      <c r="D466">
        <v>29.567706230126181</v>
      </c>
      <c r="E466">
        <v>45.342773345745627</v>
      </c>
      <c r="F466">
        <v>108.4120325376205</v>
      </c>
      <c r="G466">
        <v>4.6154577447221401</v>
      </c>
      <c r="H466">
        <v>88.4</v>
      </c>
      <c r="I466">
        <v>27.192869966436639</v>
      </c>
      <c r="J466">
        <v>23.3953405024813</v>
      </c>
      <c r="K466">
        <v>701.21506222062374</v>
      </c>
      <c r="L466">
        <v>0</v>
      </c>
      <c r="M466" t="s">
        <v>66</v>
      </c>
    </row>
    <row r="467" spans="1:13" x14ac:dyDescent="0.3">
      <c r="A467" t="s">
        <v>25</v>
      </c>
      <c r="B467" t="s">
        <v>62</v>
      </c>
      <c r="C467">
        <v>275.11059279429071</v>
      </c>
      <c r="D467">
        <v>18.61184070681556</v>
      </c>
      <c r="E467">
        <v>24.01329958292223</v>
      </c>
      <c r="F467">
        <v>64.839449951565186</v>
      </c>
      <c r="G467">
        <v>4.3434425773325636</v>
      </c>
      <c r="H467">
        <v>73.355184494428059</v>
      </c>
      <c r="I467">
        <v>29.2684304047906</v>
      </c>
      <c r="J467">
        <v>22.920564447915829</v>
      </c>
      <c r="K467">
        <v>717.02573213241101</v>
      </c>
      <c r="L467">
        <v>0</v>
      </c>
      <c r="M467" t="s">
        <v>66</v>
      </c>
    </row>
    <row r="468" spans="1:13" x14ac:dyDescent="0.3">
      <c r="A468" t="s">
        <v>19</v>
      </c>
      <c r="B468" t="s">
        <v>44</v>
      </c>
      <c r="C468">
        <v>44.304519664857317</v>
      </c>
      <c r="D468">
        <v>1.9007597233030209</v>
      </c>
      <c r="E468">
        <v>2.1221315979467921</v>
      </c>
      <c r="F468">
        <v>5.6169077762695139</v>
      </c>
      <c r="G468">
        <v>4.7531548404984507</v>
      </c>
      <c r="H468">
        <v>35.604343082160703</v>
      </c>
      <c r="I468">
        <v>20.008644738407408</v>
      </c>
      <c r="J468">
        <v>19.539065532249239</v>
      </c>
      <c r="K468">
        <v>1957.982239399933</v>
      </c>
      <c r="L468">
        <v>1</v>
      </c>
      <c r="M468" t="s">
        <v>66</v>
      </c>
    </row>
    <row r="469" spans="1:13" x14ac:dyDescent="0.3">
      <c r="A469" t="s">
        <v>22</v>
      </c>
      <c r="B469" t="s">
        <v>53</v>
      </c>
      <c r="C469">
        <v>34.18684979448556</v>
      </c>
      <c r="D469">
        <v>1.060919645236253</v>
      </c>
      <c r="E469">
        <v>2.201148536857723</v>
      </c>
      <c r="F469">
        <v>4.1454680138158722</v>
      </c>
      <c r="G469">
        <v>6.288303651605367</v>
      </c>
      <c r="H469">
        <v>22.23137548622103</v>
      </c>
      <c r="I469">
        <v>25.075756308085889</v>
      </c>
      <c r="J469">
        <v>20.020906460623589</v>
      </c>
      <c r="K469">
        <v>1303.4727710156681</v>
      </c>
      <c r="L469">
        <v>1</v>
      </c>
      <c r="M469" t="s">
        <v>66</v>
      </c>
    </row>
    <row r="470" spans="1:13" x14ac:dyDescent="0.3">
      <c r="A470" t="s">
        <v>15</v>
      </c>
      <c r="B470" t="s">
        <v>34</v>
      </c>
      <c r="C470">
        <v>147.71755068469199</v>
      </c>
      <c r="D470">
        <v>6.9236770012028916</v>
      </c>
      <c r="E470">
        <v>8.6600588098721314</v>
      </c>
      <c r="F470">
        <v>25.91125958919719</v>
      </c>
      <c r="G470">
        <v>5.8884020595140107</v>
      </c>
      <c r="H470">
        <v>26.009781755108222</v>
      </c>
      <c r="I470">
        <v>24.654317998468748</v>
      </c>
      <c r="J470">
        <v>18.475606885185819</v>
      </c>
      <c r="K470">
        <v>2120.0887353608759</v>
      </c>
      <c r="L470">
        <v>1</v>
      </c>
      <c r="M470" t="s">
        <v>66</v>
      </c>
    </row>
    <row r="471" spans="1:13" x14ac:dyDescent="0.3">
      <c r="A471" t="s">
        <v>16</v>
      </c>
      <c r="B471" t="s">
        <v>35</v>
      </c>
      <c r="C471">
        <v>87.133622953852054</v>
      </c>
      <c r="D471">
        <v>3.8922861800018902</v>
      </c>
      <c r="E471">
        <v>5.1426507626705433</v>
      </c>
      <c r="F471">
        <v>13.717769375855511</v>
      </c>
      <c r="G471">
        <v>6.3153884470488606</v>
      </c>
      <c r="H471">
        <v>36.096775855902123</v>
      </c>
      <c r="I471">
        <v>20.166990276394269</v>
      </c>
      <c r="J471">
        <v>29.728923252653729</v>
      </c>
      <c r="K471">
        <v>2138.050810335631</v>
      </c>
      <c r="L471">
        <v>1</v>
      </c>
      <c r="M471" t="s">
        <v>66</v>
      </c>
    </row>
    <row r="472" spans="1:13" x14ac:dyDescent="0.3">
      <c r="A472" t="s">
        <v>18</v>
      </c>
      <c r="B472" t="s">
        <v>42</v>
      </c>
      <c r="C472">
        <v>6.0052280583503972</v>
      </c>
      <c r="D472">
        <v>0</v>
      </c>
      <c r="E472">
        <v>0</v>
      </c>
      <c r="F472">
        <v>-1.7763568394002501E-15</v>
      </c>
      <c r="G472">
        <v>5.8053429706170556</v>
      </c>
      <c r="H472">
        <v>22.392420249181161</v>
      </c>
      <c r="I472">
        <v>21.220645003402112</v>
      </c>
      <c r="J472">
        <v>26.173091904395498</v>
      </c>
      <c r="K472">
        <v>1896.2970191000479</v>
      </c>
      <c r="L472">
        <v>1</v>
      </c>
      <c r="M472" t="s">
        <v>66</v>
      </c>
    </row>
    <row r="473" spans="1:13" x14ac:dyDescent="0.3">
      <c r="A473" t="s">
        <v>18</v>
      </c>
      <c r="B473" t="s">
        <v>41</v>
      </c>
      <c r="C473">
        <v>0</v>
      </c>
      <c r="D473">
        <v>0</v>
      </c>
      <c r="E473">
        <v>0</v>
      </c>
      <c r="F473">
        <v>-1.7763568394002501E-15</v>
      </c>
      <c r="G473">
        <v>6.0398662555656939</v>
      </c>
      <c r="H473">
        <v>22.28321347669949</v>
      </c>
      <c r="I473">
        <v>31.9128170744582</v>
      </c>
      <c r="J473">
        <v>34.5</v>
      </c>
      <c r="K473">
        <v>1818.0120981099369</v>
      </c>
      <c r="L473">
        <v>1</v>
      </c>
      <c r="M473" t="s">
        <v>66</v>
      </c>
    </row>
    <row r="474" spans="1:13" x14ac:dyDescent="0.3">
      <c r="A474" t="s">
        <v>19</v>
      </c>
      <c r="B474" t="s">
        <v>44</v>
      </c>
      <c r="C474">
        <v>43.142482830165882</v>
      </c>
      <c r="D474">
        <v>1.8761114770512179</v>
      </c>
      <c r="E474">
        <v>2.196783360815024</v>
      </c>
      <c r="F474">
        <v>5.6789187500064786</v>
      </c>
      <c r="G474">
        <v>4.8108605010730612</v>
      </c>
      <c r="H474">
        <v>36.85754989421028</v>
      </c>
      <c r="I474">
        <v>19.01175114050929</v>
      </c>
      <c r="J474">
        <v>18.714277477623519</v>
      </c>
      <c r="K474">
        <v>1926.9523497215121</v>
      </c>
      <c r="L474">
        <v>1</v>
      </c>
      <c r="M474" t="s">
        <v>66</v>
      </c>
    </row>
    <row r="475" spans="1:13" x14ac:dyDescent="0.3">
      <c r="A475" t="s">
        <v>20</v>
      </c>
      <c r="B475" t="s">
        <v>50</v>
      </c>
      <c r="C475">
        <v>47.936990045827493</v>
      </c>
      <c r="D475">
        <v>2.0626775622314151</v>
      </c>
      <c r="E475">
        <v>2.7769098006203752</v>
      </c>
      <c r="F475">
        <v>8.2810146339576161</v>
      </c>
      <c r="G475">
        <v>6.6303252482344863</v>
      </c>
      <c r="H475">
        <v>19.90256471014796</v>
      </c>
      <c r="I475">
        <v>23.497487528316871</v>
      </c>
      <c r="J475">
        <v>21.749552602307759</v>
      </c>
      <c r="K475">
        <v>1737.3267097968589</v>
      </c>
      <c r="L475">
        <v>1</v>
      </c>
      <c r="M475" t="s">
        <v>66</v>
      </c>
    </row>
    <row r="476" spans="1:13" x14ac:dyDescent="0.3">
      <c r="A476" t="s">
        <v>16</v>
      </c>
      <c r="B476" t="s">
        <v>35</v>
      </c>
      <c r="C476">
        <v>17.78622895839607</v>
      </c>
      <c r="D476">
        <v>0</v>
      </c>
      <c r="E476">
        <v>0.87741654883511799</v>
      </c>
      <c r="F476">
        <v>2.0397397055748141</v>
      </c>
      <c r="G476">
        <v>6.1454355918212036</v>
      </c>
      <c r="H476">
        <v>22.154665994138131</v>
      </c>
      <c r="I476">
        <v>22.972401335850819</v>
      </c>
      <c r="J476">
        <v>30.483439769727958</v>
      </c>
      <c r="K476">
        <v>2110.4498568823701</v>
      </c>
      <c r="L476">
        <v>1</v>
      </c>
      <c r="M476" t="s">
        <v>66</v>
      </c>
    </row>
    <row r="477" spans="1:13" x14ac:dyDescent="0.3">
      <c r="A477" t="s">
        <v>20</v>
      </c>
      <c r="B477" t="s">
        <v>51</v>
      </c>
      <c r="C477">
        <v>74.453730445330834</v>
      </c>
      <c r="D477">
        <v>3.2088452459100498</v>
      </c>
      <c r="E477">
        <v>3.9814508618909499</v>
      </c>
      <c r="F477">
        <v>9.8220860990890557</v>
      </c>
      <c r="G477">
        <v>6.7849054497215224</v>
      </c>
      <c r="H477">
        <v>29.859451641959311</v>
      </c>
      <c r="I477">
        <v>21.258364519394121</v>
      </c>
      <c r="J477">
        <v>20.56140271084044</v>
      </c>
      <c r="K477">
        <v>1544.4334893823229</v>
      </c>
      <c r="L477">
        <v>1</v>
      </c>
      <c r="M477" t="s">
        <v>66</v>
      </c>
    </row>
    <row r="478" spans="1:13" x14ac:dyDescent="0.3">
      <c r="A478" t="s">
        <v>16</v>
      </c>
      <c r="B478" t="s">
        <v>37</v>
      </c>
      <c r="C478">
        <v>11.88763694291158</v>
      </c>
      <c r="D478">
        <v>0</v>
      </c>
      <c r="E478">
        <v>0</v>
      </c>
      <c r="F478">
        <v>1.1635454258133699</v>
      </c>
      <c r="G478">
        <v>6.7428741263108876</v>
      </c>
      <c r="H478">
        <v>36.098613089755027</v>
      </c>
      <c r="I478">
        <v>16.840603265853861</v>
      </c>
      <c r="J478">
        <v>22.46501594386692</v>
      </c>
      <c r="K478">
        <v>1490.646740905438</v>
      </c>
      <c r="L478">
        <v>1</v>
      </c>
      <c r="M478" t="s">
        <v>66</v>
      </c>
    </row>
    <row r="479" spans="1:13" x14ac:dyDescent="0.3">
      <c r="A479" t="s">
        <v>19</v>
      </c>
      <c r="B479" t="s">
        <v>46</v>
      </c>
      <c r="C479">
        <v>24.634038152853648</v>
      </c>
      <c r="D479">
        <v>1.080593257994487</v>
      </c>
      <c r="E479">
        <v>0.97415895742953929</v>
      </c>
      <c r="F479">
        <v>2.8284209160037932</v>
      </c>
      <c r="G479">
        <v>6.0260213127954021</v>
      </c>
      <c r="H479">
        <v>28.683894481740509</v>
      </c>
      <c r="I479">
        <v>24.774304988174791</v>
      </c>
      <c r="J479">
        <v>25.443591270380409</v>
      </c>
      <c r="K479">
        <v>1391.5553393224061</v>
      </c>
      <c r="L479">
        <v>1</v>
      </c>
      <c r="M479" t="s">
        <v>66</v>
      </c>
    </row>
    <row r="480" spans="1:13" x14ac:dyDescent="0.3">
      <c r="A480" t="s">
        <v>24</v>
      </c>
      <c r="B480" t="s">
        <v>61</v>
      </c>
      <c r="C480">
        <v>354.56766648089018</v>
      </c>
      <c r="D480">
        <v>16.132497212652819</v>
      </c>
      <c r="E480">
        <v>25.636980805689991</v>
      </c>
      <c r="F480">
        <v>63.387246595058961</v>
      </c>
      <c r="G480">
        <v>4.3</v>
      </c>
      <c r="H480">
        <v>57.645881876794093</v>
      </c>
      <c r="I480">
        <v>28.72814617068758</v>
      </c>
      <c r="J480">
        <v>30.707537991627738</v>
      </c>
      <c r="K480">
        <v>13.796565223280821</v>
      </c>
      <c r="L480">
        <v>-1</v>
      </c>
      <c r="M480" t="s">
        <v>66</v>
      </c>
    </row>
    <row r="481" spans="1:13" x14ac:dyDescent="0.3">
      <c r="A481" t="s">
        <v>22</v>
      </c>
      <c r="B481" t="s">
        <v>53</v>
      </c>
      <c r="C481">
        <v>80.902722554066784</v>
      </c>
      <c r="D481">
        <v>3.4779070706612711</v>
      </c>
      <c r="E481">
        <v>5.3223322599076246</v>
      </c>
      <c r="F481">
        <v>12.31762357862357</v>
      </c>
      <c r="G481">
        <v>5.9415007517917759</v>
      </c>
      <c r="H481">
        <v>44.819774821806938</v>
      </c>
      <c r="I481">
        <v>24.104359083392961</v>
      </c>
      <c r="J481">
        <v>23.46723563516441</v>
      </c>
      <c r="K481">
        <v>1407.707085940353</v>
      </c>
      <c r="L481">
        <v>1</v>
      </c>
      <c r="M481" t="s">
        <v>66</v>
      </c>
    </row>
    <row r="482" spans="1:13" x14ac:dyDescent="0.3">
      <c r="A482" t="s">
        <v>25</v>
      </c>
      <c r="B482" t="s">
        <v>62</v>
      </c>
      <c r="C482">
        <v>90.636609571906789</v>
      </c>
      <c r="D482">
        <v>4.2866500901941142</v>
      </c>
      <c r="E482">
        <v>6.5362846122671492</v>
      </c>
      <c r="F482">
        <v>13.51530261979962</v>
      </c>
      <c r="G482">
        <v>6.6792371531985406</v>
      </c>
      <c r="H482">
        <v>14.564707870462399</v>
      </c>
      <c r="I482">
        <v>33.90492715111079</v>
      </c>
      <c r="J482">
        <v>32.054549454157218</v>
      </c>
      <c r="K482">
        <v>50.113477396231019</v>
      </c>
      <c r="L482">
        <v>-1</v>
      </c>
      <c r="M482" t="s">
        <v>66</v>
      </c>
    </row>
    <row r="483" spans="1:13" x14ac:dyDescent="0.3">
      <c r="A483" t="s">
        <v>22</v>
      </c>
      <c r="B483" t="s">
        <v>53</v>
      </c>
      <c r="C483">
        <v>70.573044944882341</v>
      </c>
      <c r="D483">
        <v>2.764206170244579</v>
      </c>
      <c r="E483">
        <v>5.1351837528974</v>
      </c>
      <c r="F483">
        <v>12.40973880084406</v>
      </c>
      <c r="G483">
        <v>6.2368807709531646</v>
      </c>
      <c r="H483">
        <v>38.567075539391979</v>
      </c>
      <c r="I483">
        <v>25.70660848605587</v>
      </c>
      <c r="J483">
        <v>21.531643819252618</v>
      </c>
      <c r="K483">
        <v>1360.58340948161</v>
      </c>
      <c r="L483">
        <v>1</v>
      </c>
      <c r="M483" t="s">
        <v>66</v>
      </c>
    </row>
    <row r="484" spans="1:13" x14ac:dyDescent="0.3">
      <c r="A484" t="s">
        <v>15</v>
      </c>
      <c r="B484" t="s">
        <v>34</v>
      </c>
      <c r="C484">
        <v>106.31886777972839</v>
      </c>
      <c r="D484">
        <v>5.489722677887813</v>
      </c>
      <c r="E484">
        <v>7.3108066853231612</v>
      </c>
      <c r="F484">
        <v>16.6115569581054</v>
      </c>
      <c r="G484">
        <v>5.6395686572097796</v>
      </c>
      <c r="H484">
        <v>42.21008887854493</v>
      </c>
      <c r="I484">
        <v>24.23800790809775</v>
      </c>
      <c r="J484">
        <v>18.590701615324129</v>
      </c>
      <c r="K484">
        <v>1999.7247147608291</v>
      </c>
      <c r="L484">
        <v>1</v>
      </c>
      <c r="M484" t="s">
        <v>66</v>
      </c>
    </row>
    <row r="485" spans="1:13" x14ac:dyDescent="0.3">
      <c r="A485" t="s">
        <v>20</v>
      </c>
      <c r="B485" t="s">
        <v>50</v>
      </c>
      <c r="C485">
        <v>48.955639402133251</v>
      </c>
      <c r="D485">
        <v>2.4115494732628049</v>
      </c>
      <c r="E485">
        <v>2.5364026680195342</v>
      </c>
      <c r="F485">
        <v>7.551569029481402</v>
      </c>
      <c r="G485">
        <v>6.7730032969780298</v>
      </c>
      <c r="H485">
        <v>21.29758437357766</v>
      </c>
      <c r="I485">
        <v>22.96927046739242</v>
      </c>
      <c r="J485">
        <v>21.422817335261129</v>
      </c>
      <c r="K485">
        <v>1725.414854921713</v>
      </c>
      <c r="L485">
        <v>1</v>
      </c>
      <c r="M485" t="s">
        <v>66</v>
      </c>
    </row>
    <row r="486" spans="1:13" x14ac:dyDescent="0.3">
      <c r="A486" t="s">
        <v>25</v>
      </c>
      <c r="B486" t="s">
        <v>62</v>
      </c>
      <c r="C486">
        <v>234.6363385620763</v>
      </c>
      <c r="D486">
        <v>18.558586629971352</v>
      </c>
      <c r="E486">
        <v>29.776313162929348</v>
      </c>
      <c r="F486">
        <v>63.146081852168727</v>
      </c>
      <c r="G486">
        <v>4.3</v>
      </c>
      <c r="H486">
        <v>74.48006891309835</v>
      </c>
      <c r="I486">
        <v>29.11559668551962</v>
      </c>
      <c r="J486">
        <v>23.324199740133629</v>
      </c>
      <c r="K486">
        <v>713.79840476691049</v>
      </c>
      <c r="L486">
        <v>0</v>
      </c>
      <c r="M486" t="s">
        <v>66</v>
      </c>
    </row>
    <row r="487" spans="1:13" x14ac:dyDescent="0.3">
      <c r="A487" t="s">
        <v>24</v>
      </c>
      <c r="B487" t="s">
        <v>57</v>
      </c>
      <c r="C487">
        <v>64.503992134953563</v>
      </c>
      <c r="D487">
        <v>2.798360877341687</v>
      </c>
      <c r="E487">
        <v>3.657476782496845</v>
      </c>
      <c r="F487">
        <v>11.181392820271091</v>
      </c>
      <c r="G487">
        <v>6.0884928239324312</v>
      </c>
      <c r="H487">
        <v>17.328804837531969</v>
      </c>
      <c r="I487">
        <v>22.891199520679098</v>
      </c>
      <c r="J487">
        <v>21.677695502242869</v>
      </c>
      <c r="K487">
        <v>1540.1893427865371</v>
      </c>
      <c r="L487">
        <v>1</v>
      </c>
      <c r="M487" t="s">
        <v>66</v>
      </c>
    </row>
    <row r="488" spans="1:13" x14ac:dyDescent="0.3">
      <c r="A488" t="s">
        <v>18</v>
      </c>
      <c r="B488" t="s">
        <v>40</v>
      </c>
      <c r="C488">
        <v>24.546947639689169</v>
      </c>
      <c r="D488">
        <v>0.97815923759859613</v>
      </c>
      <c r="E488">
        <v>1.039001436121755</v>
      </c>
      <c r="F488">
        <v>3.191232211548289</v>
      </c>
      <c r="G488">
        <v>5.9016219630039011</v>
      </c>
      <c r="H488">
        <v>24.51690448838378</v>
      </c>
      <c r="I488">
        <v>19.889823272769942</v>
      </c>
      <c r="J488">
        <v>20.878138528317159</v>
      </c>
      <c r="K488">
        <v>1927.367029915313</v>
      </c>
      <c r="L488">
        <v>1</v>
      </c>
      <c r="M488" t="s">
        <v>66</v>
      </c>
    </row>
    <row r="489" spans="1:13" x14ac:dyDescent="0.3">
      <c r="A489" t="s">
        <v>17</v>
      </c>
      <c r="B489" t="s">
        <v>39</v>
      </c>
      <c r="C489">
        <v>12.38773534415618</v>
      </c>
      <c r="D489">
        <v>0</v>
      </c>
      <c r="E489">
        <v>0</v>
      </c>
      <c r="F489">
        <v>1.9969212050380301</v>
      </c>
      <c r="G489">
        <v>5.3237473494427343</v>
      </c>
      <c r="H489">
        <v>28.8196461236356</v>
      </c>
      <c r="I489">
        <v>19.24715911543656</v>
      </c>
      <c r="J489">
        <v>24.738261586592429</v>
      </c>
      <c r="K489">
        <v>2125.15595538354</v>
      </c>
      <c r="L489">
        <v>1</v>
      </c>
      <c r="M489" t="s">
        <v>66</v>
      </c>
    </row>
    <row r="490" spans="1:13" x14ac:dyDescent="0.3">
      <c r="A490" t="s">
        <v>16</v>
      </c>
      <c r="B490" t="s">
        <v>35</v>
      </c>
      <c r="C490">
        <v>61.737733870315601</v>
      </c>
      <c r="D490">
        <v>3.3286810048300768</v>
      </c>
      <c r="E490">
        <v>4.6224872723699928</v>
      </c>
      <c r="F490">
        <v>9.3412613436905545</v>
      </c>
      <c r="G490">
        <v>5.902599354286556</v>
      </c>
      <c r="H490">
        <v>39.669296594657183</v>
      </c>
      <c r="I490">
        <v>20.54352670202724</v>
      </c>
      <c r="J490">
        <v>28.918632352180989</v>
      </c>
      <c r="K490">
        <v>2079.5603504493079</v>
      </c>
      <c r="L490">
        <v>1</v>
      </c>
      <c r="M490" t="s">
        <v>66</v>
      </c>
    </row>
    <row r="491" spans="1:13" x14ac:dyDescent="0.3">
      <c r="A491" t="s">
        <v>20</v>
      </c>
      <c r="B491" t="s">
        <v>49</v>
      </c>
      <c r="C491">
        <v>39.021302123213701</v>
      </c>
      <c r="D491">
        <v>0.88064823162117767</v>
      </c>
      <c r="E491">
        <v>1.8667330290697</v>
      </c>
      <c r="F491">
        <v>5.6023073924075604</v>
      </c>
      <c r="G491">
        <v>6.1462389949599467</v>
      </c>
      <c r="H491">
        <v>15.288654582732541</v>
      </c>
      <c r="I491">
        <v>31.102076993310721</v>
      </c>
      <c r="J491">
        <v>27.33740646381252</v>
      </c>
      <c r="K491">
        <v>1158.4460805410929</v>
      </c>
      <c r="L491">
        <v>0</v>
      </c>
      <c r="M491" t="s">
        <v>66</v>
      </c>
    </row>
    <row r="492" spans="1:13" x14ac:dyDescent="0.3">
      <c r="A492" t="s">
        <v>18</v>
      </c>
      <c r="B492" t="s">
        <v>42</v>
      </c>
      <c r="C492">
        <v>51.85841684712944</v>
      </c>
      <c r="D492">
        <v>1.6782430859049979</v>
      </c>
      <c r="E492">
        <v>2.72282717415905</v>
      </c>
      <c r="F492">
        <v>7.4108144309969237</v>
      </c>
      <c r="G492">
        <v>5.5010953466559087</v>
      </c>
      <c r="H492">
        <v>20.43039745387636</v>
      </c>
      <c r="I492">
        <v>21.858307927443811</v>
      </c>
      <c r="J492">
        <v>29.864003712913931</v>
      </c>
      <c r="K492">
        <v>1736.4764609416559</v>
      </c>
      <c r="L492">
        <v>1</v>
      </c>
      <c r="M492" t="s">
        <v>66</v>
      </c>
    </row>
    <row r="493" spans="1:13" x14ac:dyDescent="0.3">
      <c r="A493" t="s">
        <v>24</v>
      </c>
      <c r="B493" t="s">
        <v>61</v>
      </c>
      <c r="C493">
        <v>119.5551362700345</v>
      </c>
      <c r="D493">
        <v>6.2068166530476354</v>
      </c>
      <c r="E493">
        <v>6.9133041388469048</v>
      </c>
      <c r="F493">
        <v>21.845233770790252</v>
      </c>
      <c r="G493">
        <v>6.0288593470646772</v>
      </c>
      <c r="H493">
        <v>19.342483112938108</v>
      </c>
      <c r="I493">
        <v>31.29572828233151</v>
      </c>
      <c r="J493">
        <v>31.321751312569511</v>
      </c>
      <c r="K493">
        <v>46.737654030641117</v>
      </c>
      <c r="L493">
        <v>-1</v>
      </c>
      <c r="M493" t="s">
        <v>66</v>
      </c>
    </row>
    <row r="494" spans="1:13" x14ac:dyDescent="0.3">
      <c r="A494" t="s">
        <v>24</v>
      </c>
      <c r="B494" t="s">
        <v>61</v>
      </c>
      <c r="C494">
        <v>81.087759048537961</v>
      </c>
      <c r="D494">
        <v>3.949971810724735</v>
      </c>
      <c r="E494">
        <v>4.8372845871675567</v>
      </c>
      <c r="F494">
        <v>13.01635256785344</v>
      </c>
      <c r="G494">
        <v>6.1661632496453587</v>
      </c>
      <c r="H494">
        <v>15.02936317257771</v>
      </c>
      <c r="I494">
        <v>34.293033218255623</v>
      </c>
      <c r="J494">
        <v>32.162242408142177</v>
      </c>
      <c r="K494">
        <v>47.764686272797007</v>
      </c>
      <c r="L494">
        <v>-1</v>
      </c>
      <c r="M494" t="s">
        <v>66</v>
      </c>
    </row>
    <row r="495" spans="1:13" x14ac:dyDescent="0.3">
      <c r="A495" t="s">
        <v>15</v>
      </c>
      <c r="B495" t="s">
        <v>33</v>
      </c>
      <c r="C495">
        <v>91.340321465276915</v>
      </c>
      <c r="D495">
        <v>3.718969564191112</v>
      </c>
      <c r="E495">
        <v>5.7880110675614489</v>
      </c>
      <c r="F495">
        <v>14.08223211258222</v>
      </c>
      <c r="G495">
        <v>6.2902099794355646</v>
      </c>
      <c r="H495">
        <v>33.490664198823247</v>
      </c>
      <c r="I495">
        <v>19.64356826811969</v>
      </c>
      <c r="J495">
        <v>18.681796655441389</v>
      </c>
      <c r="K495">
        <v>2114.5942094379702</v>
      </c>
      <c r="L495">
        <v>1</v>
      </c>
      <c r="M495" t="s">
        <v>66</v>
      </c>
    </row>
    <row r="496" spans="1:13" x14ac:dyDescent="0.3">
      <c r="A496" t="s">
        <v>18</v>
      </c>
      <c r="B496" t="s">
        <v>41</v>
      </c>
      <c r="C496">
        <v>11.99064313996068</v>
      </c>
      <c r="D496">
        <v>0</v>
      </c>
      <c r="E496">
        <v>0</v>
      </c>
      <c r="F496">
        <v>0.81195232714733123</v>
      </c>
      <c r="G496">
        <v>6.2344107143600747</v>
      </c>
      <c r="H496">
        <v>16.597545320357291</v>
      </c>
      <c r="I496">
        <v>18.998568613286629</v>
      </c>
      <c r="J496">
        <v>20.487916892742071</v>
      </c>
      <c r="K496">
        <v>1839.1184850604029</v>
      </c>
      <c r="L496">
        <v>1</v>
      </c>
      <c r="M496" t="s">
        <v>66</v>
      </c>
    </row>
    <row r="497" spans="1:13" x14ac:dyDescent="0.3">
      <c r="A497" t="s">
        <v>23</v>
      </c>
      <c r="B497" t="s">
        <v>56</v>
      </c>
      <c r="C497">
        <v>69.04605899603618</v>
      </c>
      <c r="D497">
        <v>2.84559553256463</v>
      </c>
      <c r="E497">
        <v>4.8305360798914343</v>
      </c>
      <c r="F497">
        <v>10.728278088124791</v>
      </c>
      <c r="G497">
        <v>6.1756406315127768</v>
      </c>
      <c r="H497">
        <v>16.648053880007659</v>
      </c>
      <c r="I497">
        <v>20.355915308765411</v>
      </c>
      <c r="J497">
        <v>18.905527163074861</v>
      </c>
      <c r="K497">
        <v>1609.453646507498</v>
      </c>
      <c r="L497">
        <v>1</v>
      </c>
      <c r="M497" t="s">
        <v>66</v>
      </c>
    </row>
    <row r="498" spans="1:13" x14ac:dyDescent="0.3">
      <c r="A498" t="s">
        <v>18</v>
      </c>
      <c r="B498" t="s">
        <v>41</v>
      </c>
      <c r="C498">
        <v>0</v>
      </c>
      <c r="D498">
        <v>0</v>
      </c>
      <c r="E498">
        <v>0</v>
      </c>
      <c r="F498">
        <v>-1.7763568394002501E-15</v>
      </c>
      <c r="G498">
        <v>6.8409382158680412</v>
      </c>
      <c r="H498">
        <v>14.460787522428641</v>
      </c>
      <c r="I498">
        <v>35.82023431398266</v>
      </c>
      <c r="J498">
        <v>32.500288443867639</v>
      </c>
      <c r="K498">
        <v>1789.964708924341</v>
      </c>
      <c r="L498">
        <v>1</v>
      </c>
      <c r="M498" t="s">
        <v>66</v>
      </c>
    </row>
    <row r="499" spans="1:13" x14ac:dyDescent="0.3">
      <c r="A499" t="s">
        <v>17</v>
      </c>
      <c r="B499" t="s">
        <v>39</v>
      </c>
      <c r="C499">
        <v>37.895648983511897</v>
      </c>
      <c r="D499">
        <v>1.050243278450655</v>
      </c>
      <c r="E499">
        <v>1.9006086229815879</v>
      </c>
      <c r="F499">
        <v>5.2778061006248436</v>
      </c>
      <c r="G499">
        <v>6.2508522326727247</v>
      </c>
      <c r="H499">
        <v>27.60571233480966</v>
      </c>
      <c r="I499">
        <v>17.307685641803371</v>
      </c>
      <c r="J499">
        <v>25.098002532083211</v>
      </c>
      <c r="K499">
        <v>1415.341948098401</v>
      </c>
      <c r="L499">
        <v>1</v>
      </c>
      <c r="M499" t="s">
        <v>66</v>
      </c>
    </row>
    <row r="500" spans="1:13" x14ac:dyDescent="0.3">
      <c r="A500" t="s">
        <v>15</v>
      </c>
      <c r="B500" t="s">
        <v>34</v>
      </c>
      <c r="C500">
        <v>118.7871974438816</v>
      </c>
      <c r="D500">
        <v>6.0112241389822572</v>
      </c>
      <c r="E500">
        <v>9.5359650576342343</v>
      </c>
      <c r="F500">
        <v>17.326698297613081</v>
      </c>
      <c r="G500">
        <v>6.1978099201363914</v>
      </c>
      <c r="H500">
        <v>29.848374624843078</v>
      </c>
      <c r="I500">
        <v>24.191074854719631</v>
      </c>
      <c r="J500">
        <v>19.172347844603269</v>
      </c>
      <c r="K500">
        <v>2092.312731212688</v>
      </c>
      <c r="L500">
        <v>1</v>
      </c>
      <c r="M500" t="s">
        <v>66</v>
      </c>
    </row>
    <row r="501" spans="1:13" x14ac:dyDescent="0.3">
      <c r="A501" t="s">
        <v>19</v>
      </c>
      <c r="B501" t="s">
        <v>44</v>
      </c>
      <c r="C501">
        <v>37.407715965395987</v>
      </c>
      <c r="D501">
        <v>1.169628229574901</v>
      </c>
      <c r="E501">
        <v>2.1365892937554301</v>
      </c>
      <c r="F501">
        <v>5.5095569544335721</v>
      </c>
      <c r="G501">
        <v>5.3366547796112229</v>
      </c>
      <c r="H501">
        <v>38.018498420962679</v>
      </c>
      <c r="I501">
        <v>26.675865334710601</v>
      </c>
      <c r="J501">
        <v>19.58197147001405</v>
      </c>
      <c r="K501">
        <v>1952.0662646784961</v>
      </c>
      <c r="L501">
        <v>1</v>
      </c>
      <c r="M501" t="s">
        <v>66</v>
      </c>
    </row>
    <row r="502" spans="1:13" x14ac:dyDescent="0.3">
      <c r="A502" t="s">
        <v>15</v>
      </c>
      <c r="B502" t="s">
        <v>33</v>
      </c>
      <c r="C502">
        <v>40.098826611169713</v>
      </c>
      <c r="D502">
        <v>2.2898436445307171</v>
      </c>
      <c r="E502">
        <v>2.245295539605491</v>
      </c>
      <c r="F502">
        <v>6.5759713485969158</v>
      </c>
      <c r="G502">
        <v>6.3054905278840856</v>
      </c>
      <c r="H502">
        <v>33.892111855103373</v>
      </c>
      <c r="I502">
        <v>20.082435924879409</v>
      </c>
      <c r="J502">
        <v>18.37420325020453</v>
      </c>
      <c r="K502">
        <v>1874.1897723341649</v>
      </c>
      <c r="L502">
        <v>1</v>
      </c>
      <c r="M502" t="s">
        <v>66</v>
      </c>
    </row>
    <row r="503" spans="1:13" x14ac:dyDescent="0.3">
      <c r="A503" t="s">
        <v>24</v>
      </c>
      <c r="B503" t="s">
        <v>59</v>
      </c>
      <c r="C503">
        <v>60.889266019370332</v>
      </c>
      <c r="D503">
        <v>1.768448874324497</v>
      </c>
      <c r="E503">
        <v>3.8760203076498212</v>
      </c>
      <c r="F503">
        <v>9.3574956547700072</v>
      </c>
      <c r="G503">
        <v>6.9642401849608371</v>
      </c>
      <c r="H503">
        <v>55.876748174047663</v>
      </c>
      <c r="I503">
        <v>27.785876388770159</v>
      </c>
      <c r="J503">
        <v>23.050902865815939</v>
      </c>
      <c r="K503">
        <v>771.50303835586976</v>
      </c>
      <c r="L503">
        <v>0</v>
      </c>
      <c r="M503" t="s">
        <v>66</v>
      </c>
    </row>
    <row r="504" spans="1:13" x14ac:dyDescent="0.3">
      <c r="A504" t="s">
        <v>24</v>
      </c>
      <c r="B504" t="s">
        <v>58</v>
      </c>
      <c r="C504">
        <v>28.134498501930882</v>
      </c>
      <c r="D504">
        <v>0.93564385457753385</v>
      </c>
      <c r="E504">
        <v>2.1524075954096862</v>
      </c>
      <c r="F504">
        <v>5.0528076810701101</v>
      </c>
      <c r="G504">
        <v>6.9900808675459789</v>
      </c>
      <c r="H504">
        <v>31.825131637263709</v>
      </c>
      <c r="I504">
        <v>25.05083284305724</v>
      </c>
      <c r="J504">
        <v>24.73412411187466</v>
      </c>
      <c r="K504">
        <v>747.20126288460426</v>
      </c>
      <c r="L504">
        <v>0</v>
      </c>
      <c r="M504" t="s">
        <v>66</v>
      </c>
    </row>
    <row r="505" spans="1:13" x14ac:dyDescent="0.3">
      <c r="A505" t="s">
        <v>21</v>
      </c>
      <c r="B505" t="s">
        <v>52</v>
      </c>
      <c r="C505">
        <v>64.47170351183793</v>
      </c>
      <c r="D505">
        <v>3.1061913721044432</v>
      </c>
      <c r="E505">
        <v>4.076523931172173</v>
      </c>
      <c r="F505">
        <v>10.387651953306481</v>
      </c>
      <c r="G505">
        <v>5.9537377332822627</v>
      </c>
      <c r="H505">
        <v>33.193145198279922</v>
      </c>
      <c r="I505">
        <v>20.216525089502831</v>
      </c>
      <c r="J505">
        <v>20.754886739503931</v>
      </c>
      <c r="K505">
        <v>1538.7286912934451</v>
      </c>
      <c r="L505">
        <v>1</v>
      </c>
      <c r="M505" t="s">
        <v>66</v>
      </c>
    </row>
    <row r="506" spans="1:13" x14ac:dyDescent="0.3">
      <c r="A506" t="s">
        <v>24</v>
      </c>
      <c r="B506" t="s">
        <v>58</v>
      </c>
      <c r="C506">
        <v>13.962806324617519</v>
      </c>
      <c r="D506">
        <v>0</v>
      </c>
      <c r="E506">
        <v>0</v>
      </c>
      <c r="F506">
        <v>1.8974639471407959</v>
      </c>
      <c r="G506">
        <v>6.5561900884824116</v>
      </c>
      <c r="H506">
        <v>44.39319458785387</v>
      </c>
      <c r="I506">
        <v>26.365430229517042</v>
      </c>
      <c r="J506">
        <v>22.740092245013258</v>
      </c>
      <c r="K506">
        <v>730.23060448489105</v>
      </c>
      <c r="L506">
        <v>0</v>
      </c>
      <c r="M506" t="s">
        <v>66</v>
      </c>
    </row>
    <row r="507" spans="1:13" x14ac:dyDescent="0.3">
      <c r="A507" t="s">
        <v>19</v>
      </c>
      <c r="B507" t="s">
        <v>47</v>
      </c>
      <c r="C507">
        <v>9.5254076459904127</v>
      </c>
      <c r="D507">
        <v>4.4725186972510667</v>
      </c>
      <c r="E507">
        <v>6.8398893594116252</v>
      </c>
      <c r="F507">
        <v>16.245687508222449</v>
      </c>
      <c r="G507">
        <v>6.3926330119068773</v>
      </c>
      <c r="H507">
        <v>28.057814086476089</v>
      </c>
      <c r="I507">
        <v>26.316509363580899</v>
      </c>
      <c r="J507">
        <v>25.234532665851422</v>
      </c>
      <c r="K507">
        <v>706.74422843172761</v>
      </c>
      <c r="L507">
        <v>1</v>
      </c>
      <c r="M507" t="s">
        <v>66</v>
      </c>
    </row>
    <row r="508" spans="1:13" x14ac:dyDescent="0.3">
      <c r="A508" t="s">
        <v>19</v>
      </c>
      <c r="B508" t="s">
        <v>48</v>
      </c>
      <c r="C508">
        <v>60.80696779808234</v>
      </c>
      <c r="D508">
        <v>3.08737296360282</v>
      </c>
      <c r="E508">
        <v>4.4617087766533601</v>
      </c>
      <c r="F508">
        <v>7.8577958359703031</v>
      </c>
      <c r="G508">
        <v>6.1646350193810724</v>
      </c>
      <c r="H508">
        <v>18.48336515674632</v>
      </c>
      <c r="I508">
        <v>32.178819258490719</v>
      </c>
      <c r="J508">
        <v>26.92577045904676</v>
      </c>
      <c r="K508">
        <v>1162.511163340082</v>
      </c>
      <c r="L508">
        <v>0</v>
      </c>
      <c r="M508" t="s">
        <v>66</v>
      </c>
    </row>
    <row r="509" spans="1:13" x14ac:dyDescent="0.3">
      <c r="A509" t="s">
        <v>19</v>
      </c>
      <c r="B509" t="s">
        <v>44</v>
      </c>
      <c r="C509">
        <v>14.02998071471924</v>
      </c>
      <c r="D509">
        <v>0</v>
      </c>
      <c r="E509">
        <v>0.95050968935990188</v>
      </c>
      <c r="F509">
        <v>2.0159862989678992</v>
      </c>
      <c r="G509">
        <v>5.9881086803845287</v>
      </c>
      <c r="H509">
        <v>39.898631869501941</v>
      </c>
      <c r="I509">
        <v>21.09038315328019</v>
      </c>
      <c r="J509">
        <v>19.687297208887429</v>
      </c>
      <c r="K509">
        <v>1944.8765869445081</v>
      </c>
      <c r="L509">
        <v>1</v>
      </c>
      <c r="M509" t="s">
        <v>66</v>
      </c>
    </row>
    <row r="510" spans="1:13" x14ac:dyDescent="0.3">
      <c r="A510" t="s">
        <v>16</v>
      </c>
      <c r="B510" t="s">
        <v>37</v>
      </c>
      <c r="C510">
        <v>12.568613037458579</v>
      </c>
      <c r="D510">
        <v>0</v>
      </c>
      <c r="E510">
        <v>0</v>
      </c>
      <c r="F510">
        <v>0.88308116258968106</v>
      </c>
      <c r="G510">
        <v>6.4676909261578484</v>
      </c>
      <c r="H510">
        <v>33.041845553670747</v>
      </c>
      <c r="I510">
        <v>16.61666161564531</v>
      </c>
      <c r="J510">
        <v>21.477311948963351</v>
      </c>
      <c r="K510">
        <v>1472.449315227133</v>
      </c>
      <c r="L510">
        <v>1</v>
      </c>
      <c r="M510" t="s">
        <v>66</v>
      </c>
    </row>
    <row r="511" spans="1:13" x14ac:dyDescent="0.3">
      <c r="A511" t="s">
        <v>19</v>
      </c>
      <c r="B511" t="s">
        <v>46</v>
      </c>
      <c r="C511">
        <v>24.105411979149959</v>
      </c>
      <c r="D511">
        <v>1.0735511778647551</v>
      </c>
      <c r="E511">
        <v>0.9433969615794684</v>
      </c>
      <c r="F511">
        <v>2.7784134325756629</v>
      </c>
      <c r="G511">
        <v>6.0185362358643202</v>
      </c>
      <c r="H511">
        <v>30.428077083778831</v>
      </c>
      <c r="I511">
        <v>25.27433999512149</v>
      </c>
      <c r="J511">
        <v>27.17173116528895</v>
      </c>
      <c r="K511">
        <v>1408.016031565983</v>
      </c>
      <c r="L511">
        <v>1</v>
      </c>
      <c r="M511" t="s">
        <v>66</v>
      </c>
    </row>
    <row r="512" spans="1:13" x14ac:dyDescent="0.3">
      <c r="A512" t="s">
        <v>18</v>
      </c>
      <c r="B512" t="s">
        <v>42</v>
      </c>
      <c r="C512">
        <v>44.250618872192717</v>
      </c>
      <c r="D512">
        <v>1.945138184054096</v>
      </c>
      <c r="E512">
        <v>3.518827243624814</v>
      </c>
      <c r="F512">
        <v>7.1132100439525487</v>
      </c>
      <c r="G512">
        <v>5.6598203741436039</v>
      </c>
      <c r="H512">
        <v>19.811553686787921</v>
      </c>
      <c r="I512">
        <v>23.766287653589259</v>
      </c>
      <c r="J512">
        <v>27.021269522774791</v>
      </c>
      <c r="K512">
        <v>1640.75358802192</v>
      </c>
      <c r="L512">
        <v>1</v>
      </c>
      <c r="M512" t="s">
        <v>66</v>
      </c>
    </row>
    <row r="513" spans="1:13" x14ac:dyDescent="0.3">
      <c r="A513" t="s">
        <v>24</v>
      </c>
      <c r="B513" t="s">
        <v>61</v>
      </c>
      <c r="C513">
        <v>131.26715280874879</v>
      </c>
      <c r="D513">
        <v>5.0866421922714977</v>
      </c>
      <c r="E513">
        <v>6.5909653706297027</v>
      </c>
      <c r="F513">
        <v>19.736769669256059</v>
      </c>
      <c r="G513">
        <v>6.3816161628960346</v>
      </c>
      <c r="H513">
        <v>18.803448151261659</v>
      </c>
      <c r="I513">
        <v>30.725349549381569</v>
      </c>
      <c r="J513">
        <v>30.26310751138595</v>
      </c>
      <c r="K513">
        <v>48.350964574824729</v>
      </c>
      <c r="L513">
        <v>-1</v>
      </c>
      <c r="M513" t="s">
        <v>66</v>
      </c>
    </row>
    <row r="514" spans="1:13" x14ac:dyDescent="0.3">
      <c r="A514" t="s">
        <v>18</v>
      </c>
      <c r="B514" t="s">
        <v>43</v>
      </c>
      <c r="C514">
        <v>25.521958566696199</v>
      </c>
      <c r="D514">
        <v>1.049105215486875</v>
      </c>
      <c r="E514">
        <v>0.93828529887453538</v>
      </c>
      <c r="F514">
        <v>3.8424050358117672</v>
      </c>
      <c r="G514">
        <v>6.2356306313046783</v>
      </c>
      <c r="H514">
        <v>22.978454409270551</v>
      </c>
      <c r="I514">
        <v>26.177105635938549</v>
      </c>
      <c r="J514">
        <v>19.418789320150491</v>
      </c>
      <c r="K514">
        <v>1773.126142407481</v>
      </c>
      <c r="L514">
        <v>1</v>
      </c>
      <c r="M514" t="s">
        <v>66</v>
      </c>
    </row>
    <row r="515" spans="1:13" x14ac:dyDescent="0.3">
      <c r="A515" t="s">
        <v>22</v>
      </c>
      <c r="B515" t="s">
        <v>53</v>
      </c>
      <c r="C515">
        <v>178.8254662189668</v>
      </c>
      <c r="D515">
        <v>9.787975167536894</v>
      </c>
      <c r="E515">
        <v>12.234312011431889</v>
      </c>
      <c r="F515">
        <v>29.308305737338952</v>
      </c>
      <c r="G515">
        <v>6.4428012378052282</v>
      </c>
      <c r="H515">
        <v>38.157057149438216</v>
      </c>
      <c r="I515">
        <v>24.388365857150401</v>
      </c>
      <c r="J515">
        <v>22.252043887907259</v>
      </c>
      <c r="K515">
        <v>1329.294310626572</v>
      </c>
      <c r="L515">
        <v>1</v>
      </c>
      <c r="M515" t="s">
        <v>66</v>
      </c>
    </row>
    <row r="516" spans="1:13" x14ac:dyDescent="0.3">
      <c r="A516" t="s">
        <v>24</v>
      </c>
      <c r="B516" t="s">
        <v>61</v>
      </c>
      <c r="C516">
        <v>180.39481736162369</v>
      </c>
      <c r="D516">
        <v>8.9576129451396103</v>
      </c>
      <c r="E516">
        <v>11.447990568159369</v>
      </c>
      <c r="F516">
        <v>29.946086548507019</v>
      </c>
      <c r="G516">
        <v>6.5068940067874896</v>
      </c>
      <c r="H516">
        <v>25.73298589982533</v>
      </c>
      <c r="I516">
        <v>29.76190876441969</v>
      </c>
      <c r="J516">
        <v>29.448655338467901</v>
      </c>
      <c r="K516">
        <v>13.83002975444856</v>
      </c>
      <c r="L516">
        <v>-1</v>
      </c>
      <c r="M516" t="s">
        <v>66</v>
      </c>
    </row>
    <row r="517" spans="1:13" x14ac:dyDescent="0.3">
      <c r="A517" t="s">
        <v>18</v>
      </c>
      <c r="B517" t="s">
        <v>41</v>
      </c>
      <c r="C517">
        <v>0</v>
      </c>
      <c r="D517">
        <v>0</v>
      </c>
      <c r="E517">
        <v>0</v>
      </c>
      <c r="F517">
        <v>-1.7763568394002501E-15</v>
      </c>
      <c r="G517">
        <v>6.0461367442918874</v>
      </c>
      <c r="H517">
        <v>21.611449381261622</v>
      </c>
      <c r="I517">
        <v>29.722970792754769</v>
      </c>
      <c r="J517">
        <v>32.509594805863102</v>
      </c>
      <c r="K517">
        <v>1787.425371334592</v>
      </c>
      <c r="L517">
        <v>1</v>
      </c>
      <c r="M517" t="s">
        <v>66</v>
      </c>
    </row>
    <row r="518" spans="1:13" x14ac:dyDescent="0.3">
      <c r="A518" t="s">
        <v>18</v>
      </c>
      <c r="B518" t="s">
        <v>41</v>
      </c>
      <c r="C518">
        <v>0</v>
      </c>
      <c r="D518">
        <v>0</v>
      </c>
      <c r="E518">
        <v>0</v>
      </c>
      <c r="F518">
        <v>-1.7763568394002501E-15</v>
      </c>
      <c r="G518">
        <v>5.9911000693489083</v>
      </c>
      <c r="H518">
        <v>21.99361281890328</v>
      </c>
      <c r="I518">
        <v>30.316757907334619</v>
      </c>
      <c r="J518">
        <v>34.274856247239313</v>
      </c>
      <c r="K518">
        <v>1757.0642795220881</v>
      </c>
      <c r="L518">
        <v>1</v>
      </c>
      <c r="M518" t="s">
        <v>66</v>
      </c>
    </row>
    <row r="519" spans="1:13" x14ac:dyDescent="0.3">
      <c r="A519" t="s">
        <v>19</v>
      </c>
      <c r="B519" t="s">
        <v>46</v>
      </c>
      <c r="C519">
        <v>25.341473698580941</v>
      </c>
      <c r="D519">
        <v>0.91178463851459313</v>
      </c>
      <c r="E519">
        <v>0.9538066273724306</v>
      </c>
      <c r="F519">
        <v>2.7383383297603028</v>
      </c>
      <c r="G519">
        <v>6.0607600025046873</v>
      </c>
      <c r="H519">
        <v>28.829027463490601</v>
      </c>
      <c r="I519">
        <v>24.837972174518551</v>
      </c>
      <c r="J519">
        <v>25.271114996048649</v>
      </c>
      <c r="K519">
        <v>1361.498896535004</v>
      </c>
      <c r="L519">
        <v>1</v>
      </c>
      <c r="M519" t="s">
        <v>66</v>
      </c>
    </row>
    <row r="520" spans="1:13" x14ac:dyDescent="0.3">
      <c r="A520" t="s">
        <v>18</v>
      </c>
      <c r="B520" t="s">
        <v>42</v>
      </c>
      <c r="C520">
        <v>59.998931855307497</v>
      </c>
      <c r="D520">
        <v>2.6441458413179801</v>
      </c>
      <c r="E520">
        <v>4.2706059416764717</v>
      </c>
      <c r="F520">
        <v>9.8826711326588903</v>
      </c>
      <c r="G520">
        <v>5.6142269432033212</v>
      </c>
      <c r="H520">
        <v>40.744060959513142</v>
      </c>
      <c r="I520">
        <v>19.821014019639058</v>
      </c>
      <c r="J520">
        <v>19.94269667142165</v>
      </c>
      <c r="K520">
        <v>1725.1878427040631</v>
      </c>
      <c r="L520">
        <v>1</v>
      </c>
      <c r="M520" t="s">
        <v>66</v>
      </c>
    </row>
    <row r="521" spans="1:13" x14ac:dyDescent="0.3">
      <c r="A521" t="s">
        <v>19</v>
      </c>
      <c r="B521" t="s">
        <v>44</v>
      </c>
      <c r="C521">
        <v>29.458732573026179</v>
      </c>
      <c r="D521">
        <v>0.93223635136703198</v>
      </c>
      <c r="E521">
        <v>2.0832571439505099</v>
      </c>
      <c r="F521">
        <v>3.608358231865969</v>
      </c>
      <c r="G521">
        <v>6.0414779471900486</v>
      </c>
      <c r="H521">
        <v>22.436783285799269</v>
      </c>
      <c r="I521">
        <v>20.293968163346939</v>
      </c>
      <c r="J521">
        <v>18.933709187850159</v>
      </c>
      <c r="K521">
        <v>2012.350343312705</v>
      </c>
      <c r="L521">
        <v>1</v>
      </c>
      <c r="M521" t="s">
        <v>66</v>
      </c>
    </row>
    <row r="522" spans="1:13" x14ac:dyDescent="0.3">
      <c r="A522" t="s">
        <v>15</v>
      </c>
      <c r="B522" t="s">
        <v>34</v>
      </c>
      <c r="C522">
        <v>60.859412896569403</v>
      </c>
      <c r="D522">
        <v>3.1810341289833111</v>
      </c>
      <c r="E522">
        <v>3.5565330849494421</v>
      </c>
      <c r="F522">
        <v>9.6219597396208734</v>
      </c>
      <c r="G522">
        <v>6.1132078175636506</v>
      </c>
      <c r="H522">
        <v>33.50386755591488</v>
      </c>
      <c r="I522">
        <v>18.337845249721461</v>
      </c>
      <c r="J522">
        <v>18.512944674063331</v>
      </c>
      <c r="K522">
        <v>2083.3398322901312</v>
      </c>
      <c r="L522">
        <v>1</v>
      </c>
      <c r="M522" t="s">
        <v>66</v>
      </c>
    </row>
    <row r="523" spans="1:13" x14ac:dyDescent="0.3">
      <c r="A523" t="s">
        <v>18</v>
      </c>
      <c r="B523" t="s">
        <v>42</v>
      </c>
      <c r="C523">
        <v>5.807688173808927</v>
      </c>
      <c r="D523">
        <v>0</v>
      </c>
      <c r="E523">
        <v>0</v>
      </c>
      <c r="F523">
        <v>-1.7763568394002501E-15</v>
      </c>
      <c r="G523">
        <v>5.7309341702293457</v>
      </c>
      <c r="H523">
        <v>21.974333708165322</v>
      </c>
      <c r="I523">
        <v>20.317139512697239</v>
      </c>
      <c r="J523">
        <v>25.327222923080221</v>
      </c>
      <c r="K523">
        <v>1889.184142143783</v>
      </c>
      <c r="L523">
        <v>1</v>
      </c>
      <c r="M523" t="s">
        <v>66</v>
      </c>
    </row>
    <row r="524" spans="1:13" x14ac:dyDescent="0.3">
      <c r="A524" t="s">
        <v>20</v>
      </c>
      <c r="B524" t="s">
        <v>49</v>
      </c>
      <c r="C524">
        <v>94.3390693427325</v>
      </c>
      <c r="D524">
        <v>3.8802228241249179</v>
      </c>
      <c r="E524">
        <v>5.5999504478083146</v>
      </c>
      <c r="F524">
        <v>15.67979140669231</v>
      </c>
      <c r="G524">
        <v>5.3443698896159848</v>
      </c>
      <c r="H524">
        <v>27.88623232151928</v>
      </c>
      <c r="I524">
        <v>20.84408069377044</v>
      </c>
      <c r="J524">
        <v>21.0003113701461</v>
      </c>
      <c r="K524">
        <v>1776.8376168484699</v>
      </c>
      <c r="L524">
        <v>1</v>
      </c>
      <c r="M524" t="s">
        <v>66</v>
      </c>
    </row>
    <row r="525" spans="1:13" x14ac:dyDescent="0.3">
      <c r="A525" t="s">
        <v>15</v>
      </c>
      <c r="B525" t="s">
        <v>33</v>
      </c>
      <c r="C525">
        <v>41.137947002542418</v>
      </c>
      <c r="D525">
        <v>2.010066023286718</v>
      </c>
      <c r="E525">
        <v>1.7459701345418239</v>
      </c>
      <c r="F525">
        <v>5.9620356410869064</v>
      </c>
      <c r="G525">
        <v>6.0456951175107747</v>
      </c>
      <c r="H525">
        <v>38.150613621037039</v>
      </c>
      <c r="I525">
        <v>20.308409270745472</v>
      </c>
      <c r="J525">
        <v>18.16437948286384</v>
      </c>
      <c r="K525">
        <v>1914.5131548602169</v>
      </c>
      <c r="L525">
        <v>1</v>
      </c>
      <c r="M525" t="s">
        <v>66</v>
      </c>
    </row>
    <row r="526" spans="1:13" x14ac:dyDescent="0.3">
      <c r="A526" t="s">
        <v>18</v>
      </c>
      <c r="B526" t="s">
        <v>42</v>
      </c>
      <c r="C526">
        <v>36.455521434900142</v>
      </c>
      <c r="D526">
        <v>1.0737791821248639</v>
      </c>
      <c r="E526">
        <v>2.0895714439204891</v>
      </c>
      <c r="F526">
        <v>4.7203647973891698</v>
      </c>
      <c r="G526">
        <v>5.4667103474307037</v>
      </c>
      <c r="H526">
        <v>24.48682967586608</v>
      </c>
      <c r="I526">
        <v>21.18982565295407</v>
      </c>
      <c r="J526">
        <v>26.454605319531058</v>
      </c>
      <c r="K526">
        <v>1870.957981522911</v>
      </c>
      <c r="L526">
        <v>1</v>
      </c>
      <c r="M526" t="s">
        <v>66</v>
      </c>
    </row>
    <row r="527" spans="1:13" x14ac:dyDescent="0.3">
      <c r="A527" t="s">
        <v>18</v>
      </c>
      <c r="B527" t="s">
        <v>41</v>
      </c>
      <c r="C527">
        <v>10.466574357193471</v>
      </c>
      <c r="D527">
        <v>0</v>
      </c>
      <c r="E527">
        <v>0</v>
      </c>
      <c r="F527">
        <v>0.93208738305795258</v>
      </c>
      <c r="G527">
        <v>6.0269783873458378</v>
      </c>
      <c r="H527">
        <v>19.304848463086781</v>
      </c>
      <c r="I527">
        <v>18.35532167007316</v>
      </c>
      <c r="J527">
        <v>20.412931507255109</v>
      </c>
      <c r="K527">
        <v>1800.269654033176</v>
      </c>
      <c r="L527">
        <v>1</v>
      </c>
      <c r="M527" t="s">
        <v>66</v>
      </c>
    </row>
    <row r="528" spans="1:13" x14ac:dyDescent="0.3">
      <c r="A528" t="s">
        <v>20</v>
      </c>
      <c r="B528" t="s">
        <v>51</v>
      </c>
      <c r="C528">
        <v>75.864712831014657</v>
      </c>
      <c r="D528">
        <v>3.0576947869968838</v>
      </c>
      <c r="E528">
        <v>5.6335264580062514</v>
      </c>
      <c r="F528">
        <v>8.7750101552971174</v>
      </c>
      <c r="G528">
        <v>6.5900098678982957</v>
      </c>
      <c r="H528">
        <v>63.310341505517492</v>
      </c>
      <c r="I528">
        <v>19.975803702400601</v>
      </c>
      <c r="J528">
        <v>21.137798630519381</v>
      </c>
      <c r="K528">
        <v>1439.7952008069469</v>
      </c>
      <c r="L528">
        <v>1</v>
      </c>
      <c r="M528" t="s">
        <v>66</v>
      </c>
    </row>
    <row r="529" spans="1:13" x14ac:dyDescent="0.3">
      <c r="A529" t="s">
        <v>15</v>
      </c>
      <c r="B529" t="s">
        <v>32</v>
      </c>
      <c r="C529">
        <v>6.709224174534441</v>
      </c>
      <c r="D529">
        <v>0</v>
      </c>
      <c r="E529">
        <v>0</v>
      </c>
      <c r="F529">
        <v>1.002162738530934</v>
      </c>
      <c r="G529">
        <v>6.5264606766123121</v>
      </c>
      <c r="H529">
        <v>27.026073998163142</v>
      </c>
      <c r="I529">
        <v>22.6290268089117</v>
      </c>
      <c r="J529">
        <v>19.91947607520817</v>
      </c>
      <c r="K529">
        <v>1608.0093126969471</v>
      </c>
      <c r="L529">
        <v>1</v>
      </c>
      <c r="M529" t="s">
        <v>66</v>
      </c>
    </row>
    <row r="530" spans="1:13" x14ac:dyDescent="0.3">
      <c r="A530" t="s">
        <v>20</v>
      </c>
      <c r="B530" t="s">
        <v>50</v>
      </c>
      <c r="C530">
        <v>55.096101301433109</v>
      </c>
      <c r="D530">
        <v>1.591687603374635</v>
      </c>
      <c r="E530">
        <v>2.879981933243517</v>
      </c>
      <c r="F530">
        <v>6.8732285849772143</v>
      </c>
      <c r="G530">
        <v>6.0899630853826379</v>
      </c>
      <c r="H530">
        <v>24.186059331938949</v>
      </c>
      <c r="I530">
        <v>18.07797454342111</v>
      </c>
      <c r="J530">
        <v>21.03322451970979</v>
      </c>
      <c r="K530">
        <v>1720.369042487192</v>
      </c>
      <c r="L530">
        <v>1</v>
      </c>
      <c r="M530" t="s">
        <v>66</v>
      </c>
    </row>
    <row r="531" spans="1:13" x14ac:dyDescent="0.3">
      <c r="A531" t="s">
        <v>15</v>
      </c>
      <c r="B531" t="s">
        <v>32</v>
      </c>
      <c r="C531">
        <v>43.551600933110272</v>
      </c>
      <c r="D531">
        <v>1.913273586419211</v>
      </c>
      <c r="E531">
        <v>2.5789605434306799</v>
      </c>
      <c r="F531">
        <v>7.641494946575027</v>
      </c>
      <c r="G531">
        <v>5.9557665660338914</v>
      </c>
      <c r="H531">
        <v>33.683408907338901</v>
      </c>
      <c r="I531">
        <v>19.23894882888959</v>
      </c>
      <c r="J531">
        <v>17.9801075643974</v>
      </c>
      <c r="K531">
        <v>1892.903152187733</v>
      </c>
      <c r="L531">
        <v>1</v>
      </c>
      <c r="M531" t="s">
        <v>66</v>
      </c>
    </row>
    <row r="532" spans="1:13" x14ac:dyDescent="0.3">
      <c r="A532" t="s">
        <v>20</v>
      </c>
      <c r="B532" t="s">
        <v>51</v>
      </c>
      <c r="C532">
        <v>43.15802555556337</v>
      </c>
      <c r="D532">
        <v>2.1797664232189971</v>
      </c>
      <c r="E532">
        <v>3.182553087063928</v>
      </c>
      <c r="F532">
        <v>7.8650077019364026</v>
      </c>
      <c r="G532">
        <v>5.8444318015010097</v>
      </c>
      <c r="H532">
        <v>22.3728618136435</v>
      </c>
      <c r="I532">
        <v>21.103244851180239</v>
      </c>
      <c r="J532">
        <v>22.24790011493587</v>
      </c>
      <c r="K532">
        <v>1535.542398954783</v>
      </c>
      <c r="L532">
        <v>1</v>
      </c>
      <c r="M532" t="s">
        <v>66</v>
      </c>
    </row>
    <row r="533" spans="1:13" x14ac:dyDescent="0.3">
      <c r="A533" t="s">
        <v>21</v>
      </c>
      <c r="B533" t="s">
        <v>52</v>
      </c>
      <c r="C533">
        <v>32.38859681956027</v>
      </c>
      <c r="D533">
        <v>1.0739417656742991</v>
      </c>
      <c r="E533">
        <v>1.800333477274608</v>
      </c>
      <c r="F533">
        <v>4.3727634638139321</v>
      </c>
      <c r="G533">
        <v>6.2170769225637406</v>
      </c>
      <c r="H533">
        <v>33.774774267083863</v>
      </c>
      <c r="I533">
        <v>21.420381298714918</v>
      </c>
      <c r="J533">
        <v>21.022006325435381</v>
      </c>
      <c r="K533">
        <v>1488.3354883899181</v>
      </c>
      <c r="L533">
        <v>1</v>
      </c>
      <c r="M533" t="s">
        <v>66</v>
      </c>
    </row>
    <row r="534" spans="1:13" x14ac:dyDescent="0.3">
      <c r="A534" t="s">
        <v>19</v>
      </c>
      <c r="B534" t="s">
        <v>48</v>
      </c>
      <c r="C534">
        <v>42.007989097548453</v>
      </c>
      <c r="D534">
        <v>2.012381847666556</v>
      </c>
      <c r="E534">
        <v>3.3577681972404489</v>
      </c>
      <c r="F534">
        <v>7.3502808203997407</v>
      </c>
      <c r="G534">
        <v>6.2678866415573822</v>
      </c>
      <c r="H534">
        <v>19.90249655922856</v>
      </c>
      <c r="I534">
        <v>32.905751280897888</v>
      </c>
      <c r="J534">
        <v>26.183609129794839</v>
      </c>
      <c r="K534">
        <v>1156.9602316037419</v>
      </c>
      <c r="L534">
        <v>0</v>
      </c>
      <c r="M534" t="s">
        <v>66</v>
      </c>
    </row>
    <row r="535" spans="1:13" x14ac:dyDescent="0.3">
      <c r="A535" t="s">
        <v>18</v>
      </c>
      <c r="B535" t="s">
        <v>41</v>
      </c>
      <c r="C535">
        <v>114.9771023444271</v>
      </c>
      <c r="D535">
        <v>5.6333012124725332</v>
      </c>
      <c r="E535">
        <v>8.9632964689059254</v>
      </c>
      <c r="F535">
        <v>20.232091143053211</v>
      </c>
      <c r="G535">
        <v>4.3</v>
      </c>
      <c r="H535">
        <v>54.760172679307921</v>
      </c>
      <c r="I535">
        <v>20.108620885054751</v>
      </c>
      <c r="J535">
        <v>21.065415605002912</v>
      </c>
      <c r="K535">
        <v>1696.10073696269</v>
      </c>
      <c r="L535">
        <v>1</v>
      </c>
      <c r="M535" t="s">
        <v>66</v>
      </c>
    </row>
    <row r="536" spans="1:13" x14ac:dyDescent="0.3">
      <c r="A536" t="s">
        <v>20</v>
      </c>
      <c r="B536" t="s">
        <v>49</v>
      </c>
      <c r="C536">
        <v>39.700997646095203</v>
      </c>
      <c r="D536">
        <v>1.0399686836309621</v>
      </c>
      <c r="E536">
        <v>1.8722051275404019</v>
      </c>
      <c r="F536">
        <v>6.7613136717112976</v>
      </c>
      <c r="G536">
        <v>6.2621677970755059</v>
      </c>
      <c r="H536">
        <v>17.328303927315702</v>
      </c>
      <c r="I536">
        <v>31.941926713406101</v>
      </c>
      <c r="J536">
        <v>25.017598644731539</v>
      </c>
      <c r="K536">
        <v>1210.214127730743</v>
      </c>
      <c r="L536">
        <v>0</v>
      </c>
      <c r="M536" t="s">
        <v>66</v>
      </c>
    </row>
    <row r="537" spans="1:13" x14ac:dyDescent="0.3">
      <c r="A537" t="s">
        <v>18</v>
      </c>
      <c r="B537" t="s">
        <v>42</v>
      </c>
      <c r="C537">
        <v>27.10613495411522</v>
      </c>
      <c r="D537">
        <v>0.83828815148469316</v>
      </c>
      <c r="E537">
        <v>1.0677580728988909</v>
      </c>
      <c r="F537">
        <v>4.152523295032978</v>
      </c>
      <c r="G537">
        <v>5.3170944734503953</v>
      </c>
      <c r="H537">
        <v>28.985582443147571</v>
      </c>
      <c r="I537">
        <v>19.093100819993619</v>
      </c>
      <c r="J537">
        <v>26.59699037065386</v>
      </c>
      <c r="K537">
        <v>1859.841183420876</v>
      </c>
      <c r="L537">
        <v>1</v>
      </c>
      <c r="M537" t="s">
        <v>66</v>
      </c>
    </row>
    <row r="538" spans="1:13" x14ac:dyDescent="0.3">
      <c r="A538" t="s">
        <v>18</v>
      </c>
      <c r="B538" t="s">
        <v>42</v>
      </c>
      <c r="C538">
        <v>30.501509337430178</v>
      </c>
      <c r="D538">
        <v>1.0340728834941</v>
      </c>
      <c r="E538">
        <v>1.885769029931776</v>
      </c>
      <c r="F538">
        <v>5.6801698278048587</v>
      </c>
      <c r="G538">
        <v>5.7634830282761653</v>
      </c>
      <c r="H538">
        <v>29.1169972129663</v>
      </c>
      <c r="I538">
        <v>23.022716144794501</v>
      </c>
      <c r="J538">
        <v>26.144170644367058</v>
      </c>
      <c r="K538">
        <v>1589.795880671642</v>
      </c>
      <c r="L538">
        <v>1</v>
      </c>
      <c r="M538" t="s">
        <v>66</v>
      </c>
    </row>
    <row r="539" spans="1:13" x14ac:dyDescent="0.3">
      <c r="A539" t="s">
        <v>24</v>
      </c>
      <c r="B539" t="s">
        <v>59</v>
      </c>
      <c r="C539">
        <v>60.129332079240243</v>
      </c>
      <c r="D539">
        <v>1.904739424602933</v>
      </c>
      <c r="E539">
        <v>3.999557602752513</v>
      </c>
      <c r="F539">
        <v>10.243515214737471</v>
      </c>
      <c r="G539">
        <v>6.6216084014367249</v>
      </c>
      <c r="H539">
        <v>57.121525297845622</v>
      </c>
      <c r="I539">
        <v>27.010080151467498</v>
      </c>
      <c r="J539">
        <v>23.861911231750369</v>
      </c>
      <c r="K539">
        <v>722.59316401800652</v>
      </c>
      <c r="L539">
        <v>0</v>
      </c>
      <c r="M539" t="s">
        <v>66</v>
      </c>
    </row>
    <row r="540" spans="1:13" x14ac:dyDescent="0.3">
      <c r="A540" t="s">
        <v>15</v>
      </c>
      <c r="B540" t="s">
        <v>33</v>
      </c>
      <c r="C540">
        <v>90.003037477503767</v>
      </c>
      <c r="D540">
        <v>3.6566525427251082</v>
      </c>
      <c r="E540">
        <v>6.3183887018899334</v>
      </c>
      <c r="F540">
        <v>14.224481178068849</v>
      </c>
      <c r="G540">
        <v>6.1424089035382989</v>
      </c>
      <c r="H540">
        <v>32.307136623938767</v>
      </c>
      <c r="I540">
        <v>20.29958966505006</v>
      </c>
      <c r="J540">
        <v>19.14062268346521</v>
      </c>
      <c r="K540">
        <v>2067.6396821385201</v>
      </c>
      <c r="L540">
        <v>1</v>
      </c>
      <c r="M540" t="s">
        <v>66</v>
      </c>
    </row>
    <row r="541" spans="1:13" x14ac:dyDescent="0.3">
      <c r="A541" t="s">
        <v>20</v>
      </c>
      <c r="B541" t="s">
        <v>51</v>
      </c>
      <c r="C541">
        <v>70.264674088324355</v>
      </c>
      <c r="D541">
        <v>3.3396419797598158</v>
      </c>
      <c r="E541">
        <v>4.2753333616641518</v>
      </c>
      <c r="F541">
        <v>10.94612514602434</v>
      </c>
      <c r="G541">
        <v>6.6364092443171243</v>
      </c>
      <c r="H541">
        <v>26.87792430936215</v>
      </c>
      <c r="I541">
        <v>21.23286109032723</v>
      </c>
      <c r="J541">
        <v>19.207828437079279</v>
      </c>
      <c r="K541">
        <v>1514.9059468757091</v>
      </c>
      <c r="L541">
        <v>1</v>
      </c>
      <c r="M541" t="s">
        <v>66</v>
      </c>
    </row>
    <row r="542" spans="1:13" x14ac:dyDescent="0.3">
      <c r="A542" t="s">
        <v>22</v>
      </c>
      <c r="B542" t="s">
        <v>53</v>
      </c>
      <c r="C542">
        <v>343.43779017733692</v>
      </c>
      <c r="D542">
        <v>19.968699338598061</v>
      </c>
      <c r="E542">
        <v>21.968680679402389</v>
      </c>
      <c r="F542">
        <v>49.347803639893357</v>
      </c>
      <c r="G542">
        <v>6.164336332466366</v>
      </c>
      <c r="H542">
        <v>32.066690095764137</v>
      </c>
      <c r="I542">
        <v>25.59785669669553</v>
      </c>
      <c r="J542">
        <v>21.736469799779439</v>
      </c>
      <c r="K542">
        <v>1326.5459507425351</v>
      </c>
      <c r="L542">
        <v>1</v>
      </c>
      <c r="M542" t="s">
        <v>66</v>
      </c>
    </row>
    <row r="543" spans="1:13" x14ac:dyDescent="0.3">
      <c r="A543" t="s">
        <v>20</v>
      </c>
      <c r="B543" t="s">
        <v>50</v>
      </c>
      <c r="C543">
        <v>23.421577781400419</v>
      </c>
      <c r="D543">
        <v>0.80925749177299844</v>
      </c>
      <c r="E543">
        <v>1.056530509657267</v>
      </c>
      <c r="F543">
        <v>2.8153214900690582</v>
      </c>
      <c r="G543">
        <v>5.9235894296362837</v>
      </c>
      <c r="H543">
        <v>37.044314506987277</v>
      </c>
      <c r="I543">
        <v>23.302923922039081</v>
      </c>
      <c r="J543">
        <v>21.960934434799</v>
      </c>
      <c r="K543">
        <v>1592.718636872125</v>
      </c>
      <c r="L543">
        <v>1</v>
      </c>
      <c r="M543" t="s">
        <v>66</v>
      </c>
    </row>
    <row r="544" spans="1:13" x14ac:dyDescent="0.3">
      <c r="A544" t="s">
        <v>25</v>
      </c>
      <c r="B544" t="s">
        <v>62</v>
      </c>
      <c r="C544">
        <v>22.944450864755691</v>
      </c>
      <c r="D544">
        <v>1.0613281495346409</v>
      </c>
      <c r="E544">
        <v>0.99065866019311688</v>
      </c>
      <c r="F544">
        <v>2.842317737139711</v>
      </c>
      <c r="G544">
        <v>6.3735812388150448</v>
      </c>
      <c r="H544">
        <v>67.170351075055521</v>
      </c>
      <c r="I544">
        <v>20.350187333882541</v>
      </c>
      <c r="J544">
        <v>24.091583606137949</v>
      </c>
      <c r="K544">
        <v>1204.637814768794</v>
      </c>
      <c r="L544">
        <v>0</v>
      </c>
      <c r="M544" t="s">
        <v>66</v>
      </c>
    </row>
    <row r="545" spans="1:13" x14ac:dyDescent="0.3">
      <c r="A545" t="s">
        <v>24</v>
      </c>
      <c r="B545" t="s">
        <v>60</v>
      </c>
      <c r="C545">
        <v>499.95046628084731</v>
      </c>
      <c r="D545">
        <v>24.003930472327099</v>
      </c>
      <c r="E545">
        <v>34.666835753364687</v>
      </c>
      <c r="F545">
        <v>78.872359940646746</v>
      </c>
      <c r="G545">
        <v>5.4386223576395274</v>
      </c>
      <c r="H545">
        <v>71.524022174864868</v>
      </c>
      <c r="I545">
        <v>32.913736009665953</v>
      </c>
      <c r="J545">
        <v>29.475867638368051</v>
      </c>
      <c r="K545">
        <v>11</v>
      </c>
      <c r="L545">
        <v>-1</v>
      </c>
      <c r="M545" t="s">
        <v>66</v>
      </c>
    </row>
    <row r="546" spans="1:13" x14ac:dyDescent="0.3">
      <c r="A546" t="s">
        <v>24</v>
      </c>
      <c r="B546" t="s">
        <v>59</v>
      </c>
      <c r="C546">
        <v>362.01509931782022</v>
      </c>
      <c r="D546">
        <v>18.327604053430552</v>
      </c>
      <c r="E546">
        <v>22.29184820093549</v>
      </c>
      <c r="F546">
        <v>49.611924127729793</v>
      </c>
      <c r="G546">
        <v>5.3410413784487529</v>
      </c>
      <c r="H546">
        <v>73.952834486028451</v>
      </c>
      <c r="I546">
        <v>30.43320662381435</v>
      </c>
      <c r="J546">
        <v>30.829382330428611</v>
      </c>
      <c r="K546">
        <v>11</v>
      </c>
      <c r="L546">
        <v>-1</v>
      </c>
      <c r="M546" t="s">
        <v>66</v>
      </c>
    </row>
    <row r="547" spans="1:13" x14ac:dyDescent="0.3">
      <c r="A547" t="s">
        <v>21</v>
      </c>
      <c r="B547" t="s">
        <v>52</v>
      </c>
      <c r="C547">
        <v>55.781501840694432</v>
      </c>
      <c r="D547">
        <v>2.0841771237246962</v>
      </c>
      <c r="E547">
        <v>3.0509183127212451</v>
      </c>
      <c r="F547">
        <v>7.1941538774942853</v>
      </c>
      <c r="G547">
        <v>6.4619508462806028</v>
      </c>
      <c r="H547">
        <v>34.991682771963369</v>
      </c>
      <c r="I547">
        <v>20.810384595024878</v>
      </c>
      <c r="J547">
        <v>19.695320769783919</v>
      </c>
      <c r="K547">
        <v>1246.823696341721</v>
      </c>
      <c r="L547">
        <v>1</v>
      </c>
      <c r="M547" t="s">
        <v>66</v>
      </c>
    </row>
    <row r="548" spans="1:13" x14ac:dyDescent="0.3">
      <c r="A548" t="s">
        <v>18</v>
      </c>
      <c r="B548" t="s">
        <v>43</v>
      </c>
      <c r="C548">
        <v>24.95817910889804</v>
      </c>
      <c r="D548">
        <v>0.90691520403708914</v>
      </c>
      <c r="E548">
        <v>1.0338057011535839</v>
      </c>
      <c r="F548">
        <v>3.972821130950777</v>
      </c>
      <c r="G548">
        <v>6.3718042593571296</v>
      </c>
      <c r="H548">
        <v>24.742707723198631</v>
      </c>
      <c r="I548">
        <v>25.891203160725951</v>
      </c>
      <c r="J548">
        <v>19.746984891243379</v>
      </c>
      <c r="K548">
        <v>1795.1862351947259</v>
      </c>
      <c r="L548">
        <v>1</v>
      </c>
      <c r="M548" t="s">
        <v>66</v>
      </c>
    </row>
    <row r="549" spans="1:13" x14ac:dyDescent="0.3">
      <c r="A549" t="s">
        <v>15</v>
      </c>
      <c r="B549" t="s">
        <v>34</v>
      </c>
      <c r="C549">
        <v>184.7395890551243</v>
      </c>
      <c r="D549">
        <v>7.950841661712734</v>
      </c>
      <c r="E549">
        <v>13.608844360784619</v>
      </c>
      <c r="F549">
        <v>28.521356996574621</v>
      </c>
      <c r="G549">
        <v>5.7044466512783298</v>
      </c>
      <c r="H549">
        <v>43.705955116446361</v>
      </c>
      <c r="I549">
        <v>25.108253483810611</v>
      </c>
      <c r="J549">
        <v>19.705132494365419</v>
      </c>
      <c r="K549">
        <v>2068.1752530895201</v>
      </c>
      <c r="L549">
        <v>1</v>
      </c>
      <c r="M549" t="s">
        <v>66</v>
      </c>
    </row>
    <row r="550" spans="1:13" x14ac:dyDescent="0.3">
      <c r="A550" t="s">
        <v>19</v>
      </c>
      <c r="B550" t="s">
        <v>47</v>
      </c>
      <c r="C550">
        <v>10.031149081235061</v>
      </c>
      <c r="D550">
        <v>4.7871404512893836</v>
      </c>
      <c r="E550">
        <v>5.8473756909846184</v>
      </c>
      <c r="F550">
        <v>17.898390012935309</v>
      </c>
      <c r="G550">
        <v>6.0777906324565603</v>
      </c>
      <c r="H550">
        <v>27.755343509214448</v>
      </c>
      <c r="I550">
        <v>24.5239702220121</v>
      </c>
      <c r="J550">
        <v>26.8601560147894</v>
      </c>
      <c r="K550">
        <v>674.76001986566303</v>
      </c>
      <c r="L550">
        <v>1</v>
      </c>
      <c r="M550" t="s">
        <v>66</v>
      </c>
    </row>
    <row r="551" spans="1:13" x14ac:dyDescent="0.3">
      <c r="A551" t="s">
        <v>18</v>
      </c>
      <c r="B551" t="s">
        <v>41</v>
      </c>
      <c r="C551">
        <v>0</v>
      </c>
      <c r="D551">
        <v>0</v>
      </c>
      <c r="E551">
        <v>0</v>
      </c>
      <c r="F551">
        <v>-1.7763568394002501E-15</v>
      </c>
      <c r="G551">
        <v>6.2436444573947441</v>
      </c>
      <c r="H551">
        <v>21.869255791989481</v>
      </c>
      <c r="I551">
        <v>30.878419061352979</v>
      </c>
      <c r="J551">
        <v>34.5</v>
      </c>
      <c r="K551">
        <v>1784.722428162476</v>
      </c>
      <c r="L551">
        <v>1</v>
      </c>
      <c r="M551" t="s">
        <v>66</v>
      </c>
    </row>
    <row r="552" spans="1:13" x14ac:dyDescent="0.3">
      <c r="A552" t="s">
        <v>19</v>
      </c>
      <c r="B552" t="s">
        <v>47</v>
      </c>
      <c r="C552">
        <v>79.001379434659697</v>
      </c>
      <c r="D552">
        <v>2.9718935006730929</v>
      </c>
      <c r="E552">
        <v>5.3455951229708134</v>
      </c>
      <c r="F552">
        <v>13.84660194861554</v>
      </c>
      <c r="G552">
        <v>6.5474380545172863</v>
      </c>
      <c r="H552">
        <v>15.92032897411528</v>
      </c>
      <c r="I552">
        <v>25.03605399234036</v>
      </c>
      <c r="J552">
        <v>24.373564714649699</v>
      </c>
      <c r="K552">
        <v>656.16520931122795</v>
      </c>
      <c r="L552">
        <v>1</v>
      </c>
      <c r="M552" t="s">
        <v>66</v>
      </c>
    </row>
    <row r="553" spans="1:13" x14ac:dyDescent="0.3">
      <c r="A553" t="s">
        <v>21</v>
      </c>
      <c r="B553" t="s">
        <v>52</v>
      </c>
      <c r="C553">
        <v>141.66885402653031</v>
      </c>
      <c r="D553">
        <v>5.5109026563228358</v>
      </c>
      <c r="E553">
        <v>9.1740138249120697</v>
      </c>
      <c r="F553">
        <v>21.76704479348269</v>
      </c>
      <c r="G553">
        <v>5.5307095937733797</v>
      </c>
      <c r="H553">
        <v>55.995813581758647</v>
      </c>
      <c r="I553">
        <v>27.998269912788992</v>
      </c>
      <c r="J553">
        <v>24.843462284676239</v>
      </c>
      <c r="K553">
        <v>737.92718797019722</v>
      </c>
      <c r="L553">
        <v>0</v>
      </c>
      <c r="M553" t="s">
        <v>66</v>
      </c>
    </row>
    <row r="554" spans="1:13" x14ac:dyDescent="0.3">
      <c r="A554" t="s">
        <v>18</v>
      </c>
      <c r="B554" t="s">
        <v>43</v>
      </c>
      <c r="C554">
        <v>32.908545620542093</v>
      </c>
      <c r="D554">
        <v>1.0263805481508581</v>
      </c>
      <c r="E554">
        <v>1.839019600590575</v>
      </c>
      <c r="F554">
        <v>4.6473378095438376</v>
      </c>
      <c r="G554">
        <v>6.2688601001763438</v>
      </c>
      <c r="H554">
        <v>22.637936271441191</v>
      </c>
      <c r="I554">
        <v>23.797769962134289</v>
      </c>
      <c r="J554">
        <v>19.706029882293791</v>
      </c>
      <c r="K554">
        <v>1867.0797332592131</v>
      </c>
      <c r="L554">
        <v>1</v>
      </c>
      <c r="M554" t="s">
        <v>66</v>
      </c>
    </row>
    <row r="555" spans="1:13" x14ac:dyDescent="0.3">
      <c r="A555" t="s">
        <v>16</v>
      </c>
      <c r="B555" t="s">
        <v>35</v>
      </c>
      <c r="C555">
        <v>71.820377541425657</v>
      </c>
      <c r="D555">
        <v>3.6021921511343931</v>
      </c>
      <c r="E555">
        <v>5.2871936529377006</v>
      </c>
      <c r="F555">
        <v>13.309770025914901</v>
      </c>
      <c r="G555">
        <v>5.7453359685847358</v>
      </c>
      <c r="H555">
        <v>30.087580653840071</v>
      </c>
      <c r="I555">
        <v>19.195699366710581</v>
      </c>
      <c r="J555">
        <v>27.882662876269361</v>
      </c>
      <c r="K555">
        <v>1679.2365597222511</v>
      </c>
      <c r="L555">
        <v>1</v>
      </c>
      <c r="M555" t="s">
        <v>66</v>
      </c>
    </row>
    <row r="556" spans="1:13" x14ac:dyDescent="0.3">
      <c r="A556" t="s">
        <v>22</v>
      </c>
      <c r="B556" t="s">
        <v>53</v>
      </c>
      <c r="C556">
        <v>78.326488767118377</v>
      </c>
      <c r="D556">
        <v>2.884030781600996</v>
      </c>
      <c r="E556">
        <v>5.506564542823452</v>
      </c>
      <c r="F556">
        <v>10.562252035326109</v>
      </c>
      <c r="G556">
        <v>6.029763019931683</v>
      </c>
      <c r="H556">
        <v>46.346410199713283</v>
      </c>
      <c r="I556">
        <v>24.270188051880801</v>
      </c>
      <c r="J556">
        <v>22.469856687775021</v>
      </c>
      <c r="K556">
        <v>1457.978748106862</v>
      </c>
      <c r="L556">
        <v>1</v>
      </c>
      <c r="M556" t="s">
        <v>66</v>
      </c>
    </row>
    <row r="557" spans="1:13" x14ac:dyDescent="0.3">
      <c r="A557" t="s">
        <v>24</v>
      </c>
      <c r="B557" t="s">
        <v>57</v>
      </c>
      <c r="C557">
        <v>62.08033850515816</v>
      </c>
      <c r="D557">
        <v>2.8063907907212688</v>
      </c>
      <c r="E557">
        <v>3.408410399682571</v>
      </c>
      <c r="F557">
        <v>9.1797536035603908</v>
      </c>
      <c r="G557">
        <v>6.1215776700355748</v>
      </c>
      <c r="H557">
        <v>18.138597248518959</v>
      </c>
      <c r="I557">
        <v>21.978112543219869</v>
      </c>
      <c r="J557">
        <v>21.385806390792609</v>
      </c>
      <c r="K557">
        <v>1558.9495428787041</v>
      </c>
      <c r="L557">
        <v>1</v>
      </c>
      <c r="M557" t="s">
        <v>66</v>
      </c>
    </row>
    <row r="558" spans="1:13" x14ac:dyDescent="0.3">
      <c r="A558" t="s">
        <v>24</v>
      </c>
      <c r="B558" t="s">
        <v>58</v>
      </c>
      <c r="C558">
        <v>29.58346841134615</v>
      </c>
      <c r="D558">
        <v>0.85443532360334373</v>
      </c>
      <c r="E558">
        <v>2.2709209239131032</v>
      </c>
      <c r="F558">
        <v>4.409449702807624</v>
      </c>
      <c r="G558">
        <v>6.2106152248489144</v>
      </c>
      <c r="H558">
        <v>39.131670446948213</v>
      </c>
      <c r="I558">
        <v>23.240380131772291</v>
      </c>
      <c r="J558">
        <v>23.04763452569572</v>
      </c>
      <c r="K558">
        <v>728.87353085755922</v>
      </c>
      <c r="L558">
        <v>0</v>
      </c>
      <c r="M558" t="s">
        <v>66</v>
      </c>
    </row>
    <row r="559" spans="1:13" x14ac:dyDescent="0.3">
      <c r="A559" t="s">
        <v>22</v>
      </c>
      <c r="B559" t="s">
        <v>53</v>
      </c>
      <c r="C559">
        <v>31.57034991837379</v>
      </c>
      <c r="D559">
        <v>0.99954807844737692</v>
      </c>
      <c r="E559">
        <v>2.2075565472370751</v>
      </c>
      <c r="F559">
        <v>5.0043121905932928</v>
      </c>
      <c r="G559">
        <v>6.1622709990550391</v>
      </c>
      <c r="H559">
        <v>18.478751452180621</v>
      </c>
      <c r="I559">
        <v>23.012204171666649</v>
      </c>
      <c r="J559">
        <v>19.84153700170739</v>
      </c>
      <c r="K559">
        <v>1257.9891958875889</v>
      </c>
      <c r="L559">
        <v>1</v>
      </c>
      <c r="M559" t="s">
        <v>66</v>
      </c>
    </row>
    <row r="560" spans="1:13" x14ac:dyDescent="0.3">
      <c r="A560" t="s">
        <v>18</v>
      </c>
      <c r="B560" t="s">
        <v>41</v>
      </c>
      <c r="C560">
        <v>0</v>
      </c>
      <c r="D560">
        <v>0</v>
      </c>
      <c r="E560">
        <v>0</v>
      </c>
      <c r="F560">
        <v>-1.7763568394002501E-15</v>
      </c>
      <c r="G560">
        <v>6.173294104537713</v>
      </c>
      <c r="H560">
        <v>21.278995606117991</v>
      </c>
      <c r="I560">
        <v>31.013224311171999</v>
      </c>
      <c r="J560">
        <v>34.21094166139342</v>
      </c>
      <c r="K560">
        <v>1858.0831691824289</v>
      </c>
      <c r="L560">
        <v>1</v>
      </c>
      <c r="M560" t="s">
        <v>66</v>
      </c>
    </row>
    <row r="561" spans="1:13" x14ac:dyDescent="0.3">
      <c r="A561" t="s">
        <v>21</v>
      </c>
      <c r="B561" t="s">
        <v>52</v>
      </c>
      <c r="C561">
        <v>19.779300438205329</v>
      </c>
      <c r="D561">
        <v>1.052710263146422</v>
      </c>
      <c r="E561">
        <v>1.0818731918080391</v>
      </c>
      <c r="F561">
        <v>2.891610099194077</v>
      </c>
      <c r="G561">
        <v>6.154293582460804</v>
      </c>
      <c r="H561">
        <v>52.458958142829367</v>
      </c>
      <c r="I561">
        <v>21.658317930301589</v>
      </c>
      <c r="J561">
        <v>20.761286991623649</v>
      </c>
      <c r="K561">
        <v>1269.4854919879281</v>
      </c>
      <c r="L561">
        <v>1</v>
      </c>
      <c r="M561" t="s">
        <v>66</v>
      </c>
    </row>
    <row r="562" spans="1:13" x14ac:dyDescent="0.3">
      <c r="A562" t="s">
        <v>15</v>
      </c>
      <c r="B562" t="s">
        <v>30</v>
      </c>
      <c r="C562">
        <v>102.8570466403467</v>
      </c>
      <c r="D562">
        <v>4.6726166501123059</v>
      </c>
      <c r="E562">
        <v>6.8458641853474589</v>
      </c>
      <c r="F562">
        <v>15.07541592870527</v>
      </c>
      <c r="G562">
        <v>6.2008707525563356</v>
      </c>
      <c r="H562">
        <v>27.684102898451581</v>
      </c>
      <c r="I562">
        <v>20.599807017086459</v>
      </c>
      <c r="J562">
        <v>28.572388444020191</v>
      </c>
      <c r="K562">
        <v>1964.8494676725909</v>
      </c>
      <c r="L562">
        <v>1</v>
      </c>
      <c r="M562" t="s">
        <v>66</v>
      </c>
    </row>
    <row r="563" spans="1:13" x14ac:dyDescent="0.3">
      <c r="A563" t="s">
        <v>16</v>
      </c>
      <c r="B563" t="s">
        <v>38</v>
      </c>
      <c r="C563">
        <v>3.6836630493847342</v>
      </c>
      <c r="D563">
        <v>0</v>
      </c>
      <c r="E563">
        <v>0</v>
      </c>
      <c r="F563">
        <v>-1.7763568394002501E-15</v>
      </c>
      <c r="G563">
        <v>6.2691780637154118</v>
      </c>
      <c r="H563">
        <v>21.65488116821497</v>
      </c>
      <c r="I563">
        <v>18.037856461678619</v>
      </c>
      <c r="J563">
        <v>24.39707278850878</v>
      </c>
      <c r="K563">
        <v>1415.5454284067939</v>
      </c>
      <c r="L563">
        <v>1</v>
      </c>
      <c r="M563" t="s">
        <v>66</v>
      </c>
    </row>
    <row r="564" spans="1:13" x14ac:dyDescent="0.3">
      <c r="A564" t="s">
        <v>19</v>
      </c>
      <c r="B564" t="s">
        <v>48</v>
      </c>
      <c r="C564">
        <v>26.802094614881259</v>
      </c>
      <c r="D564">
        <v>1.0583450614367229</v>
      </c>
      <c r="E564">
        <v>1.0816975865077529</v>
      </c>
      <c r="F564">
        <v>3.2273330467343251</v>
      </c>
      <c r="G564">
        <v>6.0544763183815453</v>
      </c>
      <c r="H564">
        <v>17.328198010620511</v>
      </c>
      <c r="I564">
        <v>30.579493935395259</v>
      </c>
      <c r="J564">
        <v>24.763701362457109</v>
      </c>
      <c r="K564">
        <v>1156.5675496011011</v>
      </c>
      <c r="L564">
        <v>0</v>
      </c>
      <c r="M564" t="s">
        <v>66</v>
      </c>
    </row>
    <row r="565" spans="1:13" x14ac:dyDescent="0.3">
      <c r="A565" t="s">
        <v>22</v>
      </c>
      <c r="B565" t="s">
        <v>53</v>
      </c>
      <c r="C565">
        <v>51.36134766696042</v>
      </c>
      <c r="D565">
        <v>1.8642979590533191</v>
      </c>
      <c r="E565">
        <v>2.8601705801688109</v>
      </c>
      <c r="F565">
        <v>7.1005224240478384</v>
      </c>
      <c r="G565">
        <v>5.7316377498320996</v>
      </c>
      <c r="H565">
        <v>29.37591040549961</v>
      </c>
      <c r="I565">
        <v>24.202277653159751</v>
      </c>
      <c r="J565">
        <v>23.264167677886231</v>
      </c>
      <c r="K565">
        <v>1429.179270849439</v>
      </c>
      <c r="L565">
        <v>1</v>
      </c>
      <c r="M565" t="s">
        <v>66</v>
      </c>
    </row>
    <row r="566" spans="1:13" x14ac:dyDescent="0.3">
      <c r="A566" t="s">
        <v>21</v>
      </c>
      <c r="B566" t="s">
        <v>52</v>
      </c>
      <c r="C566">
        <v>31.536849268390132</v>
      </c>
      <c r="D566">
        <v>1.0011196716970909</v>
      </c>
      <c r="E566">
        <v>1.9424517339439811</v>
      </c>
      <c r="F566">
        <v>4.7832249822352981</v>
      </c>
      <c r="G566">
        <v>5.9406391162967376</v>
      </c>
      <c r="H566">
        <v>27.157660209069618</v>
      </c>
      <c r="I566">
        <v>24.802675160217039</v>
      </c>
      <c r="J566">
        <v>22.981543553604329</v>
      </c>
      <c r="K566">
        <v>1165.6963668940709</v>
      </c>
      <c r="L566">
        <v>1</v>
      </c>
      <c r="M566" t="s">
        <v>66</v>
      </c>
    </row>
    <row r="567" spans="1:13" x14ac:dyDescent="0.3">
      <c r="A567" t="s">
        <v>18</v>
      </c>
      <c r="B567" t="s">
        <v>41</v>
      </c>
      <c r="C567">
        <v>50.456647872066448</v>
      </c>
      <c r="D567">
        <v>1.5980726370399561</v>
      </c>
      <c r="E567">
        <v>3.2051036234101531</v>
      </c>
      <c r="F567">
        <v>8.7456193954369397</v>
      </c>
      <c r="G567">
        <v>6.0029139128943587</v>
      </c>
      <c r="H567">
        <v>28.027412642877259</v>
      </c>
      <c r="I567">
        <v>20.038672132979901</v>
      </c>
      <c r="J567">
        <v>20.469449325299109</v>
      </c>
      <c r="K567">
        <v>1743.387895014293</v>
      </c>
      <c r="L567">
        <v>1</v>
      </c>
      <c r="M567" t="s">
        <v>66</v>
      </c>
    </row>
    <row r="568" spans="1:13" x14ac:dyDescent="0.3">
      <c r="A568" t="s">
        <v>19</v>
      </c>
      <c r="B568" t="s">
        <v>47</v>
      </c>
      <c r="C568">
        <v>29.493161122918931</v>
      </c>
      <c r="D568">
        <v>1.1209489151900249</v>
      </c>
      <c r="E568">
        <v>1.6458796754283831</v>
      </c>
      <c r="F568">
        <v>4.013502223149688</v>
      </c>
      <c r="G568">
        <v>5.7280803162871168</v>
      </c>
      <c r="H568">
        <v>20.498066621818278</v>
      </c>
      <c r="I568">
        <v>30.0432515822143</v>
      </c>
      <c r="J568">
        <v>26.13784646771818</v>
      </c>
      <c r="K568">
        <v>744.16762851951364</v>
      </c>
      <c r="L568">
        <v>-1</v>
      </c>
      <c r="M568" t="s">
        <v>66</v>
      </c>
    </row>
    <row r="569" spans="1:13" x14ac:dyDescent="0.3">
      <c r="A569" t="s">
        <v>21</v>
      </c>
      <c r="B569" t="s">
        <v>52</v>
      </c>
      <c r="C569">
        <v>129.8382172370228</v>
      </c>
      <c r="D569">
        <v>6.3216734500582454</v>
      </c>
      <c r="E569">
        <v>9.5408939130836306</v>
      </c>
      <c r="F569">
        <v>20.832704318960811</v>
      </c>
      <c r="G569">
        <v>5.4796857904576308</v>
      </c>
      <c r="H569">
        <v>58.528305558651709</v>
      </c>
      <c r="I569">
        <v>27.58189321967426</v>
      </c>
      <c r="J569">
        <v>24.530159132551169</v>
      </c>
      <c r="K569">
        <v>752.60595108530549</v>
      </c>
      <c r="L569">
        <v>0</v>
      </c>
      <c r="M569" t="s">
        <v>66</v>
      </c>
    </row>
    <row r="570" spans="1:13" x14ac:dyDescent="0.3">
      <c r="A570" t="s">
        <v>22</v>
      </c>
      <c r="B570" t="s">
        <v>53</v>
      </c>
      <c r="C570">
        <v>32.128887150212933</v>
      </c>
      <c r="D570">
        <v>1.0671131781891521</v>
      </c>
      <c r="E570">
        <v>2.0473720545170768</v>
      </c>
      <c r="F570">
        <v>4.6664327537125434</v>
      </c>
      <c r="G570">
        <v>6.3494979021697233</v>
      </c>
      <c r="H570">
        <v>21.026894898415911</v>
      </c>
      <c r="I570">
        <v>25.170692019541988</v>
      </c>
      <c r="J570">
        <v>20.095199681208221</v>
      </c>
      <c r="K570">
        <v>1286.3683653696919</v>
      </c>
      <c r="L570">
        <v>1</v>
      </c>
      <c r="M570" t="s">
        <v>66</v>
      </c>
    </row>
    <row r="571" spans="1:13" x14ac:dyDescent="0.3">
      <c r="A571" t="s">
        <v>15</v>
      </c>
      <c r="B571" t="s">
        <v>34</v>
      </c>
      <c r="C571">
        <v>65.025417219916378</v>
      </c>
      <c r="D571">
        <v>2.5319286690100919</v>
      </c>
      <c r="E571">
        <v>3.2757109494526042</v>
      </c>
      <c r="F571">
        <v>10.331785717604189</v>
      </c>
      <c r="G571">
        <v>6.1409843499612622</v>
      </c>
      <c r="H571">
        <v>31.434731856009449</v>
      </c>
      <c r="I571">
        <v>18.962986969865891</v>
      </c>
      <c r="J571">
        <v>19.678324177861089</v>
      </c>
      <c r="K571">
        <v>2138.5951175263381</v>
      </c>
      <c r="L571">
        <v>1</v>
      </c>
      <c r="M571" t="s">
        <v>66</v>
      </c>
    </row>
    <row r="572" spans="1:13" x14ac:dyDescent="0.3">
      <c r="A572" t="s">
        <v>19</v>
      </c>
      <c r="B572" t="s">
        <v>44</v>
      </c>
      <c r="C572">
        <v>22.53633082732156</v>
      </c>
      <c r="D572">
        <v>0.98896610554235398</v>
      </c>
      <c r="E572">
        <v>1.090945284524889</v>
      </c>
      <c r="F572">
        <v>3.264514956981595</v>
      </c>
      <c r="G572">
        <v>6.1204891736323281</v>
      </c>
      <c r="H572">
        <v>20.64226882018917</v>
      </c>
      <c r="I572">
        <v>20.039437219479389</v>
      </c>
      <c r="J572">
        <v>18.43201927265433</v>
      </c>
      <c r="K572">
        <v>1972.242599503732</v>
      </c>
      <c r="L572">
        <v>1</v>
      </c>
      <c r="M572" t="s">
        <v>66</v>
      </c>
    </row>
    <row r="573" spans="1:13" x14ac:dyDescent="0.3">
      <c r="A573" t="s">
        <v>15</v>
      </c>
      <c r="B573" t="s">
        <v>34</v>
      </c>
      <c r="C573">
        <v>109.05234614105581</v>
      </c>
      <c r="D573">
        <v>5.0050941408717984</v>
      </c>
      <c r="E573">
        <v>6.3721842396872921</v>
      </c>
      <c r="F573">
        <v>17.732099515768159</v>
      </c>
      <c r="G573">
        <v>6.0458335042317088</v>
      </c>
      <c r="H573">
        <v>40.055892743229158</v>
      </c>
      <c r="I573">
        <v>16.868664377539201</v>
      </c>
      <c r="J573">
        <v>27.164437342257909</v>
      </c>
      <c r="K573">
        <v>1712.782119082523</v>
      </c>
      <c r="L573">
        <v>1</v>
      </c>
      <c r="M573" t="s">
        <v>66</v>
      </c>
    </row>
    <row r="574" spans="1:13" x14ac:dyDescent="0.3">
      <c r="A574" t="s">
        <v>19</v>
      </c>
      <c r="B574" t="s">
        <v>48</v>
      </c>
      <c r="C574">
        <v>104.53910852745879</v>
      </c>
      <c r="D574">
        <v>3.5937692607426439</v>
      </c>
      <c r="E574">
        <v>5.9726751388305717</v>
      </c>
      <c r="F574">
        <v>12.74132895745414</v>
      </c>
      <c r="G574">
        <v>5.7389054063940961</v>
      </c>
      <c r="H574">
        <v>36.315018741204568</v>
      </c>
      <c r="I574">
        <v>24.08037045580134</v>
      </c>
      <c r="J574">
        <v>25.955708011155959</v>
      </c>
      <c r="K574">
        <v>688.06345426562291</v>
      </c>
      <c r="L574">
        <v>1</v>
      </c>
      <c r="M574" t="s">
        <v>66</v>
      </c>
    </row>
    <row r="575" spans="1:13" x14ac:dyDescent="0.3">
      <c r="A575" t="s">
        <v>19</v>
      </c>
      <c r="B575" t="s">
        <v>44</v>
      </c>
      <c r="C575">
        <v>44.508974501860379</v>
      </c>
      <c r="D575">
        <v>1.2432434323300321</v>
      </c>
      <c r="E575">
        <v>1.8688518534023371</v>
      </c>
      <c r="F575">
        <v>5.7241422457239963</v>
      </c>
      <c r="G575">
        <v>5.584901042325793</v>
      </c>
      <c r="H575">
        <v>30.698313395602209</v>
      </c>
      <c r="I575">
        <v>17.44288743836907</v>
      </c>
      <c r="J575">
        <v>21.311331047844771</v>
      </c>
      <c r="K575">
        <v>1743.467479063318</v>
      </c>
      <c r="L575">
        <v>1</v>
      </c>
      <c r="M575" t="s">
        <v>66</v>
      </c>
    </row>
    <row r="576" spans="1:13" x14ac:dyDescent="0.3">
      <c r="A576" t="s">
        <v>25</v>
      </c>
      <c r="B576" t="s">
        <v>62</v>
      </c>
      <c r="C576">
        <v>91.924541266429671</v>
      </c>
      <c r="D576">
        <v>3.394242906076137</v>
      </c>
      <c r="E576">
        <v>5.4733696928458446</v>
      </c>
      <c r="F576">
        <v>18.048816782570039</v>
      </c>
      <c r="G576">
        <v>6.8688219920402016</v>
      </c>
      <c r="H576">
        <v>13.9</v>
      </c>
      <c r="I576">
        <v>30.50271686521917</v>
      </c>
      <c r="J576">
        <v>31.86275761878851</v>
      </c>
      <c r="K576">
        <v>46.04267106590828</v>
      </c>
      <c r="L576">
        <v>-1</v>
      </c>
      <c r="M576" t="s">
        <v>66</v>
      </c>
    </row>
    <row r="577" spans="1:13" x14ac:dyDescent="0.3">
      <c r="A577" t="s">
        <v>24</v>
      </c>
      <c r="B577" t="s">
        <v>59</v>
      </c>
      <c r="C577">
        <v>56.802863611008348</v>
      </c>
      <c r="D577">
        <v>2.0800765679520929</v>
      </c>
      <c r="E577">
        <v>3.491788858401101</v>
      </c>
      <c r="F577">
        <v>9.5986624211021159</v>
      </c>
      <c r="G577">
        <v>6.8954206336099926</v>
      </c>
      <c r="H577">
        <v>62.718805594868243</v>
      </c>
      <c r="I577">
        <v>25.900112491991361</v>
      </c>
      <c r="J577">
        <v>23.29514444794593</v>
      </c>
      <c r="K577">
        <v>729.15587233820304</v>
      </c>
      <c r="L577">
        <v>0</v>
      </c>
      <c r="M577" t="s">
        <v>66</v>
      </c>
    </row>
    <row r="578" spans="1:13" x14ac:dyDescent="0.3">
      <c r="A578" t="s">
        <v>19</v>
      </c>
      <c r="B578" t="s">
        <v>46</v>
      </c>
      <c r="C578">
        <v>25.61892972021937</v>
      </c>
      <c r="D578">
        <v>1.132358343567867</v>
      </c>
      <c r="E578">
        <v>0.90911061167836227</v>
      </c>
      <c r="F578">
        <v>3.3608782088057052</v>
      </c>
      <c r="G578">
        <v>6.0453523820787787</v>
      </c>
      <c r="H578">
        <v>33.677686845427161</v>
      </c>
      <c r="I578">
        <v>24.790515907434798</v>
      </c>
      <c r="J578">
        <v>26.657998929351379</v>
      </c>
      <c r="K578">
        <v>1388.2872516044999</v>
      </c>
      <c r="L578">
        <v>1</v>
      </c>
      <c r="M578" t="s">
        <v>66</v>
      </c>
    </row>
    <row r="579" spans="1:13" x14ac:dyDescent="0.3">
      <c r="A579" t="s">
        <v>16</v>
      </c>
      <c r="B579" t="s">
        <v>36</v>
      </c>
      <c r="C579">
        <v>22.005369847078111</v>
      </c>
      <c r="D579">
        <v>0.92179128951482436</v>
      </c>
      <c r="E579">
        <v>1.1083520665635149</v>
      </c>
      <c r="F579">
        <v>3.4573425291126392</v>
      </c>
      <c r="G579">
        <v>6.1585130827037284</v>
      </c>
      <c r="H579">
        <v>28.90147973942139</v>
      </c>
      <c r="I579">
        <v>22.441569256149979</v>
      </c>
      <c r="J579">
        <v>21.57144280479281</v>
      </c>
      <c r="K579">
        <v>1712.4978867541299</v>
      </c>
      <c r="L579">
        <v>1</v>
      </c>
      <c r="M579" t="s">
        <v>66</v>
      </c>
    </row>
    <row r="580" spans="1:13" x14ac:dyDescent="0.3">
      <c r="A580" t="s">
        <v>19</v>
      </c>
      <c r="B580" t="s">
        <v>44</v>
      </c>
      <c r="C580">
        <v>21.213601860948931</v>
      </c>
      <c r="D580">
        <v>0.94139284152566383</v>
      </c>
      <c r="E580">
        <v>0.96102042318915171</v>
      </c>
      <c r="F580">
        <v>3.5770242681597568</v>
      </c>
      <c r="G580">
        <v>5.786191915747473</v>
      </c>
      <c r="H580">
        <v>21.28077615249585</v>
      </c>
      <c r="I580">
        <v>20.698736954410439</v>
      </c>
      <c r="J580">
        <v>18.28326191985791</v>
      </c>
      <c r="K580">
        <v>2045.1772886219781</v>
      </c>
      <c r="L580">
        <v>1</v>
      </c>
      <c r="M580" t="s">
        <v>66</v>
      </c>
    </row>
    <row r="581" spans="1:13" x14ac:dyDescent="0.3">
      <c r="A581" t="s">
        <v>18</v>
      </c>
      <c r="B581" t="s">
        <v>41</v>
      </c>
      <c r="C581">
        <v>113.962887177819</v>
      </c>
      <c r="D581">
        <v>6.6797953672543411</v>
      </c>
      <c r="E581">
        <v>8.1990577268132583</v>
      </c>
      <c r="F581">
        <v>16.63165173646664</v>
      </c>
      <c r="G581">
        <v>4.3187429753482336</v>
      </c>
      <c r="H581">
        <v>53.089780841542051</v>
      </c>
      <c r="I581">
        <v>20.087915933654109</v>
      </c>
      <c r="J581">
        <v>20.838467338753201</v>
      </c>
      <c r="K581">
        <v>1628.9546896079371</v>
      </c>
      <c r="L581">
        <v>1</v>
      </c>
      <c r="M581" t="s">
        <v>66</v>
      </c>
    </row>
    <row r="582" spans="1:13" x14ac:dyDescent="0.3">
      <c r="A582" t="s">
        <v>19</v>
      </c>
      <c r="B582" t="s">
        <v>48</v>
      </c>
      <c r="C582">
        <v>45.573356472743157</v>
      </c>
      <c r="D582">
        <v>2.1267622442848779</v>
      </c>
      <c r="E582">
        <v>2.9113521861579099</v>
      </c>
      <c r="F582">
        <v>6.7437735420682223</v>
      </c>
      <c r="G582">
        <v>6.024129709160019</v>
      </c>
      <c r="H582">
        <v>19.951687242435881</v>
      </c>
      <c r="I582">
        <v>32.745061488785232</v>
      </c>
      <c r="J582">
        <v>27.03248301899556</v>
      </c>
      <c r="K582">
        <v>1181.619341504542</v>
      </c>
      <c r="L582">
        <v>0</v>
      </c>
      <c r="M582" t="s">
        <v>66</v>
      </c>
    </row>
    <row r="583" spans="1:13" x14ac:dyDescent="0.3">
      <c r="A583" t="s">
        <v>24</v>
      </c>
      <c r="B583" t="s">
        <v>59</v>
      </c>
      <c r="C583">
        <v>56.967297591537559</v>
      </c>
      <c r="D583">
        <v>1.8474730161612141</v>
      </c>
      <c r="E583">
        <v>4.0888604868551459</v>
      </c>
      <c r="F583">
        <v>9.1814045133793911</v>
      </c>
      <c r="G583">
        <v>6.6557581124021006</v>
      </c>
      <c r="H583">
        <v>59.650989222342012</v>
      </c>
      <c r="I583">
        <v>26.471237765106881</v>
      </c>
      <c r="J583">
        <v>23.3880520667905</v>
      </c>
      <c r="K583">
        <v>718.77280461841178</v>
      </c>
      <c r="L583">
        <v>0</v>
      </c>
      <c r="M583" t="s">
        <v>66</v>
      </c>
    </row>
    <row r="584" spans="1:13" x14ac:dyDescent="0.3">
      <c r="A584" t="s">
        <v>19</v>
      </c>
      <c r="B584" t="s">
        <v>46</v>
      </c>
      <c r="C584">
        <v>77.67663953720367</v>
      </c>
      <c r="D584">
        <v>3.2333417749680158</v>
      </c>
      <c r="E584">
        <v>5.0764776754127974</v>
      </c>
      <c r="F584">
        <v>12.42907447660996</v>
      </c>
      <c r="G584">
        <v>6.0093260334035241</v>
      </c>
      <c r="H584">
        <v>29.58670565853339</v>
      </c>
      <c r="I584">
        <v>25.146367508851711</v>
      </c>
      <c r="J584">
        <v>26.87707567820047</v>
      </c>
      <c r="K584">
        <v>1405.679590225802</v>
      </c>
      <c r="L584">
        <v>1</v>
      </c>
      <c r="M584" t="s">
        <v>66</v>
      </c>
    </row>
    <row r="585" spans="1:13" x14ac:dyDescent="0.3">
      <c r="A585" t="s">
        <v>17</v>
      </c>
      <c r="B585" t="s">
        <v>39</v>
      </c>
      <c r="C585">
        <v>12.839284832959249</v>
      </c>
      <c r="D585">
        <v>0</v>
      </c>
      <c r="E585">
        <v>0</v>
      </c>
      <c r="F585">
        <v>2.0975547211866452</v>
      </c>
      <c r="G585">
        <v>5.5106647905909609</v>
      </c>
      <c r="H585">
        <v>27.50699799100353</v>
      </c>
      <c r="I585">
        <v>20.244980029183498</v>
      </c>
      <c r="J585">
        <v>25.824549970711701</v>
      </c>
      <c r="K585">
        <v>2195.5470023311868</v>
      </c>
      <c r="L585">
        <v>1</v>
      </c>
      <c r="M585" t="s">
        <v>66</v>
      </c>
    </row>
    <row r="586" spans="1:13" x14ac:dyDescent="0.3">
      <c r="A586" t="s">
        <v>20</v>
      </c>
      <c r="B586" t="s">
        <v>49</v>
      </c>
      <c r="C586">
        <v>44.596625737723528</v>
      </c>
      <c r="D586">
        <v>2.331925156807408</v>
      </c>
      <c r="E586">
        <v>2.6213608517262759</v>
      </c>
      <c r="F586">
        <v>5.107478900166516</v>
      </c>
      <c r="G586">
        <v>5.6166159309399717</v>
      </c>
      <c r="H586">
        <v>20.58271811896369</v>
      </c>
      <c r="I586">
        <v>30.236708400825389</v>
      </c>
      <c r="J586">
        <v>25.455513092409031</v>
      </c>
      <c r="K586">
        <v>1183.905156625312</v>
      </c>
      <c r="L586">
        <v>0</v>
      </c>
      <c r="M586" t="s">
        <v>66</v>
      </c>
    </row>
    <row r="587" spans="1:13" x14ac:dyDescent="0.3">
      <c r="A587" t="s">
        <v>16</v>
      </c>
      <c r="B587" t="s">
        <v>38</v>
      </c>
      <c r="C587">
        <v>960</v>
      </c>
      <c r="D587">
        <v>42.463160800961589</v>
      </c>
      <c r="E587">
        <v>53.789446240366438</v>
      </c>
      <c r="F587">
        <v>146.72352671177629</v>
      </c>
      <c r="G587">
        <v>5.2118791128574484</v>
      </c>
      <c r="H587">
        <v>24.165503191278749</v>
      </c>
      <c r="I587">
        <v>19.425320179782659</v>
      </c>
      <c r="J587">
        <v>23.6540348509177</v>
      </c>
      <c r="K587">
        <v>1508.3805179427759</v>
      </c>
      <c r="L587">
        <v>1</v>
      </c>
      <c r="M587" t="s">
        <v>66</v>
      </c>
    </row>
    <row r="588" spans="1:13" x14ac:dyDescent="0.3">
      <c r="A588" t="s">
        <v>20</v>
      </c>
      <c r="B588" t="s">
        <v>49</v>
      </c>
      <c r="C588">
        <v>89.564775108035178</v>
      </c>
      <c r="D588">
        <v>3.942380549410641</v>
      </c>
      <c r="E588">
        <v>6.4927459774819622</v>
      </c>
      <c r="F588">
        <v>11.23177885288306</v>
      </c>
      <c r="G588">
        <v>5.4018102727373352</v>
      </c>
      <c r="H588">
        <v>28.892833589638219</v>
      </c>
      <c r="I588">
        <v>22.05232139207369</v>
      </c>
      <c r="J588">
        <v>21.585823204673801</v>
      </c>
      <c r="K588">
        <v>1765.5875797130429</v>
      </c>
      <c r="L588">
        <v>1</v>
      </c>
      <c r="M588" t="s">
        <v>66</v>
      </c>
    </row>
    <row r="589" spans="1:13" x14ac:dyDescent="0.3">
      <c r="A589" t="s">
        <v>16</v>
      </c>
      <c r="B589" t="s">
        <v>35</v>
      </c>
      <c r="C589">
        <v>69.116421906244099</v>
      </c>
      <c r="D589">
        <v>3.1147212504709421</v>
      </c>
      <c r="E589">
        <v>4.9237425871293556</v>
      </c>
      <c r="F589">
        <v>9.1093355995184879</v>
      </c>
      <c r="G589">
        <v>5.8704293239126768</v>
      </c>
      <c r="H589">
        <v>31.7895394138271</v>
      </c>
      <c r="I589">
        <v>18.090112417796291</v>
      </c>
      <c r="J589">
        <v>29.330431136608489</v>
      </c>
      <c r="K589">
        <v>1645.9781215569481</v>
      </c>
      <c r="L589">
        <v>1</v>
      </c>
      <c r="M589" t="s">
        <v>66</v>
      </c>
    </row>
    <row r="590" spans="1:13" x14ac:dyDescent="0.3">
      <c r="A590" t="s">
        <v>15</v>
      </c>
      <c r="B590" t="s">
        <v>33</v>
      </c>
      <c r="C590">
        <v>93.420168930337411</v>
      </c>
      <c r="D590">
        <v>3.4410708064682791</v>
      </c>
      <c r="E590">
        <v>5.8491461721352866</v>
      </c>
      <c r="F590">
        <v>14.23957868275869</v>
      </c>
      <c r="G590">
        <v>7.0371842198512997</v>
      </c>
      <c r="H590">
        <v>36.915012817924953</v>
      </c>
      <c r="I590">
        <v>17.343581080747519</v>
      </c>
      <c r="J590">
        <v>17.5406595923202</v>
      </c>
      <c r="K590">
        <v>1909.4414619133929</v>
      </c>
      <c r="L590">
        <v>1</v>
      </c>
      <c r="M590" t="s">
        <v>66</v>
      </c>
    </row>
    <row r="591" spans="1:13" x14ac:dyDescent="0.3">
      <c r="A591" t="s">
        <v>19</v>
      </c>
      <c r="B591" t="s">
        <v>44</v>
      </c>
      <c r="C591">
        <v>21.317788354853871</v>
      </c>
      <c r="D591">
        <v>1.0809118228651009</v>
      </c>
      <c r="E591">
        <v>1.0452934597310479</v>
      </c>
      <c r="F591">
        <v>2.516366231345661</v>
      </c>
      <c r="G591">
        <v>6.0272587760616219</v>
      </c>
      <c r="H591">
        <v>19.13670863819118</v>
      </c>
      <c r="I591">
        <v>20.546637285785341</v>
      </c>
      <c r="J591">
        <v>18.343864789844069</v>
      </c>
      <c r="K591">
        <v>1923.240202657204</v>
      </c>
      <c r="L591">
        <v>1</v>
      </c>
      <c r="M591" t="s">
        <v>66</v>
      </c>
    </row>
    <row r="592" spans="1:13" x14ac:dyDescent="0.3">
      <c r="A592" t="s">
        <v>20</v>
      </c>
      <c r="B592" t="s">
        <v>49</v>
      </c>
      <c r="C592">
        <v>47.347682184469562</v>
      </c>
      <c r="D592">
        <v>2.0660434113047468</v>
      </c>
      <c r="E592">
        <v>3.0571246639714049</v>
      </c>
      <c r="F592">
        <v>5.7736232928032596</v>
      </c>
      <c r="G592">
        <v>5.3738148879223493</v>
      </c>
      <c r="H592">
        <v>18.939499745106151</v>
      </c>
      <c r="I592">
        <v>31.875184608277369</v>
      </c>
      <c r="J592">
        <v>25.7784384127844</v>
      </c>
      <c r="K592">
        <v>1173.152959066477</v>
      </c>
      <c r="L592">
        <v>0</v>
      </c>
      <c r="M592" t="s">
        <v>66</v>
      </c>
    </row>
    <row r="593" spans="1:13" x14ac:dyDescent="0.3">
      <c r="A593" t="s">
        <v>16</v>
      </c>
      <c r="B593" t="s">
        <v>38</v>
      </c>
      <c r="C593">
        <v>4.1002988088043963</v>
      </c>
      <c r="D593">
        <v>0</v>
      </c>
      <c r="E593">
        <v>0</v>
      </c>
      <c r="F593">
        <v>-1.7763568394002501E-15</v>
      </c>
      <c r="G593">
        <v>6.3723194097371554</v>
      </c>
      <c r="H593">
        <v>22.64096306648079</v>
      </c>
      <c r="I593">
        <v>18.26819229303376</v>
      </c>
      <c r="J593">
        <v>23.648660479154049</v>
      </c>
      <c r="K593">
        <v>1415.829549800136</v>
      </c>
      <c r="L593">
        <v>1</v>
      </c>
      <c r="M593" t="s">
        <v>66</v>
      </c>
    </row>
    <row r="594" spans="1:13" x14ac:dyDescent="0.3">
      <c r="A594" t="s">
        <v>24</v>
      </c>
      <c r="B594" t="s">
        <v>57</v>
      </c>
      <c r="C594">
        <v>7.7197082144692084</v>
      </c>
      <c r="D594">
        <v>0</v>
      </c>
      <c r="E594">
        <v>0</v>
      </c>
      <c r="F594">
        <v>1.133949147972164</v>
      </c>
      <c r="G594">
        <v>6.0422916127844397</v>
      </c>
      <c r="H594">
        <v>36.721830940632707</v>
      </c>
      <c r="I594">
        <v>23.203065834041659</v>
      </c>
      <c r="J594">
        <v>23.435475471930339</v>
      </c>
      <c r="K594">
        <v>725.49840845553797</v>
      </c>
      <c r="L594">
        <v>0</v>
      </c>
      <c r="M594" t="s">
        <v>66</v>
      </c>
    </row>
    <row r="595" spans="1:13" x14ac:dyDescent="0.3">
      <c r="A595" t="s">
        <v>24</v>
      </c>
      <c r="B595" t="s">
        <v>60</v>
      </c>
      <c r="C595">
        <v>509.63367695245</v>
      </c>
      <c r="D595">
        <v>21.64011470427452</v>
      </c>
      <c r="E595">
        <v>38.177024080671771</v>
      </c>
      <c r="F595">
        <v>83.297021530430698</v>
      </c>
      <c r="G595">
        <v>5.2499930128954606</v>
      </c>
      <c r="H595">
        <v>67.607795204631131</v>
      </c>
      <c r="I595">
        <v>31.806157672664281</v>
      </c>
      <c r="J595">
        <v>31.62422496099288</v>
      </c>
      <c r="K595">
        <v>11</v>
      </c>
      <c r="L595">
        <v>-1</v>
      </c>
      <c r="M595" t="s">
        <v>66</v>
      </c>
    </row>
    <row r="596" spans="1:13" x14ac:dyDescent="0.3">
      <c r="A596" t="s">
        <v>19</v>
      </c>
      <c r="B596" t="s">
        <v>48</v>
      </c>
      <c r="C596">
        <v>27.394477888075411</v>
      </c>
      <c r="D596">
        <v>1.0059593827711291</v>
      </c>
      <c r="E596">
        <v>0.84704912494059048</v>
      </c>
      <c r="F596">
        <v>4.1643816021907396</v>
      </c>
      <c r="G596">
        <v>5.8039580015192644</v>
      </c>
      <c r="H596">
        <v>16.079611688505409</v>
      </c>
      <c r="I596">
        <v>31.013018171331321</v>
      </c>
      <c r="J596">
        <v>25.454917609600319</v>
      </c>
      <c r="K596">
        <v>1145.3880860353429</v>
      </c>
      <c r="L596">
        <v>0</v>
      </c>
      <c r="M596" t="s">
        <v>66</v>
      </c>
    </row>
    <row r="597" spans="1:13" x14ac:dyDescent="0.3">
      <c r="A597" t="s">
        <v>15</v>
      </c>
      <c r="B597" t="s">
        <v>30</v>
      </c>
      <c r="C597">
        <v>105.6929052733749</v>
      </c>
      <c r="D597">
        <v>4.3996107922095211</v>
      </c>
      <c r="E597">
        <v>7.4467751608179178</v>
      </c>
      <c r="F597">
        <v>16.126294536676799</v>
      </c>
      <c r="G597">
        <v>6.1703821022490519</v>
      </c>
      <c r="H597">
        <v>29.59116690777546</v>
      </c>
      <c r="I597">
        <v>21.532931507508099</v>
      </c>
      <c r="J597">
        <v>27.333913593919561</v>
      </c>
      <c r="K597">
        <v>2040.5923293361609</v>
      </c>
      <c r="L597">
        <v>1</v>
      </c>
      <c r="M597" t="s">
        <v>66</v>
      </c>
    </row>
    <row r="598" spans="1:13" x14ac:dyDescent="0.3">
      <c r="A598" t="s">
        <v>19</v>
      </c>
      <c r="B598" t="s">
        <v>44</v>
      </c>
      <c r="C598">
        <v>18.808136151276869</v>
      </c>
      <c r="D598">
        <v>1.0401966051553591</v>
      </c>
      <c r="E598">
        <v>1.0712964336667179</v>
      </c>
      <c r="F598">
        <v>3.0093745908550602</v>
      </c>
      <c r="G598">
        <v>6.1433774036965154</v>
      </c>
      <c r="H598">
        <v>21.641201538749531</v>
      </c>
      <c r="I598">
        <v>20.349272325575249</v>
      </c>
      <c r="J598">
        <v>19.145817885722071</v>
      </c>
      <c r="K598">
        <v>1963.5079968410309</v>
      </c>
      <c r="L598">
        <v>1</v>
      </c>
      <c r="M598" t="s">
        <v>66</v>
      </c>
    </row>
    <row r="599" spans="1:13" x14ac:dyDescent="0.3">
      <c r="A599" t="s">
        <v>15</v>
      </c>
      <c r="B599" t="s">
        <v>31</v>
      </c>
      <c r="C599">
        <v>22.92679655644773</v>
      </c>
      <c r="D599">
        <v>0.99171355521956484</v>
      </c>
      <c r="E599">
        <v>0.97776142670842159</v>
      </c>
      <c r="F599">
        <v>2.9955106270082399</v>
      </c>
      <c r="G599">
        <v>6.5158173156610202</v>
      </c>
      <c r="H599">
        <v>38.841158029302647</v>
      </c>
      <c r="I599">
        <v>25.192706292578301</v>
      </c>
      <c r="J599">
        <v>20.8660065765669</v>
      </c>
      <c r="K599">
        <v>1625.608283642267</v>
      </c>
      <c r="L599">
        <v>1</v>
      </c>
      <c r="M599" t="s">
        <v>66</v>
      </c>
    </row>
    <row r="600" spans="1:13" x14ac:dyDescent="0.3">
      <c r="A600" t="s">
        <v>15</v>
      </c>
      <c r="B600" t="s">
        <v>34</v>
      </c>
      <c r="C600">
        <v>61.392846837603336</v>
      </c>
      <c r="D600">
        <v>3.0424715622611251</v>
      </c>
      <c r="E600">
        <v>4.1751730598982171</v>
      </c>
      <c r="F600">
        <v>11.216620102869131</v>
      </c>
      <c r="G600">
        <v>6.0028622586080562</v>
      </c>
      <c r="H600">
        <v>35.134051113280243</v>
      </c>
      <c r="I600">
        <v>18.318493403173459</v>
      </c>
      <c r="J600">
        <v>20.016393876707721</v>
      </c>
      <c r="K600">
        <v>2139.8138435313608</v>
      </c>
      <c r="L600">
        <v>1</v>
      </c>
      <c r="M600" t="s">
        <v>66</v>
      </c>
    </row>
    <row r="601" spans="1:13" x14ac:dyDescent="0.3">
      <c r="A601" t="s">
        <v>16</v>
      </c>
      <c r="B601" t="s">
        <v>35</v>
      </c>
      <c r="C601">
        <v>20.071022504503901</v>
      </c>
      <c r="D601">
        <v>0</v>
      </c>
      <c r="E601">
        <v>0.93561144201562207</v>
      </c>
      <c r="F601">
        <v>2.129915913002947</v>
      </c>
      <c r="G601">
        <v>6.3240769099194889</v>
      </c>
      <c r="H601">
        <v>20.358824815605399</v>
      </c>
      <c r="I601">
        <v>22.46761446564464</v>
      </c>
      <c r="J601">
        <v>28.13462888965423</v>
      </c>
      <c r="K601">
        <v>2035.2734766941039</v>
      </c>
      <c r="L601">
        <v>1</v>
      </c>
      <c r="M601" t="s">
        <v>66</v>
      </c>
    </row>
    <row r="602" spans="1:13" x14ac:dyDescent="0.3">
      <c r="A602" t="s">
        <v>19</v>
      </c>
      <c r="B602" t="s">
        <v>44</v>
      </c>
      <c r="C602">
        <v>20.599757362629258</v>
      </c>
      <c r="D602">
        <v>0</v>
      </c>
      <c r="E602">
        <v>0.98907351087970863</v>
      </c>
      <c r="F602">
        <v>3.0727389122751601</v>
      </c>
      <c r="G602">
        <v>5.1090385476747846</v>
      </c>
      <c r="H602">
        <v>15.801501080561531</v>
      </c>
      <c r="I602">
        <v>31.47986766378159</v>
      </c>
      <c r="J602">
        <v>24.217710817910561</v>
      </c>
      <c r="K602">
        <v>1325.642037720889</v>
      </c>
      <c r="L602">
        <v>0</v>
      </c>
      <c r="M602" t="s">
        <v>66</v>
      </c>
    </row>
    <row r="603" spans="1:13" x14ac:dyDescent="0.3">
      <c r="A603" t="s">
        <v>15</v>
      </c>
      <c r="B603" t="s">
        <v>30</v>
      </c>
      <c r="C603">
        <v>39.389532903460868</v>
      </c>
      <c r="D603">
        <v>2.1357948454016218</v>
      </c>
      <c r="E603">
        <v>2.109879879736503</v>
      </c>
      <c r="F603">
        <v>5.5591914158902203</v>
      </c>
      <c r="G603">
        <v>6.2736647423176723</v>
      </c>
      <c r="H603">
        <v>26.437929951037699</v>
      </c>
      <c r="I603">
        <v>19.363273743499569</v>
      </c>
      <c r="J603">
        <v>28.04746718377001</v>
      </c>
      <c r="K603">
        <v>2033.1027547279359</v>
      </c>
      <c r="L603">
        <v>1</v>
      </c>
      <c r="M603" t="s">
        <v>66</v>
      </c>
    </row>
    <row r="604" spans="1:13" x14ac:dyDescent="0.3">
      <c r="A604" t="s">
        <v>22</v>
      </c>
      <c r="B604" t="s">
        <v>53</v>
      </c>
      <c r="C604">
        <v>32.474791329241071</v>
      </c>
      <c r="D604">
        <v>1.0452363321732281</v>
      </c>
      <c r="E604">
        <v>2.030437079299388</v>
      </c>
      <c r="F604">
        <v>5.407278944008036</v>
      </c>
      <c r="G604">
        <v>6.3774200665989902</v>
      </c>
      <c r="H604">
        <v>22.510223321434729</v>
      </c>
      <c r="I604">
        <v>24.646154575932631</v>
      </c>
      <c r="J604">
        <v>19.895525774154109</v>
      </c>
      <c r="K604">
        <v>1311.704218792506</v>
      </c>
      <c r="L604">
        <v>1</v>
      </c>
      <c r="M604" t="s">
        <v>66</v>
      </c>
    </row>
    <row r="605" spans="1:13" x14ac:dyDescent="0.3">
      <c r="A605" t="s">
        <v>25</v>
      </c>
      <c r="B605" t="s">
        <v>62</v>
      </c>
      <c r="C605">
        <v>588.17855672549592</v>
      </c>
      <c r="D605">
        <v>37.201347377499538</v>
      </c>
      <c r="E605">
        <v>45.371321975009643</v>
      </c>
      <c r="F605">
        <v>105.50061007768871</v>
      </c>
      <c r="G605">
        <v>4.4583147029399308</v>
      </c>
      <c r="H605">
        <v>88.4</v>
      </c>
      <c r="I605">
        <v>27.52887655386084</v>
      </c>
      <c r="J605">
        <v>24.74817580723052</v>
      </c>
      <c r="K605">
        <v>705.20658508421616</v>
      </c>
      <c r="L605">
        <v>0</v>
      </c>
      <c r="M605" t="s">
        <v>66</v>
      </c>
    </row>
    <row r="606" spans="1:13" x14ac:dyDescent="0.3">
      <c r="A606" t="s">
        <v>19</v>
      </c>
      <c r="B606" t="s">
        <v>45</v>
      </c>
      <c r="C606">
        <v>47.326879029394938</v>
      </c>
      <c r="D606">
        <v>1.607809900038965</v>
      </c>
      <c r="E606">
        <v>3.3129829428664288</v>
      </c>
      <c r="F606">
        <v>8.3112654756588</v>
      </c>
      <c r="G606">
        <v>6.1250366599505872</v>
      </c>
      <c r="H606">
        <v>32.541046708591779</v>
      </c>
      <c r="I606">
        <v>21.39875467669982</v>
      </c>
      <c r="J606">
        <v>26.977887547112712</v>
      </c>
      <c r="K606">
        <v>1402.5595409320431</v>
      </c>
      <c r="L606">
        <v>1</v>
      </c>
      <c r="M606" t="s">
        <v>66</v>
      </c>
    </row>
    <row r="607" spans="1:13" x14ac:dyDescent="0.3">
      <c r="A607" t="s">
        <v>24</v>
      </c>
      <c r="B607" t="s">
        <v>61</v>
      </c>
      <c r="C607">
        <v>85.717377350390336</v>
      </c>
      <c r="D607">
        <v>3.956941630656349</v>
      </c>
      <c r="E607">
        <v>3.9382150668484051</v>
      </c>
      <c r="F607">
        <v>12.754880037333381</v>
      </c>
      <c r="G607">
        <v>6.2273661804349096</v>
      </c>
      <c r="H607">
        <v>16.21642306693764</v>
      </c>
      <c r="I607">
        <v>32.930051845995429</v>
      </c>
      <c r="J607">
        <v>31.18335491801534</v>
      </c>
      <c r="K607">
        <v>49.977756459054937</v>
      </c>
      <c r="L607">
        <v>-1</v>
      </c>
      <c r="M607" t="s">
        <v>66</v>
      </c>
    </row>
    <row r="608" spans="1:13" x14ac:dyDescent="0.3">
      <c r="A608" t="s">
        <v>24</v>
      </c>
      <c r="B608" t="s">
        <v>58</v>
      </c>
      <c r="C608">
        <v>27.600278231695381</v>
      </c>
      <c r="D608">
        <v>0.96818455304055906</v>
      </c>
      <c r="E608">
        <v>1.8736421661103391</v>
      </c>
      <c r="F608">
        <v>3.887171803849554</v>
      </c>
      <c r="G608">
        <v>6.0992863098554411</v>
      </c>
      <c r="H608">
        <v>36.626059477313213</v>
      </c>
      <c r="I608">
        <v>23.587683683765281</v>
      </c>
      <c r="J608">
        <v>21.506507576593609</v>
      </c>
      <c r="K608">
        <v>721.39088644774222</v>
      </c>
      <c r="L608">
        <v>0</v>
      </c>
      <c r="M608" t="s">
        <v>66</v>
      </c>
    </row>
    <row r="609" spans="1:13" x14ac:dyDescent="0.3">
      <c r="A609" t="s">
        <v>22</v>
      </c>
      <c r="B609" t="s">
        <v>53</v>
      </c>
      <c r="C609">
        <v>346.02693328433901</v>
      </c>
      <c r="D609">
        <v>17.167078641080249</v>
      </c>
      <c r="E609">
        <v>23.634659762172099</v>
      </c>
      <c r="F609">
        <v>65.714020895130076</v>
      </c>
      <c r="G609">
        <v>6.3049085543501784</v>
      </c>
      <c r="H609">
        <v>34.511415050807059</v>
      </c>
      <c r="I609">
        <v>26.002227533602859</v>
      </c>
      <c r="J609">
        <v>22.363795273826209</v>
      </c>
      <c r="K609">
        <v>1334.3113907907671</v>
      </c>
      <c r="L609">
        <v>1</v>
      </c>
      <c r="M609" t="s">
        <v>66</v>
      </c>
    </row>
    <row r="610" spans="1:13" x14ac:dyDescent="0.3">
      <c r="A610" t="s">
        <v>16</v>
      </c>
      <c r="B610" t="s">
        <v>38</v>
      </c>
      <c r="C610">
        <v>960</v>
      </c>
      <c r="D610">
        <v>47</v>
      </c>
      <c r="E610">
        <v>67</v>
      </c>
      <c r="F610">
        <v>151.05231910175249</v>
      </c>
      <c r="G610">
        <v>5.2243766549595314</v>
      </c>
      <c r="H610">
        <v>25.52013781029093</v>
      </c>
      <c r="I610">
        <v>19.674537909341801</v>
      </c>
      <c r="J610">
        <v>22.822494861875789</v>
      </c>
      <c r="K610">
        <v>1488.731612718525</v>
      </c>
      <c r="L610">
        <v>1</v>
      </c>
      <c r="M610" t="s">
        <v>66</v>
      </c>
    </row>
    <row r="611" spans="1:13" x14ac:dyDescent="0.3">
      <c r="A611" t="s">
        <v>25</v>
      </c>
      <c r="B611" t="s">
        <v>62</v>
      </c>
      <c r="C611">
        <v>251.26252585586349</v>
      </c>
      <c r="D611">
        <v>20.382585510013762</v>
      </c>
      <c r="E611">
        <v>24.21650347352282</v>
      </c>
      <c r="F611">
        <v>55.521902063276542</v>
      </c>
      <c r="G611">
        <v>4.3089831439961488</v>
      </c>
      <c r="H611">
        <v>66.257660863504242</v>
      </c>
      <c r="I611">
        <v>28.774794847617891</v>
      </c>
      <c r="J611">
        <v>24.629839818117759</v>
      </c>
      <c r="K611">
        <v>723.14905325383336</v>
      </c>
      <c r="L611">
        <v>0</v>
      </c>
      <c r="M611" t="s">
        <v>66</v>
      </c>
    </row>
    <row r="612" spans="1:13" x14ac:dyDescent="0.3">
      <c r="A612" t="s">
        <v>20</v>
      </c>
      <c r="B612" t="s">
        <v>49</v>
      </c>
      <c r="C612">
        <v>91.0609024326575</v>
      </c>
      <c r="D612">
        <v>3.9855493443658818</v>
      </c>
      <c r="E612">
        <v>5.2531536125402853</v>
      </c>
      <c r="F612">
        <v>16.589862729063309</v>
      </c>
      <c r="G612">
        <v>5.7773010638669167</v>
      </c>
      <c r="H612">
        <v>29.281644975082031</v>
      </c>
      <c r="I612">
        <v>22.40055114490228</v>
      </c>
      <c r="J612">
        <v>21.318975730636389</v>
      </c>
      <c r="K612">
        <v>1781.723598027809</v>
      </c>
      <c r="L612">
        <v>1</v>
      </c>
      <c r="M612" t="s">
        <v>66</v>
      </c>
    </row>
    <row r="613" spans="1:13" x14ac:dyDescent="0.3">
      <c r="A613" t="s">
        <v>15</v>
      </c>
      <c r="B613" t="s">
        <v>33</v>
      </c>
      <c r="C613">
        <v>72.065268174381686</v>
      </c>
      <c r="D613">
        <v>3.2629378024521212</v>
      </c>
      <c r="E613">
        <v>5.2737086655208172</v>
      </c>
      <c r="F613">
        <v>12.132825663608729</v>
      </c>
      <c r="G613">
        <v>5.5704245356696749</v>
      </c>
      <c r="H613">
        <v>24.249019114575329</v>
      </c>
      <c r="I613">
        <v>18.16150759521086</v>
      </c>
      <c r="J613">
        <v>17.327878520008579</v>
      </c>
      <c r="K613">
        <v>1888.579228481125</v>
      </c>
      <c r="L613">
        <v>1</v>
      </c>
      <c r="M613" t="s">
        <v>66</v>
      </c>
    </row>
    <row r="614" spans="1:13" x14ac:dyDescent="0.3">
      <c r="A614" t="s">
        <v>19</v>
      </c>
      <c r="B614" t="s">
        <v>44</v>
      </c>
      <c r="C614">
        <v>42.21733802699265</v>
      </c>
      <c r="D614">
        <v>2.0303127408143218</v>
      </c>
      <c r="E614">
        <v>1.798794847280329</v>
      </c>
      <c r="F614">
        <v>7.5059145134647443</v>
      </c>
      <c r="G614">
        <v>4.6924240209135224</v>
      </c>
      <c r="H614">
        <v>31.843994317950941</v>
      </c>
      <c r="I614">
        <v>18.083568488470469</v>
      </c>
      <c r="J614">
        <v>19.92705813461497</v>
      </c>
      <c r="K614">
        <v>1947.0853324615391</v>
      </c>
      <c r="L614">
        <v>1</v>
      </c>
      <c r="M614" t="s">
        <v>66</v>
      </c>
    </row>
    <row r="615" spans="1:13" x14ac:dyDescent="0.3">
      <c r="A615" t="s">
        <v>19</v>
      </c>
      <c r="B615" t="s">
        <v>44</v>
      </c>
      <c r="C615">
        <v>43.469071081865003</v>
      </c>
      <c r="D615">
        <v>1.1143684185216181</v>
      </c>
      <c r="E615">
        <v>1.985371405582633</v>
      </c>
      <c r="F615">
        <v>4.8973680251258136</v>
      </c>
      <c r="G615">
        <v>5.5396032722077191</v>
      </c>
      <c r="H615">
        <v>38.157949972519141</v>
      </c>
      <c r="I615">
        <v>26.952303284470641</v>
      </c>
      <c r="J615">
        <v>19.646539529462299</v>
      </c>
      <c r="K615">
        <v>1948.283632651398</v>
      </c>
      <c r="L615">
        <v>1</v>
      </c>
      <c r="M615" t="s">
        <v>66</v>
      </c>
    </row>
    <row r="616" spans="1:13" x14ac:dyDescent="0.3">
      <c r="A616" t="s">
        <v>25</v>
      </c>
      <c r="B616" t="s">
        <v>62</v>
      </c>
      <c r="C616">
        <v>262.92443380466511</v>
      </c>
      <c r="D616">
        <v>19.36994117132868</v>
      </c>
      <c r="E616">
        <v>25.240573479334241</v>
      </c>
      <c r="F616">
        <v>55.22405074526408</v>
      </c>
      <c r="G616">
        <v>4.5531785058694849</v>
      </c>
      <c r="H616">
        <v>74.075991681188839</v>
      </c>
      <c r="I616">
        <v>28.7592345797791</v>
      </c>
      <c r="J616">
        <v>23.14959077395466</v>
      </c>
      <c r="K616">
        <v>723.6756856636855</v>
      </c>
      <c r="L616">
        <v>0</v>
      </c>
      <c r="M616" t="s">
        <v>66</v>
      </c>
    </row>
    <row r="617" spans="1:13" x14ac:dyDescent="0.3">
      <c r="A617" t="s">
        <v>19</v>
      </c>
      <c r="B617" t="s">
        <v>44</v>
      </c>
      <c r="C617">
        <v>44.889294026184928</v>
      </c>
      <c r="D617">
        <v>2.0285411190787719</v>
      </c>
      <c r="E617">
        <v>2.9460895305375092</v>
      </c>
      <c r="F617">
        <v>7.7789842963826139</v>
      </c>
      <c r="G617">
        <v>6.3279632342385019</v>
      </c>
      <c r="H617">
        <v>24.770785034726529</v>
      </c>
      <c r="I617">
        <v>19.8486010049477</v>
      </c>
      <c r="J617">
        <v>31.021023359514739</v>
      </c>
      <c r="K617">
        <v>2255.9413399170398</v>
      </c>
      <c r="L617">
        <v>1</v>
      </c>
      <c r="M617" t="s">
        <v>66</v>
      </c>
    </row>
    <row r="618" spans="1:13" x14ac:dyDescent="0.3">
      <c r="A618" t="s">
        <v>18</v>
      </c>
      <c r="B618" t="s">
        <v>40</v>
      </c>
      <c r="C618">
        <v>25.69545418526992</v>
      </c>
      <c r="D618">
        <v>1.037727888621895</v>
      </c>
      <c r="E618">
        <v>1.0054398222507011</v>
      </c>
      <c r="F618">
        <v>3.1021790404112881</v>
      </c>
      <c r="G618">
        <v>5.8615293838594296</v>
      </c>
      <c r="H618">
        <v>23.407716040408889</v>
      </c>
      <c r="I618">
        <v>20.379936759211461</v>
      </c>
      <c r="J618">
        <v>20.932514870988008</v>
      </c>
      <c r="K618">
        <v>1902.1599279161819</v>
      </c>
      <c r="L618">
        <v>1</v>
      </c>
      <c r="M618" t="s">
        <v>66</v>
      </c>
    </row>
    <row r="619" spans="1:13" x14ac:dyDescent="0.3">
      <c r="A619" t="s">
        <v>18</v>
      </c>
      <c r="B619" t="s">
        <v>40</v>
      </c>
      <c r="C619">
        <v>117.3280633998064</v>
      </c>
      <c r="D619">
        <v>6.9291590720189351</v>
      </c>
      <c r="E619">
        <v>9.9145934668002607</v>
      </c>
      <c r="F619">
        <v>22.702212844807988</v>
      </c>
      <c r="G619">
        <v>6.0930757219457652</v>
      </c>
      <c r="H619">
        <v>30.489147045847648</v>
      </c>
      <c r="I619">
        <v>20.004811916599781</v>
      </c>
      <c r="J619">
        <v>19.852608671665781</v>
      </c>
      <c r="K619">
        <v>1675.6266806237741</v>
      </c>
      <c r="L619">
        <v>1</v>
      </c>
      <c r="M619" t="s">
        <v>66</v>
      </c>
    </row>
    <row r="620" spans="1:13" x14ac:dyDescent="0.3">
      <c r="A620" t="s">
        <v>16</v>
      </c>
      <c r="B620" t="s">
        <v>36</v>
      </c>
      <c r="C620">
        <v>21.395815022131401</v>
      </c>
      <c r="D620">
        <v>0.93793597445814303</v>
      </c>
      <c r="E620">
        <v>0.92048214730561817</v>
      </c>
      <c r="F620">
        <v>3.0006057812706288</v>
      </c>
      <c r="G620">
        <v>6.3944415177958724</v>
      </c>
      <c r="H620">
        <v>26.348819192698709</v>
      </c>
      <c r="I620">
        <v>23.399731545999661</v>
      </c>
      <c r="J620">
        <v>22.850954619274329</v>
      </c>
      <c r="K620">
        <v>1706.871421940682</v>
      </c>
      <c r="L620">
        <v>1</v>
      </c>
      <c r="M620" t="s">
        <v>66</v>
      </c>
    </row>
    <row r="621" spans="1:13" x14ac:dyDescent="0.3">
      <c r="A621" t="s">
        <v>24</v>
      </c>
      <c r="B621" t="s">
        <v>58</v>
      </c>
      <c r="C621">
        <v>36.036786763833049</v>
      </c>
      <c r="D621">
        <v>0.91540722720445711</v>
      </c>
      <c r="E621">
        <v>1.811883111067448</v>
      </c>
      <c r="F621">
        <v>5.2254270129487486</v>
      </c>
      <c r="G621">
        <v>6.5444416329045891</v>
      </c>
      <c r="H621">
        <v>51.983164920532282</v>
      </c>
      <c r="I621">
        <v>24.504483009691601</v>
      </c>
      <c r="J621">
        <v>23.886679070550102</v>
      </c>
      <c r="K621">
        <v>742.63733992739674</v>
      </c>
      <c r="L621">
        <v>0</v>
      </c>
      <c r="M621" t="s">
        <v>66</v>
      </c>
    </row>
    <row r="622" spans="1:13" x14ac:dyDescent="0.3">
      <c r="A622" t="s">
        <v>15</v>
      </c>
      <c r="B622" t="s">
        <v>33</v>
      </c>
      <c r="C622">
        <v>75.905864690372752</v>
      </c>
      <c r="D622">
        <v>3.000014042492599</v>
      </c>
      <c r="E622">
        <v>5.1251997985144966</v>
      </c>
      <c r="F622">
        <v>11.182799200508651</v>
      </c>
      <c r="G622">
        <v>5.6304510851201401</v>
      </c>
      <c r="H622">
        <v>26.332369924018</v>
      </c>
      <c r="I622">
        <v>19.31408791525968</v>
      </c>
      <c r="J622">
        <v>17.605674306320861</v>
      </c>
      <c r="K622">
        <v>1887.68948386394</v>
      </c>
      <c r="L622">
        <v>1</v>
      </c>
      <c r="M622" t="s">
        <v>66</v>
      </c>
    </row>
    <row r="623" spans="1:13" x14ac:dyDescent="0.3">
      <c r="A623" t="s">
        <v>19</v>
      </c>
      <c r="B623" t="s">
        <v>48</v>
      </c>
      <c r="C623">
        <v>30.00216085841582</v>
      </c>
      <c r="D623">
        <v>1.0640803415833231</v>
      </c>
      <c r="E623">
        <v>1.9562225697646709</v>
      </c>
      <c r="F623">
        <v>6.112215885922847</v>
      </c>
      <c r="G623">
        <v>5.9348575307810556</v>
      </c>
      <c r="H623">
        <v>21.471661984603259</v>
      </c>
      <c r="I623">
        <v>32.615128414524733</v>
      </c>
      <c r="J623">
        <v>27.56975849414264</v>
      </c>
      <c r="K623">
        <v>1175.720676260026</v>
      </c>
      <c r="L623">
        <v>0</v>
      </c>
      <c r="M623" t="s">
        <v>66</v>
      </c>
    </row>
    <row r="624" spans="1:13" x14ac:dyDescent="0.3">
      <c r="A624" t="s">
        <v>18</v>
      </c>
      <c r="B624" t="s">
        <v>40</v>
      </c>
      <c r="C624">
        <v>122.3498517581947</v>
      </c>
      <c r="D624">
        <v>6.567728521378994</v>
      </c>
      <c r="E624">
        <v>10.383570616259471</v>
      </c>
      <c r="F624">
        <v>22.490975373872459</v>
      </c>
      <c r="G624">
        <v>4.8658233073965969</v>
      </c>
      <c r="H624">
        <v>59.621594071523731</v>
      </c>
      <c r="I624">
        <v>19.135691063551931</v>
      </c>
      <c r="J624">
        <v>21.426560979160939</v>
      </c>
      <c r="K624">
        <v>1719.6185511044789</v>
      </c>
      <c r="L624">
        <v>1</v>
      </c>
      <c r="M624" t="s">
        <v>66</v>
      </c>
    </row>
    <row r="625" spans="1:13" x14ac:dyDescent="0.3">
      <c r="A625" t="s">
        <v>22</v>
      </c>
      <c r="B625" t="s">
        <v>53</v>
      </c>
      <c r="C625">
        <v>73.558280704038367</v>
      </c>
      <c r="D625">
        <v>3.1260355077244859</v>
      </c>
      <c r="E625">
        <v>5.4290088532336194</v>
      </c>
      <c r="F625">
        <v>10.912229638608551</v>
      </c>
      <c r="G625">
        <v>6.1779077273414877</v>
      </c>
      <c r="H625">
        <v>34.234132701297732</v>
      </c>
      <c r="I625">
        <v>26.458569330104179</v>
      </c>
      <c r="J625">
        <v>21.659275525442911</v>
      </c>
      <c r="K625">
        <v>1416.869015998911</v>
      </c>
      <c r="L625">
        <v>1</v>
      </c>
      <c r="M625" t="s">
        <v>66</v>
      </c>
    </row>
    <row r="626" spans="1:13" x14ac:dyDescent="0.3">
      <c r="A626" t="s">
        <v>17</v>
      </c>
      <c r="B626" t="s">
        <v>39</v>
      </c>
      <c r="C626">
        <v>820.14545726402173</v>
      </c>
      <c r="D626">
        <v>42.369634384171363</v>
      </c>
      <c r="E626">
        <v>59.296856063026453</v>
      </c>
      <c r="F626">
        <v>153</v>
      </c>
      <c r="G626">
        <v>5.5241000687824506</v>
      </c>
      <c r="H626">
        <v>46.990448911056447</v>
      </c>
      <c r="I626">
        <v>19.218641024735909</v>
      </c>
      <c r="J626">
        <v>22.568116817287379</v>
      </c>
      <c r="K626">
        <v>1501.929530197868</v>
      </c>
      <c r="L626">
        <v>1</v>
      </c>
      <c r="M626" t="s">
        <v>66</v>
      </c>
    </row>
    <row r="627" spans="1:13" x14ac:dyDescent="0.3">
      <c r="A627" t="s">
        <v>19</v>
      </c>
      <c r="B627" t="s">
        <v>45</v>
      </c>
      <c r="C627">
        <v>19.709471670229661</v>
      </c>
      <c r="D627">
        <v>0.95484307142509461</v>
      </c>
      <c r="E627">
        <v>0.99583344569302668</v>
      </c>
      <c r="F627">
        <v>3.398806996968911</v>
      </c>
      <c r="G627">
        <v>6.380917039508776</v>
      </c>
      <c r="H627">
        <v>19.162900785165871</v>
      </c>
      <c r="I627">
        <v>31.43477816773353</v>
      </c>
      <c r="J627">
        <v>24.217606471892189</v>
      </c>
      <c r="K627">
        <v>1341.0889079316239</v>
      </c>
      <c r="L627">
        <v>0</v>
      </c>
      <c r="M627" t="s">
        <v>66</v>
      </c>
    </row>
    <row r="628" spans="1:13" x14ac:dyDescent="0.3">
      <c r="A628" t="s">
        <v>19</v>
      </c>
      <c r="B628" t="s">
        <v>47</v>
      </c>
      <c r="C628">
        <v>81.444465738476012</v>
      </c>
      <c r="D628">
        <v>3.1512910949915431</v>
      </c>
      <c r="E628">
        <v>4.5928127887586987</v>
      </c>
      <c r="F628">
        <v>12.31019796135401</v>
      </c>
      <c r="G628">
        <v>6.4661440457903829</v>
      </c>
      <c r="H628">
        <v>15.550611239568029</v>
      </c>
      <c r="I628">
        <v>26.53305620600295</v>
      </c>
      <c r="J628">
        <v>25.88477143576652</v>
      </c>
      <c r="K628">
        <v>666.89897454301058</v>
      </c>
      <c r="L628">
        <v>1</v>
      </c>
      <c r="M628" t="s">
        <v>66</v>
      </c>
    </row>
    <row r="629" spans="1:13" x14ac:dyDescent="0.3">
      <c r="A629" t="s">
        <v>15</v>
      </c>
      <c r="B629" t="s">
        <v>33</v>
      </c>
      <c r="C629">
        <v>37.154329560987769</v>
      </c>
      <c r="D629">
        <v>1.6469942640236379</v>
      </c>
      <c r="E629">
        <v>2.1094142429906761</v>
      </c>
      <c r="F629">
        <v>5.7695183010744628</v>
      </c>
      <c r="G629">
        <v>6.088360985756994</v>
      </c>
      <c r="H629">
        <v>36.98867843565975</v>
      </c>
      <c r="I629">
        <v>19.534405539133211</v>
      </c>
      <c r="J629">
        <v>16.925164671972301</v>
      </c>
      <c r="K629">
        <v>1939.563074203098</v>
      </c>
      <c r="L629">
        <v>1</v>
      </c>
      <c r="M629" t="s">
        <v>66</v>
      </c>
    </row>
    <row r="630" spans="1:13" x14ac:dyDescent="0.3">
      <c r="A630" t="s">
        <v>19</v>
      </c>
      <c r="B630" t="s">
        <v>48</v>
      </c>
      <c r="C630">
        <v>99.948054847675991</v>
      </c>
      <c r="D630">
        <v>4.2815382282317929</v>
      </c>
      <c r="E630">
        <v>5.5470119127556439</v>
      </c>
      <c r="F630">
        <v>13.081665127895469</v>
      </c>
      <c r="G630">
        <v>6.0159008168295482</v>
      </c>
      <c r="H630">
        <v>35.353358085678352</v>
      </c>
      <c r="I630">
        <v>25.32225528019972</v>
      </c>
      <c r="J630">
        <v>25.832661393149149</v>
      </c>
      <c r="K630">
        <v>664.83826936583432</v>
      </c>
      <c r="L630">
        <v>1</v>
      </c>
      <c r="M630" t="s">
        <v>66</v>
      </c>
    </row>
    <row r="631" spans="1:13" x14ac:dyDescent="0.3">
      <c r="A631" t="s">
        <v>25</v>
      </c>
      <c r="B631" t="s">
        <v>62</v>
      </c>
      <c r="C631">
        <v>91.817389431467049</v>
      </c>
      <c r="D631">
        <v>3.6238794975190229</v>
      </c>
      <c r="E631">
        <v>5.9471121137786556</v>
      </c>
      <c r="F631">
        <v>11.690562460350639</v>
      </c>
      <c r="G631">
        <v>6.7779578919102441</v>
      </c>
      <c r="H631">
        <v>14.650768994991701</v>
      </c>
      <c r="I631">
        <v>31.524684713895979</v>
      </c>
      <c r="J631">
        <v>28.920344900681819</v>
      </c>
      <c r="K631">
        <v>46.968743683194361</v>
      </c>
      <c r="L631">
        <v>-1</v>
      </c>
      <c r="M631" t="s">
        <v>66</v>
      </c>
    </row>
    <row r="632" spans="1:13" x14ac:dyDescent="0.3">
      <c r="A632" t="s">
        <v>19</v>
      </c>
      <c r="B632" t="s">
        <v>47</v>
      </c>
      <c r="C632">
        <v>80.717240929216501</v>
      </c>
      <c r="D632">
        <v>3.4608834975822149</v>
      </c>
      <c r="E632">
        <v>5.2490501627551387</v>
      </c>
      <c r="F632">
        <v>12.95200081062244</v>
      </c>
      <c r="G632">
        <v>6.509137392438892</v>
      </c>
      <c r="H632">
        <v>15.6209729441108</v>
      </c>
      <c r="I632">
        <v>26.762384497500729</v>
      </c>
      <c r="J632">
        <v>23.955942444039259</v>
      </c>
      <c r="K632">
        <v>689.50300928914328</v>
      </c>
      <c r="L632">
        <v>1</v>
      </c>
      <c r="M632" t="s">
        <v>66</v>
      </c>
    </row>
    <row r="633" spans="1:13" x14ac:dyDescent="0.3">
      <c r="A633" t="s">
        <v>21</v>
      </c>
      <c r="B633" t="s">
        <v>52</v>
      </c>
      <c r="C633">
        <v>65.8270447597898</v>
      </c>
      <c r="D633">
        <v>3.074869235737725</v>
      </c>
      <c r="E633">
        <v>4.0989971019451694</v>
      </c>
      <c r="F633">
        <v>9.8427862049079629</v>
      </c>
      <c r="G633">
        <v>5.782131510075379</v>
      </c>
      <c r="H633">
        <v>30.061848519505059</v>
      </c>
      <c r="I633">
        <v>20.349193108181201</v>
      </c>
      <c r="J633">
        <v>20.715644832941731</v>
      </c>
      <c r="K633">
        <v>1541.4167572529341</v>
      </c>
      <c r="L633">
        <v>1</v>
      </c>
      <c r="M633" t="s">
        <v>66</v>
      </c>
    </row>
    <row r="634" spans="1:13" x14ac:dyDescent="0.3">
      <c r="A634" t="s">
        <v>20</v>
      </c>
      <c r="B634" t="s">
        <v>50</v>
      </c>
      <c r="C634">
        <v>47.199058709748343</v>
      </c>
      <c r="D634">
        <v>1.91143484183392</v>
      </c>
      <c r="E634">
        <v>2.8854555326779878</v>
      </c>
      <c r="F634">
        <v>6.6659440552068396</v>
      </c>
      <c r="G634">
        <v>5.9448707847814157</v>
      </c>
      <c r="H634">
        <v>38.247685268071187</v>
      </c>
      <c r="I634">
        <v>24.6959092004609</v>
      </c>
      <c r="J634">
        <v>21.345647414538959</v>
      </c>
      <c r="K634">
        <v>1602.2097124609891</v>
      </c>
      <c r="L634">
        <v>1</v>
      </c>
      <c r="M634" t="s">
        <v>66</v>
      </c>
    </row>
    <row r="635" spans="1:13" x14ac:dyDescent="0.3">
      <c r="A635" t="s">
        <v>23</v>
      </c>
      <c r="B635" t="s">
        <v>56</v>
      </c>
      <c r="C635">
        <v>72.772196412283748</v>
      </c>
      <c r="D635">
        <v>2.8961735272855469</v>
      </c>
      <c r="E635">
        <v>5.0209644171143442</v>
      </c>
      <c r="F635">
        <v>10.64677194177443</v>
      </c>
      <c r="G635">
        <v>6.273075102893233</v>
      </c>
      <c r="H635">
        <v>16.230118212351691</v>
      </c>
      <c r="I635">
        <v>20.577624338831971</v>
      </c>
      <c r="J635">
        <v>18.586724453882891</v>
      </c>
      <c r="K635">
        <v>1608.865065366359</v>
      </c>
      <c r="L635">
        <v>1</v>
      </c>
      <c r="M635" t="s">
        <v>66</v>
      </c>
    </row>
    <row r="636" spans="1:13" x14ac:dyDescent="0.3">
      <c r="A636" t="s">
        <v>18</v>
      </c>
      <c r="B636" t="s">
        <v>41</v>
      </c>
      <c r="C636">
        <v>0</v>
      </c>
      <c r="D636">
        <v>0</v>
      </c>
      <c r="E636">
        <v>0</v>
      </c>
      <c r="F636">
        <v>-1.7763568394002501E-15</v>
      </c>
      <c r="G636">
        <v>6.1164111715303511</v>
      </c>
      <c r="H636">
        <v>22.940993718242289</v>
      </c>
      <c r="I636">
        <v>29.695274079896791</v>
      </c>
      <c r="J636">
        <v>33.386205155393213</v>
      </c>
      <c r="K636">
        <v>1855.2498070555471</v>
      </c>
      <c r="L636">
        <v>1</v>
      </c>
      <c r="M636" t="s">
        <v>66</v>
      </c>
    </row>
    <row r="637" spans="1:13" x14ac:dyDescent="0.3">
      <c r="A637" t="s">
        <v>20</v>
      </c>
      <c r="B637" t="s">
        <v>51</v>
      </c>
      <c r="C637">
        <v>68.942827396586054</v>
      </c>
      <c r="D637">
        <v>3.4357363981603548</v>
      </c>
      <c r="E637">
        <v>4.9076527342567013</v>
      </c>
      <c r="F637">
        <v>11.071425036871251</v>
      </c>
      <c r="G637">
        <v>6.7528102616177339</v>
      </c>
      <c r="H637">
        <v>26.350318793892011</v>
      </c>
      <c r="I637">
        <v>21.673183245716789</v>
      </c>
      <c r="J637">
        <v>19.263450948456502</v>
      </c>
      <c r="K637">
        <v>1635.8806093588089</v>
      </c>
      <c r="L637">
        <v>1</v>
      </c>
      <c r="M637" t="s">
        <v>66</v>
      </c>
    </row>
    <row r="638" spans="1:13" x14ac:dyDescent="0.3">
      <c r="A638" t="s">
        <v>19</v>
      </c>
      <c r="B638" t="s">
        <v>44</v>
      </c>
      <c r="C638">
        <v>27.1372662429245</v>
      </c>
      <c r="D638">
        <v>1.0662703644133411</v>
      </c>
      <c r="E638">
        <v>1.823740150393488</v>
      </c>
      <c r="F638">
        <v>4.0661574487164494</v>
      </c>
      <c r="G638">
        <v>5.8939103281942709</v>
      </c>
      <c r="H638">
        <v>21.79397176431938</v>
      </c>
      <c r="I638">
        <v>17.488483513233049</v>
      </c>
      <c r="J638">
        <v>21.189888514318309</v>
      </c>
      <c r="K638">
        <v>1759.5449577637939</v>
      </c>
      <c r="L638">
        <v>1</v>
      </c>
      <c r="M638" t="s">
        <v>66</v>
      </c>
    </row>
    <row r="639" spans="1:13" x14ac:dyDescent="0.3">
      <c r="A639" t="s">
        <v>25</v>
      </c>
      <c r="B639" t="s">
        <v>62</v>
      </c>
      <c r="C639">
        <v>30.558558145132778</v>
      </c>
      <c r="D639">
        <v>0.92928799074154078</v>
      </c>
      <c r="E639">
        <v>2.2751785335520789</v>
      </c>
      <c r="F639">
        <v>4.2058110191315166</v>
      </c>
      <c r="G639">
        <v>6.2583988573001497</v>
      </c>
      <c r="H639">
        <v>38.663462218675491</v>
      </c>
      <c r="I639">
        <v>20.375734843527869</v>
      </c>
      <c r="J639">
        <v>26.072451017840152</v>
      </c>
      <c r="K639">
        <v>1106.7703991619401</v>
      </c>
      <c r="L639">
        <v>0</v>
      </c>
      <c r="M639" t="s">
        <v>66</v>
      </c>
    </row>
    <row r="640" spans="1:13" x14ac:dyDescent="0.3">
      <c r="A640" t="s">
        <v>21</v>
      </c>
      <c r="B640" t="s">
        <v>52</v>
      </c>
      <c r="C640">
        <v>55.977790379506587</v>
      </c>
      <c r="D640">
        <v>2.0696197478665268</v>
      </c>
      <c r="E640">
        <v>2.7620295370309802</v>
      </c>
      <c r="F640">
        <v>6.9656157535207903</v>
      </c>
      <c r="G640">
        <v>6.4025104558816253</v>
      </c>
      <c r="H640">
        <v>33.405866885591827</v>
      </c>
      <c r="I640">
        <v>21.673275129807049</v>
      </c>
      <c r="J640">
        <v>19.656205366679028</v>
      </c>
      <c r="K640">
        <v>1270.3603431980789</v>
      </c>
      <c r="L640">
        <v>1</v>
      </c>
      <c r="M640" t="s">
        <v>66</v>
      </c>
    </row>
    <row r="641" spans="1:13" x14ac:dyDescent="0.3">
      <c r="A641" t="s">
        <v>15</v>
      </c>
      <c r="B641" t="s">
        <v>34</v>
      </c>
      <c r="C641">
        <v>29.398310100087802</v>
      </c>
      <c r="D641">
        <v>1.15418993377683</v>
      </c>
      <c r="E641">
        <v>2.227209120019142</v>
      </c>
      <c r="F641">
        <v>3.7450021802928659</v>
      </c>
      <c r="G641">
        <v>6.1065173557127608</v>
      </c>
      <c r="H641">
        <v>24.718081214435799</v>
      </c>
      <c r="I641">
        <v>18.363855347903279</v>
      </c>
      <c r="J641">
        <v>26.26700976635124</v>
      </c>
      <c r="K641">
        <v>1658.9343504042611</v>
      </c>
      <c r="L641">
        <v>1</v>
      </c>
      <c r="M641" t="s">
        <v>66</v>
      </c>
    </row>
    <row r="642" spans="1:13" x14ac:dyDescent="0.3">
      <c r="A642" t="s">
        <v>24</v>
      </c>
      <c r="B642" t="s">
        <v>57</v>
      </c>
      <c r="C642">
        <v>7.7731060361812609</v>
      </c>
      <c r="D642">
        <v>0</v>
      </c>
      <c r="E642">
        <v>0</v>
      </c>
      <c r="F642">
        <v>1.081959350553003</v>
      </c>
      <c r="G642">
        <v>5.9705476565094546</v>
      </c>
      <c r="H642">
        <v>37.352626888044412</v>
      </c>
      <c r="I642">
        <v>23.596419093895069</v>
      </c>
      <c r="J642">
        <v>21.423526107392082</v>
      </c>
      <c r="K642">
        <v>726.41828379988681</v>
      </c>
      <c r="L642">
        <v>0</v>
      </c>
      <c r="M642" t="s">
        <v>66</v>
      </c>
    </row>
    <row r="643" spans="1:13" x14ac:dyDescent="0.3">
      <c r="A643" t="s">
        <v>20</v>
      </c>
      <c r="B643" t="s">
        <v>49</v>
      </c>
      <c r="C643">
        <v>86.741887465526688</v>
      </c>
      <c r="D643">
        <v>4.4015106136568072</v>
      </c>
      <c r="E643">
        <v>5.4225971276789817</v>
      </c>
      <c r="F643">
        <v>13.460970706432491</v>
      </c>
      <c r="G643">
        <v>5.5601280886378754</v>
      </c>
      <c r="H643">
        <v>26.68840906652769</v>
      </c>
      <c r="I643">
        <v>21.681610958356281</v>
      </c>
      <c r="J643">
        <v>22.380267379126909</v>
      </c>
      <c r="K643">
        <v>1709.0096548724191</v>
      </c>
      <c r="L643">
        <v>1</v>
      </c>
      <c r="M643" t="s">
        <v>66</v>
      </c>
    </row>
    <row r="644" spans="1:13" x14ac:dyDescent="0.3">
      <c r="A644" t="s">
        <v>24</v>
      </c>
      <c r="B644" t="s">
        <v>61</v>
      </c>
      <c r="C644">
        <v>74.698073148363576</v>
      </c>
      <c r="D644">
        <v>4.4175330864256184</v>
      </c>
      <c r="E644">
        <v>4.7360590385551902</v>
      </c>
      <c r="F644">
        <v>11.82832578566047</v>
      </c>
      <c r="G644">
        <v>5.9377043617693399</v>
      </c>
      <c r="H644">
        <v>13.9</v>
      </c>
      <c r="I644">
        <v>34.875062053121262</v>
      </c>
      <c r="J644">
        <v>31.74598671144366</v>
      </c>
      <c r="K644">
        <v>48.133337860218262</v>
      </c>
      <c r="L644">
        <v>-1</v>
      </c>
      <c r="M644" t="s">
        <v>66</v>
      </c>
    </row>
    <row r="645" spans="1:13" x14ac:dyDescent="0.3">
      <c r="A645" t="s">
        <v>20</v>
      </c>
      <c r="B645" t="s">
        <v>49</v>
      </c>
      <c r="C645">
        <v>38.069184378205073</v>
      </c>
      <c r="D645">
        <v>1.0299030654767181</v>
      </c>
      <c r="E645">
        <v>2.3118656626184628</v>
      </c>
      <c r="F645">
        <v>5.9571610339809471</v>
      </c>
      <c r="G645">
        <v>6.1137757704093447</v>
      </c>
      <c r="H645">
        <v>16.313782321720211</v>
      </c>
      <c r="I645">
        <v>31.701378000818469</v>
      </c>
      <c r="J645">
        <v>24.83957062368761</v>
      </c>
      <c r="K645">
        <v>1154.832406155768</v>
      </c>
      <c r="L645">
        <v>0</v>
      </c>
      <c r="M645" t="s">
        <v>66</v>
      </c>
    </row>
    <row r="646" spans="1:13" x14ac:dyDescent="0.3">
      <c r="A646" t="s">
        <v>17</v>
      </c>
      <c r="B646" t="s">
        <v>39</v>
      </c>
      <c r="C646">
        <v>39.638237563851803</v>
      </c>
      <c r="D646">
        <v>0.99530424623326841</v>
      </c>
      <c r="E646">
        <v>1.8717379624477699</v>
      </c>
      <c r="F646">
        <v>5.07220276325247</v>
      </c>
      <c r="G646">
        <v>6.4132472000357463</v>
      </c>
      <c r="H646">
        <v>27.09794913931341</v>
      </c>
      <c r="I646">
        <v>16.64608667270732</v>
      </c>
      <c r="J646">
        <v>25.395143119769308</v>
      </c>
      <c r="K646">
        <v>1452.511517173941</v>
      </c>
      <c r="L646">
        <v>1</v>
      </c>
      <c r="M646" t="s">
        <v>66</v>
      </c>
    </row>
    <row r="647" spans="1:13" x14ac:dyDescent="0.3">
      <c r="A647" t="s">
        <v>19</v>
      </c>
      <c r="B647" t="s">
        <v>48</v>
      </c>
      <c r="C647">
        <v>27.517351198929401</v>
      </c>
      <c r="D647">
        <v>1.0682499391807829</v>
      </c>
      <c r="E647">
        <v>0.92449254324298291</v>
      </c>
      <c r="F647">
        <v>4.2662872040366011</v>
      </c>
      <c r="G647">
        <v>5.9226495018987908</v>
      </c>
      <c r="H647">
        <v>15.84307040527146</v>
      </c>
      <c r="I647">
        <v>30.39292145515677</v>
      </c>
      <c r="J647">
        <v>26.979725808909819</v>
      </c>
      <c r="K647">
        <v>1184.178913157494</v>
      </c>
      <c r="L647">
        <v>0</v>
      </c>
      <c r="M647" t="s">
        <v>66</v>
      </c>
    </row>
    <row r="648" spans="1:13" x14ac:dyDescent="0.3">
      <c r="A648" t="s">
        <v>24</v>
      </c>
      <c r="B648" t="s">
        <v>61</v>
      </c>
      <c r="C648">
        <v>76.328493679347218</v>
      </c>
      <c r="D648">
        <v>4.3954260373982548</v>
      </c>
      <c r="E648">
        <v>5.4998195462502029</v>
      </c>
      <c r="F648">
        <v>10.432031541671689</v>
      </c>
      <c r="G648">
        <v>6.1571022532185271</v>
      </c>
      <c r="H648">
        <v>14.321421551365139</v>
      </c>
      <c r="I648">
        <v>34.020452859802781</v>
      </c>
      <c r="J648">
        <v>30.574762097754348</v>
      </c>
      <c r="K648">
        <v>49.196628121283538</v>
      </c>
      <c r="L648">
        <v>-1</v>
      </c>
      <c r="M648" t="s">
        <v>66</v>
      </c>
    </row>
    <row r="649" spans="1:13" x14ac:dyDescent="0.3">
      <c r="A649" t="s">
        <v>24</v>
      </c>
      <c r="B649" t="s">
        <v>61</v>
      </c>
      <c r="C649">
        <v>353.93171970220328</v>
      </c>
      <c r="D649">
        <v>14.793114996389701</v>
      </c>
      <c r="E649">
        <v>23.65350618133391</v>
      </c>
      <c r="F649">
        <v>55.594219503569079</v>
      </c>
      <c r="G649">
        <v>4.3</v>
      </c>
      <c r="H649">
        <v>56.451469590443672</v>
      </c>
      <c r="I649">
        <v>30.39934311218882</v>
      </c>
      <c r="J649">
        <v>30.050518059769988</v>
      </c>
      <c r="K649">
        <v>14.128159177421139</v>
      </c>
      <c r="L649">
        <v>-1</v>
      </c>
      <c r="M649" t="s">
        <v>66</v>
      </c>
    </row>
    <row r="650" spans="1:13" x14ac:dyDescent="0.3">
      <c r="A650" t="s">
        <v>17</v>
      </c>
      <c r="B650" t="s">
        <v>39</v>
      </c>
      <c r="C650">
        <v>18.052574147816831</v>
      </c>
      <c r="D650">
        <v>0</v>
      </c>
      <c r="E650">
        <v>0.83291970272243887</v>
      </c>
      <c r="F650">
        <v>1.831145160442935</v>
      </c>
      <c r="G650">
        <v>5.5300969721114184</v>
      </c>
      <c r="H650">
        <v>21.505036016277732</v>
      </c>
      <c r="I650">
        <v>20.774877185760861</v>
      </c>
      <c r="J650">
        <v>27.01563852748442</v>
      </c>
      <c r="K650">
        <v>2142.052906228299</v>
      </c>
      <c r="L650">
        <v>1</v>
      </c>
      <c r="M650" t="s">
        <v>66</v>
      </c>
    </row>
    <row r="651" spans="1:13" x14ac:dyDescent="0.3">
      <c r="A651" t="s">
        <v>15</v>
      </c>
      <c r="B651" t="s">
        <v>33</v>
      </c>
      <c r="C651">
        <v>80.092616780545626</v>
      </c>
      <c r="D651">
        <v>2.914076372934296</v>
      </c>
      <c r="E651">
        <v>4.8846179957925768</v>
      </c>
      <c r="F651">
        <v>11.78020484603633</v>
      </c>
      <c r="G651">
        <v>5.4159784094495782</v>
      </c>
      <c r="H651">
        <v>27.75859779396438</v>
      </c>
      <c r="I651">
        <v>19.170383746260779</v>
      </c>
      <c r="J651">
        <v>17.672500896609399</v>
      </c>
      <c r="K651">
        <v>1949.7013039213159</v>
      </c>
      <c r="L651">
        <v>1</v>
      </c>
      <c r="M651" t="s">
        <v>66</v>
      </c>
    </row>
    <row r="652" spans="1:13" x14ac:dyDescent="0.3">
      <c r="A652" t="s">
        <v>20</v>
      </c>
      <c r="B652" t="s">
        <v>51</v>
      </c>
      <c r="C652">
        <v>84.630211180095273</v>
      </c>
      <c r="D652">
        <v>4.099567058998618</v>
      </c>
      <c r="E652">
        <v>5.0335875838785622</v>
      </c>
      <c r="F652">
        <v>13.37760809299234</v>
      </c>
      <c r="G652">
        <v>6.3100170117581484</v>
      </c>
      <c r="H652">
        <v>36.012304886420253</v>
      </c>
      <c r="I652">
        <v>21.421351895173029</v>
      </c>
      <c r="J652">
        <v>20.085879140434159</v>
      </c>
      <c r="K652">
        <v>1558.8316995255041</v>
      </c>
      <c r="L652">
        <v>1</v>
      </c>
      <c r="M652" t="s">
        <v>66</v>
      </c>
    </row>
    <row r="653" spans="1:13" x14ac:dyDescent="0.3">
      <c r="A653" t="s">
        <v>15</v>
      </c>
      <c r="B653" t="s">
        <v>33</v>
      </c>
      <c r="C653">
        <v>97.985237888868554</v>
      </c>
      <c r="D653">
        <v>4.3897184428201843</v>
      </c>
      <c r="E653">
        <v>6.7289515416390344</v>
      </c>
      <c r="F653">
        <v>14.06650185831027</v>
      </c>
      <c r="G653">
        <v>6.0900833849316891</v>
      </c>
      <c r="H653">
        <v>34.324539293375373</v>
      </c>
      <c r="I653">
        <v>19.246499365875511</v>
      </c>
      <c r="J653">
        <v>19.016936998348761</v>
      </c>
      <c r="K653">
        <v>2116.7994135608169</v>
      </c>
      <c r="L653">
        <v>1</v>
      </c>
      <c r="M653" t="s">
        <v>66</v>
      </c>
    </row>
    <row r="654" spans="1:13" x14ac:dyDescent="0.3">
      <c r="A654" t="s">
        <v>16</v>
      </c>
      <c r="B654" t="s">
        <v>35</v>
      </c>
      <c r="C654">
        <v>66.206027695481751</v>
      </c>
      <c r="D654">
        <v>2.6991260984465368</v>
      </c>
      <c r="E654">
        <v>4.9274381610261129</v>
      </c>
      <c r="F654">
        <v>11.005576866837581</v>
      </c>
      <c r="G654">
        <v>6.0465929166356158</v>
      </c>
      <c r="H654">
        <v>29.432380478043768</v>
      </c>
      <c r="I654">
        <v>18.73795765773766</v>
      </c>
      <c r="J654">
        <v>30.691723158999761</v>
      </c>
      <c r="K654">
        <v>1644.1328588386791</v>
      </c>
      <c r="L654">
        <v>1</v>
      </c>
      <c r="M654" t="s">
        <v>66</v>
      </c>
    </row>
    <row r="655" spans="1:13" x14ac:dyDescent="0.3">
      <c r="A655" t="s">
        <v>20</v>
      </c>
      <c r="B655" t="s">
        <v>49</v>
      </c>
      <c r="C655">
        <v>37.809465550129516</v>
      </c>
      <c r="D655">
        <v>1.159635271478435</v>
      </c>
      <c r="E655">
        <v>2.2526071866635782</v>
      </c>
      <c r="F655">
        <v>5.829755482976605</v>
      </c>
      <c r="G655">
        <v>6.3507833085096346</v>
      </c>
      <c r="H655">
        <v>16.0565690287516</v>
      </c>
      <c r="I655">
        <v>30.972613089547679</v>
      </c>
      <c r="J655">
        <v>25.707519497038948</v>
      </c>
      <c r="K655">
        <v>1134.752983137726</v>
      </c>
      <c r="L655">
        <v>0</v>
      </c>
      <c r="M655" t="s">
        <v>66</v>
      </c>
    </row>
    <row r="656" spans="1:13" x14ac:dyDescent="0.3">
      <c r="A656" t="s">
        <v>20</v>
      </c>
      <c r="B656" t="s">
        <v>50</v>
      </c>
      <c r="C656">
        <v>42.176954651981752</v>
      </c>
      <c r="D656">
        <v>1.8532661045860399</v>
      </c>
      <c r="E656">
        <v>3.4670634435350198</v>
      </c>
      <c r="F656">
        <v>7.4935400622268054</v>
      </c>
      <c r="G656">
        <v>6.1113880250401822</v>
      </c>
      <c r="H656">
        <v>40.477346100576767</v>
      </c>
      <c r="I656">
        <v>24.431782511695939</v>
      </c>
      <c r="J656">
        <v>20.285533239830411</v>
      </c>
      <c r="K656">
        <v>1676.156468494504</v>
      </c>
      <c r="L656">
        <v>1</v>
      </c>
      <c r="M656" t="s">
        <v>66</v>
      </c>
    </row>
    <row r="657" spans="1:13" x14ac:dyDescent="0.3">
      <c r="A657" t="s">
        <v>16</v>
      </c>
      <c r="B657" t="s">
        <v>36</v>
      </c>
      <c r="C657">
        <v>10.44904448964976</v>
      </c>
      <c r="D657">
        <v>0</v>
      </c>
      <c r="E657">
        <v>0</v>
      </c>
      <c r="F657">
        <v>0.91218077769916661</v>
      </c>
      <c r="G657">
        <v>6.0053738895434101</v>
      </c>
      <c r="H657">
        <v>29.567559680331211</v>
      </c>
      <c r="I657">
        <v>16.456123441445669</v>
      </c>
      <c r="J657">
        <v>22.410400339279171</v>
      </c>
      <c r="K657">
        <v>1463.9190228682371</v>
      </c>
      <c r="L657">
        <v>1</v>
      </c>
      <c r="M657" t="s">
        <v>66</v>
      </c>
    </row>
    <row r="658" spans="1:13" x14ac:dyDescent="0.3">
      <c r="A658" t="s">
        <v>15</v>
      </c>
      <c r="B658" t="s">
        <v>34</v>
      </c>
      <c r="C658">
        <v>107.61564450564831</v>
      </c>
      <c r="D658">
        <v>5.9618606878914218</v>
      </c>
      <c r="E658">
        <v>5.3832644213246432</v>
      </c>
      <c r="F658">
        <v>18.50796351474138</v>
      </c>
      <c r="G658">
        <v>5.658787632866682</v>
      </c>
      <c r="H658">
        <v>41.203615283312601</v>
      </c>
      <c r="I658">
        <v>25.18639668058492</v>
      </c>
      <c r="J658">
        <v>18.687679047954191</v>
      </c>
      <c r="K658">
        <v>2038.397265335406</v>
      </c>
      <c r="L658">
        <v>1</v>
      </c>
      <c r="M658" t="s">
        <v>66</v>
      </c>
    </row>
    <row r="659" spans="1:13" x14ac:dyDescent="0.3">
      <c r="A659" t="s">
        <v>20</v>
      </c>
      <c r="B659" t="s">
        <v>51</v>
      </c>
      <c r="C659">
        <v>91.646158121117836</v>
      </c>
      <c r="D659">
        <v>3.1448816837501581</v>
      </c>
      <c r="E659">
        <v>6.035185180232995</v>
      </c>
      <c r="F659">
        <v>13.69486095455528</v>
      </c>
      <c r="G659">
        <v>6.3776074168066286</v>
      </c>
      <c r="H659">
        <v>34.568507105342754</v>
      </c>
      <c r="I659">
        <v>21.707083375631431</v>
      </c>
      <c r="J659">
        <v>20.198672986078819</v>
      </c>
      <c r="K659">
        <v>1568.6697461006429</v>
      </c>
      <c r="L659">
        <v>1</v>
      </c>
      <c r="M659" t="s">
        <v>66</v>
      </c>
    </row>
    <row r="660" spans="1:13" x14ac:dyDescent="0.3">
      <c r="A660" t="s">
        <v>18</v>
      </c>
      <c r="B660" t="s">
        <v>43</v>
      </c>
      <c r="C660">
        <v>31.6571893016072</v>
      </c>
      <c r="D660">
        <v>1.0476172000629149</v>
      </c>
      <c r="E660">
        <v>2.3621296832399352</v>
      </c>
      <c r="F660">
        <v>4.584336838608829</v>
      </c>
      <c r="G660">
        <v>6.3261060319767193</v>
      </c>
      <c r="H660">
        <v>23.84735390212585</v>
      </c>
      <c r="I660">
        <v>23.827988412541689</v>
      </c>
      <c r="J660">
        <v>19.492337087175841</v>
      </c>
      <c r="K660">
        <v>1857.7864057315569</v>
      </c>
      <c r="L660">
        <v>1</v>
      </c>
      <c r="M660" t="s">
        <v>66</v>
      </c>
    </row>
    <row r="661" spans="1:13" x14ac:dyDescent="0.3">
      <c r="A661" t="s">
        <v>19</v>
      </c>
      <c r="B661" t="s">
        <v>45</v>
      </c>
      <c r="C661">
        <v>47.137337232089578</v>
      </c>
      <c r="D661">
        <v>1.6814799852464899</v>
      </c>
      <c r="E661">
        <v>3.2494181585916642</v>
      </c>
      <c r="F661">
        <v>6.3237317966253332</v>
      </c>
      <c r="G661">
        <v>6.2454764077521059</v>
      </c>
      <c r="H661">
        <v>31.164771027106461</v>
      </c>
      <c r="I661">
        <v>21.08748112762774</v>
      </c>
      <c r="J661">
        <v>25.88687605839031</v>
      </c>
      <c r="K661">
        <v>1430.496284130269</v>
      </c>
      <c r="L661">
        <v>1</v>
      </c>
      <c r="M661" t="s">
        <v>66</v>
      </c>
    </row>
    <row r="662" spans="1:13" x14ac:dyDescent="0.3">
      <c r="A662" t="s">
        <v>20</v>
      </c>
      <c r="B662" t="s">
        <v>51</v>
      </c>
      <c r="C662">
        <v>355.47222009865658</v>
      </c>
      <c r="D662">
        <v>19.567613345505752</v>
      </c>
      <c r="E662">
        <v>23.96742059164723</v>
      </c>
      <c r="F662">
        <v>58.437900670314797</v>
      </c>
      <c r="G662">
        <v>4.5465699053124879</v>
      </c>
      <c r="H662">
        <v>50.583302776853827</v>
      </c>
      <c r="I662">
        <v>19.949369959921071</v>
      </c>
      <c r="J662">
        <v>20.206654698811992</v>
      </c>
      <c r="K662">
        <v>1614.1925715060299</v>
      </c>
      <c r="L662">
        <v>1</v>
      </c>
      <c r="M662" t="s">
        <v>66</v>
      </c>
    </row>
    <row r="663" spans="1:13" x14ac:dyDescent="0.3">
      <c r="A663" t="s">
        <v>19</v>
      </c>
      <c r="B663" t="s">
        <v>46</v>
      </c>
      <c r="C663">
        <v>22.256960114012241</v>
      </c>
      <c r="D663">
        <v>0.96164108420606009</v>
      </c>
      <c r="E663">
        <v>0.98506964428214161</v>
      </c>
      <c r="F663">
        <v>2.5748887331533949</v>
      </c>
      <c r="G663">
        <v>6.0826089651572044</v>
      </c>
      <c r="H663">
        <v>29.405295644586811</v>
      </c>
      <c r="I663">
        <v>24.497424748642619</v>
      </c>
      <c r="J663">
        <v>26.207041344831389</v>
      </c>
      <c r="K663">
        <v>1398.018623349559</v>
      </c>
      <c r="L663">
        <v>1</v>
      </c>
      <c r="M663" t="s">
        <v>66</v>
      </c>
    </row>
    <row r="664" spans="1:13" x14ac:dyDescent="0.3">
      <c r="A664" t="s">
        <v>24</v>
      </c>
      <c r="B664" t="s">
        <v>58</v>
      </c>
      <c r="C664">
        <v>35.50437600158515</v>
      </c>
      <c r="D664">
        <v>1.19500998587174</v>
      </c>
      <c r="E664">
        <v>2.2504819952145949</v>
      </c>
      <c r="F664">
        <v>5.0802090367159281</v>
      </c>
      <c r="G664">
        <v>7.143950533368729</v>
      </c>
      <c r="H664">
        <v>58.473178593134108</v>
      </c>
      <c r="I664">
        <v>24.05868772055581</v>
      </c>
      <c r="J664">
        <v>22.88470547488458</v>
      </c>
      <c r="K664">
        <v>731.17633134190999</v>
      </c>
      <c r="L664">
        <v>0</v>
      </c>
      <c r="M664" t="s">
        <v>66</v>
      </c>
    </row>
    <row r="665" spans="1:13" x14ac:dyDescent="0.3">
      <c r="A665" t="s">
        <v>15</v>
      </c>
      <c r="B665" t="s">
        <v>34</v>
      </c>
      <c r="C665">
        <v>182.2259958552371</v>
      </c>
      <c r="D665">
        <v>8.8398295493226637</v>
      </c>
      <c r="E665">
        <v>14.297452849510609</v>
      </c>
      <c r="F665">
        <v>28.145712050424361</v>
      </c>
      <c r="G665">
        <v>5.7757821865018872</v>
      </c>
      <c r="H665">
        <v>41.751253759071872</v>
      </c>
      <c r="I665">
        <v>26.54537177797372</v>
      </c>
      <c r="J665">
        <v>18.862945111889939</v>
      </c>
      <c r="K665">
        <v>2153.1739471233618</v>
      </c>
      <c r="L665">
        <v>1</v>
      </c>
      <c r="M665" t="s">
        <v>66</v>
      </c>
    </row>
    <row r="666" spans="1:13" x14ac:dyDescent="0.3">
      <c r="A666" t="s">
        <v>20</v>
      </c>
      <c r="B666" t="s">
        <v>49</v>
      </c>
      <c r="C666">
        <v>44.463960958485529</v>
      </c>
      <c r="D666">
        <v>1.6975206328701931</v>
      </c>
      <c r="E666">
        <v>3.3081591463788831</v>
      </c>
      <c r="F666">
        <v>6.5654188233437436</v>
      </c>
      <c r="G666">
        <v>5.4145677480285181</v>
      </c>
      <c r="H666">
        <v>17.908787270243639</v>
      </c>
      <c r="I666">
        <v>31.876868947927459</v>
      </c>
      <c r="J666">
        <v>26.330535311491278</v>
      </c>
      <c r="K666">
        <v>1149.9303137517211</v>
      </c>
      <c r="L666">
        <v>0</v>
      </c>
      <c r="M666" t="s">
        <v>66</v>
      </c>
    </row>
    <row r="667" spans="1:13" x14ac:dyDescent="0.3">
      <c r="A667" t="s">
        <v>24</v>
      </c>
      <c r="B667" t="s">
        <v>58</v>
      </c>
      <c r="C667">
        <v>32.069472538999918</v>
      </c>
      <c r="D667">
        <v>1.038937320927138</v>
      </c>
      <c r="E667">
        <v>2.384743797968961</v>
      </c>
      <c r="F667">
        <v>3.275537105237865</v>
      </c>
      <c r="G667">
        <v>6.0766832086664406</v>
      </c>
      <c r="H667">
        <v>38.001463675213053</v>
      </c>
      <c r="I667">
        <v>23.280320079538232</v>
      </c>
      <c r="J667">
        <v>23.859685069587311</v>
      </c>
      <c r="K667">
        <v>737.35401737749658</v>
      </c>
      <c r="L667">
        <v>0</v>
      </c>
      <c r="M667" t="s">
        <v>66</v>
      </c>
    </row>
    <row r="668" spans="1:13" x14ac:dyDescent="0.3">
      <c r="A668" t="s">
        <v>24</v>
      </c>
      <c r="B668" t="s">
        <v>60</v>
      </c>
      <c r="C668">
        <v>503.49681048592919</v>
      </c>
      <c r="D668">
        <v>26.138127423590358</v>
      </c>
      <c r="E668">
        <v>31.009760397315421</v>
      </c>
      <c r="F668">
        <v>78.234218453400402</v>
      </c>
      <c r="G668">
        <v>5.4616031330706916</v>
      </c>
      <c r="H668">
        <v>63.293300223839402</v>
      </c>
      <c r="I668">
        <v>31.665970943807149</v>
      </c>
      <c r="J668">
        <v>32.436140625640952</v>
      </c>
      <c r="K668">
        <v>11.414345657145301</v>
      </c>
      <c r="L668">
        <v>-1</v>
      </c>
      <c r="M668" t="s">
        <v>66</v>
      </c>
    </row>
    <row r="669" spans="1:13" x14ac:dyDescent="0.3">
      <c r="A669" t="s">
        <v>19</v>
      </c>
      <c r="B669" t="s">
        <v>44</v>
      </c>
      <c r="C669">
        <v>39.54846983597281</v>
      </c>
      <c r="D669">
        <v>0.93123939849797255</v>
      </c>
      <c r="E669">
        <v>1.9145867509201311</v>
      </c>
      <c r="F669">
        <v>4.7572639048052867</v>
      </c>
      <c r="G669">
        <v>5.7030378923002409</v>
      </c>
      <c r="H669">
        <v>29.791180796824001</v>
      </c>
      <c r="I669">
        <v>16.637563716372188</v>
      </c>
      <c r="J669">
        <v>21.769879667121842</v>
      </c>
      <c r="K669">
        <v>1807.338527961947</v>
      </c>
      <c r="L669">
        <v>1</v>
      </c>
      <c r="M669" t="s">
        <v>66</v>
      </c>
    </row>
    <row r="670" spans="1:13" x14ac:dyDescent="0.3">
      <c r="A670" t="s">
        <v>15</v>
      </c>
      <c r="B670" t="s">
        <v>33</v>
      </c>
      <c r="C670">
        <v>67.066250962124585</v>
      </c>
      <c r="D670">
        <v>3.2207548315009911</v>
      </c>
      <c r="E670">
        <v>3.7452979535886342</v>
      </c>
      <c r="F670">
        <v>10.26356429919093</v>
      </c>
      <c r="G670">
        <v>5.9137728035010504</v>
      </c>
      <c r="H670">
        <v>34.034799946282128</v>
      </c>
      <c r="I670">
        <v>20.235348982264959</v>
      </c>
      <c r="J670">
        <v>17.15558044565412</v>
      </c>
      <c r="K670">
        <v>1924.887113271566</v>
      </c>
      <c r="L670">
        <v>1</v>
      </c>
      <c r="M670" t="s">
        <v>66</v>
      </c>
    </row>
    <row r="671" spans="1:13" x14ac:dyDescent="0.3">
      <c r="A671" t="s">
        <v>16</v>
      </c>
      <c r="B671" t="s">
        <v>36</v>
      </c>
      <c r="C671">
        <v>56.842596956368283</v>
      </c>
      <c r="D671">
        <v>1.811296806261393</v>
      </c>
      <c r="E671">
        <v>3.3189681334654639</v>
      </c>
      <c r="F671">
        <v>7.0068172997933686</v>
      </c>
      <c r="G671">
        <v>4.9401705372538061</v>
      </c>
      <c r="H671">
        <v>35.048920083953902</v>
      </c>
      <c r="I671">
        <v>25.078814175237799</v>
      </c>
      <c r="J671">
        <v>28.434598129958299</v>
      </c>
      <c r="K671">
        <v>1987.044991494324</v>
      </c>
      <c r="L671">
        <v>1</v>
      </c>
      <c r="M671" t="s">
        <v>66</v>
      </c>
    </row>
    <row r="672" spans="1:13" x14ac:dyDescent="0.3">
      <c r="A672" t="s">
        <v>22</v>
      </c>
      <c r="B672" t="s">
        <v>53</v>
      </c>
      <c r="C672">
        <v>33.736763415889001</v>
      </c>
      <c r="D672">
        <v>1.1558991486391039</v>
      </c>
      <c r="E672">
        <v>2.104932306953319</v>
      </c>
      <c r="F672">
        <v>4.9498440116177438</v>
      </c>
      <c r="G672">
        <v>6.3834536062274747</v>
      </c>
      <c r="H672">
        <v>21.765437818196538</v>
      </c>
      <c r="I672">
        <v>24.49620573563481</v>
      </c>
      <c r="J672">
        <v>20.11881838975097</v>
      </c>
      <c r="K672">
        <v>1286.6090104977329</v>
      </c>
      <c r="L672">
        <v>1</v>
      </c>
      <c r="M672" t="s">
        <v>66</v>
      </c>
    </row>
    <row r="673" spans="1:13" x14ac:dyDescent="0.3">
      <c r="A673" t="s">
        <v>18</v>
      </c>
      <c r="B673" t="s">
        <v>42</v>
      </c>
      <c r="C673">
        <v>30.57457914701823</v>
      </c>
      <c r="D673">
        <v>0.99101962849731251</v>
      </c>
      <c r="E673">
        <v>1.933085815170458</v>
      </c>
      <c r="F673">
        <v>4.4303896983909077</v>
      </c>
      <c r="G673">
        <v>5.9999685252041104</v>
      </c>
      <c r="H673">
        <v>25.595535853290791</v>
      </c>
      <c r="I673">
        <v>23.270835268691279</v>
      </c>
      <c r="J673">
        <v>27.13166522661092</v>
      </c>
      <c r="K673">
        <v>1594.945539522005</v>
      </c>
      <c r="L673">
        <v>1</v>
      </c>
      <c r="M673" t="s">
        <v>66</v>
      </c>
    </row>
    <row r="674" spans="1:13" x14ac:dyDescent="0.3">
      <c r="A674" t="s">
        <v>19</v>
      </c>
      <c r="B674" t="s">
        <v>45</v>
      </c>
      <c r="C674">
        <v>14.71389230959409</v>
      </c>
      <c r="D674">
        <v>0</v>
      </c>
      <c r="E674">
        <v>1.133639238612187</v>
      </c>
      <c r="F674">
        <v>2.089893351626865</v>
      </c>
      <c r="G674">
        <v>5.693630601780419</v>
      </c>
      <c r="H674">
        <v>38.421747487022998</v>
      </c>
      <c r="I674">
        <v>23.698039128622192</v>
      </c>
      <c r="J674">
        <v>26.924501907838021</v>
      </c>
      <c r="K674">
        <v>1500.160086488065</v>
      </c>
      <c r="L674">
        <v>1</v>
      </c>
      <c r="M674" t="s">
        <v>66</v>
      </c>
    </row>
    <row r="675" spans="1:13" x14ac:dyDescent="0.3">
      <c r="A675" t="s">
        <v>20</v>
      </c>
      <c r="B675" t="s">
        <v>51</v>
      </c>
      <c r="C675">
        <v>272.35495189618138</v>
      </c>
      <c r="D675">
        <v>11.59529661377236</v>
      </c>
      <c r="E675">
        <v>13.857417808418131</v>
      </c>
      <c r="F675">
        <v>45.102771985415558</v>
      </c>
      <c r="G675">
        <v>5.1589233123275866</v>
      </c>
      <c r="H675">
        <v>29.50392915384111</v>
      </c>
      <c r="I675">
        <v>19.80958798705932</v>
      </c>
      <c r="J675">
        <v>18.474891265497192</v>
      </c>
      <c r="K675">
        <v>1545.3299398220299</v>
      </c>
      <c r="L675">
        <v>1</v>
      </c>
      <c r="M675" t="s">
        <v>66</v>
      </c>
    </row>
    <row r="676" spans="1:13" x14ac:dyDescent="0.3">
      <c r="A676" t="s">
        <v>24</v>
      </c>
      <c r="B676" t="s">
        <v>59</v>
      </c>
      <c r="C676">
        <v>61.787365086371992</v>
      </c>
      <c r="D676">
        <v>1.9007658166237571</v>
      </c>
      <c r="E676">
        <v>4.5492868070425416</v>
      </c>
      <c r="F676">
        <v>10.35006012289749</v>
      </c>
      <c r="G676">
        <v>6.8037791704007988</v>
      </c>
      <c r="H676">
        <v>58.900589534419673</v>
      </c>
      <c r="I676">
        <v>25.971937396160609</v>
      </c>
      <c r="J676">
        <v>22.44068822829216</v>
      </c>
      <c r="K676">
        <v>735.4048928762694</v>
      </c>
      <c r="L676">
        <v>0</v>
      </c>
      <c r="M676" t="s">
        <v>66</v>
      </c>
    </row>
    <row r="677" spans="1:13" x14ac:dyDescent="0.3">
      <c r="A677" t="s">
        <v>21</v>
      </c>
      <c r="B677" t="s">
        <v>52</v>
      </c>
      <c r="C677">
        <v>130.2122802898044</v>
      </c>
      <c r="D677">
        <v>6.3461074770022199</v>
      </c>
      <c r="E677">
        <v>9.2676929759984148</v>
      </c>
      <c r="F677">
        <v>21.76150896504425</v>
      </c>
      <c r="G677">
        <v>5.6218719591445154</v>
      </c>
      <c r="H677">
        <v>54.931511896549353</v>
      </c>
      <c r="I677">
        <v>28.025909566519591</v>
      </c>
      <c r="J677">
        <v>24.659739748093479</v>
      </c>
      <c r="K677">
        <v>754.56986796767558</v>
      </c>
      <c r="L677">
        <v>0</v>
      </c>
      <c r="M677" t="s">
        <v>66</v>
      </c>
    </row>
    <row r="678" spans="1:13" x14ac:dyDescent="0.3">
      <c r="A678" t="s">
        <v>19</v>
      </c>
      <c r="B678" t="s">
        <v>44</v>
      </c>
      <c r="C678">
        <v>20.75363080991346</v>
      </c>
      <c r="D678">
        <v>1.0526095750709239</v>
      </c>
      <c r="E678">
        <v>0.94710399166954673</v>
      </c>
      <c r="F678">
        <v>2.8638299133229839</v>
      </c>
      <c r="G678">
        <v>6.0247384007570757</v>
      </c>
      <c r="H678">
        <v>21.074185040963961</v>
      </c>
      <c r="I678">
        <v>19.49311245398615</v>
      </c>
      <c r="J678">
        <v>19.36211147146285</v>
      </c>
      <c r="K678">
        <v>1910.832731640364</v>
      </c>
      <c r="L678">
        <v>1</v>
      </c>
      <c r="M678" t="s">
        <v>66</v>
      </c>
    </row>
    <row r="679" spans="1:13" x14ac:dyDescent="0.3">
      <c r="A679" t="s">
        <v>20</v>
      </c>
      <c r="B679" t="s">
        <v>49</v>
      </c>
      <c r="C679">
        <v>39.259858366947093</v>
      </c>
      <c r="D679">
        <v>0.95297666841333939</v>
      </c>
      <c r="E679">
        <v>1.8876795169853391</v>
      </c>
      <c r="F679">
        <v>6.0929256080004874</v>
      </c>
      <c r="G679">
        <v>6.1100533165930901</v>
      </c>
      <c r="H679">
        <v>17.172382875531991</v>
      </c>
      <c r="I679">
        <v>29.92286592380426</v>
      </c>
      <c r="J679">
        <v>26.337104795789411</v>
      </c>
      <c r="K679">
        <v>1151.672711149025</v>
      </c>
      <c r="L679">
        <v>0</v>
      </c>
      <c r="M679" t="s">
        <v>66</v>
      </c>
    </row>
    <row r="680" spans="1:13" x14ac:dyDescent="0.3">
      <c r="A680" t="s">
        <v>24</v>
      </c>
      <c r="B680" t="s">
        <v>58</v>
      </c>
      <c r="C680">
        <v>25.8395243865351</v>
      </c>
      <c r="D680">
        <v>1.074716230862053</v>
      </c>
      <c r="E680">
        <v>2.1045493208958028</v>
      </c>
      <c r="F680">
        <v>4.1610417935603614</v>
      </c>
      <c r="G680">
        <v>6.2069962038444757</v>
      </c>
      <c r="H680">
        <v>38.664816114783001</v>
      </c>
      <c r="I680">
        <v>24.06159420383613</v>
      </c>
      <c r="J680">
        <v>23.03426503445505</v>
      </c>
      <c r="K680">
        <v>734.24388988006342</v>
      </c>
      <c r="L680">
        <v>0</v>
      </c>
      <c r="M680" t="s">
        <v>66</v>
      </c>
    </row>
    <row r="681" spans="1:13" x14ac:dyDescent="0.3">
      <c r="A681" t="s">
        <v>16</v>
      </c>
      <c r="B681" t="s">
        <v>35</v>
      </c>
      <c r="C681">
        <v>87.800434609565727</v>
      </c>
      <c r="D681">
        <v>3.9531793298325608</v>
      </c>
      <c r="E681">
        <v>5.8821455942597396</v>
      </c>
      <c r="F681">
        <v>11.927612736699389</v>
      </c>
      <c r="G681">
        <v>6.4608992386482962</v>
      </c>
      <c r="H681">
        <v>37.591472672861833</v>
      </c>
      <c r="I681">
        <v>20.553044148194392</v>
      </c>
      <c r="J681">
        <v>29.523744328536068</v>
      </c>
      <c r="K681">
        <v>2088.879179914426</v>
      </c>
      <c r="L681">
        <v>1</v>
      </c>
      <c r="M681" t="s">
        <v>66</v>
      </c>
    </row>
    <row r="682" spans="1:13" x14ac:dyDescent="0.3">
      <c r="A682" t="s">
        <v>22</v>
      </c>
      <c r="B682" t="s">
        <v>53</v>
      </c>
      <c r="C682">
        <v>25.37960842691497</v>
      </c>
      <c r="D682">
        <v>1.0646898132165561</v>
      </c>
      <c r="E682">
        <v>1.091658152538818</v>
      </c>
      <c r="F682">
        <v>4.4916983854388057</v>
      </c>
      <c r="G682">
        <v>6.8846204010014977</v>
      </c>
      <c r="H682">
        <v>54.80677781344545</v>
      </c>
      <c r="I682">
        <v>21.502946860527761</v>
      </c>
      <c r="J682">
        <v>19.321512090436901</v>
      </c>
      <c r="K682">
        <v>1270.775174728529</v>
      </c>
      <c r="L682">
        <v>1</v>
      </c>
      <c r="M682" t="s">
        <v>66</v>
      </c>
    </row>
    <row r="683" spans="1:13" x14ac:dyDescent="0.3">
      <c r="A683" t="s">
        <v>18</v>
      </c>
      <c r="B683" t="s">
        <v>42</v>
      </c>
      <c r="C683">
        <v>35.19521674644524</v>
      </c>
      <c r="D683">
        <v>1.022708384547292</v>
      </c>
      <c r="E683">
        <v>2.0025791322180959</v>
      </c>
      <c r="F683">
        <v>5.2810418028690256</v>
      </c>
      <c r="G683">
        <v>5.546995605383497</v>
      </c>
      <c r="H683">
        <v>27.69311476545348</v>
      </c>
      <c r="I683">
        <v>19.57000278933252</v>
      </c>
      <c r="J683">
        <v>25.252313432060031</v>
      </c>
      <c r="K683">
        <v>1887.052477027506</v>
      </c>
      <c r="L683">
        <v>1</v>
      </c>
      <c r="M683" t="s">
        <v>66</v>
      </c>
    </row>
    <row r="684" spans="1:13" x14ac:dyDescent="0.3">
      <c r="A684" t="s">
        <v>24</v>
      </c>
      <c r="B684" t="s">
        <v>61</v>
      </c>
      <c r="C684">
        <v>291.54488295152709</v>
      </c>
      <c r="D684">
        <v>15.295816883808641</v>
      </c>
      <c r="E684">
        <v>17.911981450788659</v>
      </c>
      <c r="F684">
        <v>50.552192612689588</v>
      </c>
      <c r="G684">
        <v>4.5030691295059624</v>
      </c>
      <c r="H684">
        <v>59.986575248968393</v>
      </c>
      <c r="I684">
        <v>30.065187735901759</v>
      </c>
      <c r="J684">
        <v>28.89502045685294</v>
      </c>
      <c r="K684">
        <v>14.662719526995719</v>
      </c>
      <c r="L684">
        <v>-1</v>
      </c>
      <c r="M684" t="s">
        <v>66</v>
      </c>
    </row>
    <row r="685" spans="1:13" x14ac:dyDescent="0.3">
      <c r="A685" t="s">
        <v>24</v>
      </c>
      <c r="B685" t="s">
        <v>59</v>
      </c>
      <c r="C685">
        <v>56.672639813863462</v>
      </c>
      <c r="D685">
        <v>1.901255053110253</v>
      </c>
      <c r="E685">
        <v>3.6949838642158799</v>
      </c>
      <c r="F685">
        <v>10.447742684271629</v>
      </c>
      <c r="G685">
        <v>6.7054619576309049</v>
      </c>
      <c r="H685">
        <v>56.155204544597112</v>
      </c>
      <c r="I685">
        <v>28.133503450825799</v>
      </c>
      <c r="J685">
        <v>23.037589162648938</v>
      </c>
      <c r="K685">
        <v>752.63386130827064</v>
      </c>
      <c r="L685">
        <v>0</v>
      </c>
      <c r="M685" t="s">
        <v>66</v>
      </c>
    </row>
    <row r="686" spans="1:13" x14ac:dyDescent="0.3">
      <c r="A686" t="s">
        <v>18</v>
      </c>
      <c r="B686" t="s">
        <v>41</v>
      </c>
      <c r="C686">
        <v>0</v>
      </c>
      <c r="D686">
        <v>0</v>
      </c>
      <c r="E686">
        <v>0</v>
      </c>
      <c r="F686">
        <v>-1.7763568394002501E-15</v>
      </c>
      <c r="G686">
        <v>6.8622134788370541</v>
      </c>
      <c r="H686">
        <v>13.9</v>
      </c>
      <c r="I686">
        <v>37.799999999999997</v>
      </c>
      <c r="J686">
        <v>33.574508151499039</v>
      </c>
      <c r="K686">
        <v>1731.5280111560719</v>
      </c>
      <c r="L686">
        <v>1</v>
      </c>
      <c r="M686" t="s">
        <v>66</v>
      </c>
    </row>
    <row r="687" spans="1:13" x14ac:dyDescent="0.3">
      <c r="A687" t="s">
        <v>17</v>
      </c>
      <c r="B687" t="s">
        <v>39</v>
      </c>
      <c r="C687">
        <v>12.1150187850491</v>
      </c>
      <c r="D687">
        <v>0</v>
      </c>
      <c r="E687">
        <v>0</v>
      </c>
      <c r="F687">
        <v>2.016279397106898</v>
      </c>
      <c r="G687">
        <v>5.2662741405169777</v>
      </c>
      <c r="H687">
        <v>28.44674300864078</v>
      </c>
      <c r="I687">
        <v>20.65812941455339</v>
      </c>
      <c r="J687">
        <v>26.69095191942305</v>
      </c>
      <c r="K687">
        <v>2216.5778485585502</v>
      </c>
      <c r="L687">
        <v>1</v>
      </c>
      <c r="M687" t="s">
        <v>66</v>
      </c>
    </row>
    <row r="688" spans="1:13" x14ac:dyDescent="0.3">
      <c r="A688" t="s">
        <v>20</v>
      </c>
      <c r="B688" t="s">
        <v>51</v>
      </c>
      <c r="C688">
        <v>42.663460256217718</v>
      </c>
      <c r="D688">
        <v>2.4983710971440511</v>
      </c>
      <c r="E688">
        <v>2.8328191551338748</v>
      </c>
      <c r="F688">
        <v>6.7000941266029912</v>
      </c>
      <c r="G688">
        <v>6.1124973494234096</v>
      </c>
      <c r="H688">
        <v>21.854606566504021</v>
      </c>
      <c r="I688">
        <v>21.18790512938039</v>
      </c>
      <c r="J688">
        <v>20.32869149798281</v>
      </c>
      <c r="K688">
        <v>1498.0940030964709</v>
      </c>
      <c r="L688">
        <v>1</v>
      </c>
      <c r="M688" t="s">
        <v>66</v>
      </c>
    </row>
    <row r="689" spans="1:13" x14ac:dyDescent="0.3">
      <c r="A689" t="s">
        <v>17</v>
      </c>
      <c r="B689" t="s">
        <v>39</v>
      </c>
      <c r="C689">
        <v>128.9703268755982</v>
      </c>
      <c r="D689">
        <v>6.9154910912653458</v>
      </c>
      <c r="E689">
        <v>9.9978716593401398</v>
      </c>
      <c r="F689">
        <v>17.784659004307429</v>
      </c>
      <c r="G689">
        <v>5.2688125307100364</v>
      </c>
      <c r="H689">
        <v>18.652380240229061</v>
      </c>
      <c r="I689">
        <v>19.95710819647196</v>
      </c>
      <c r="J689">
        <v>20.635693878577801</v>
      </c>
      <c r="K689">
        <v>1953.790500886719</v>
      </c>
      <c r="L689">
        <v>1</v>
      </c>
      <c r="M689" t="s">
        <v>66</v>
      </c>
    </row>
    <row r="690" spans="1:13" x14ac:dyDescent="0.3">
      <c r="A690" t="s">
        <v>24</v>
      </c>
      <c r="B690" t="s">
        <v>58</v>
      </c>
      <c r="C690">
        <v>28.859915441715771</v>
      </c>
      <c r="D690">
        <v>1.027820701418189</v>
      </c>
      <c r="E690">
        <v>1.976166314337529</v>
      </c>
      <c r="F690">
        <v>3.9039741704753421</v>
      </c>
      <c r="G690">
        <v>7.0064668627873976</v>
      </c>
      <c r="H690">
        <v>34.165295323283942</v>
      </c>
      <c r="I690">
        <v>26.719627573090431</v>
      </c>
      <c r="J690">
        <v>23.71314702313688</v>
      </c>
      <c r="K690">
        <v>741.41218920191398</v>
      </c>
      <c r="L690">
        <v>0</v>
      </c>
      <c r="M690" t="s">
        <v>66</v>
      </c>
    </row>
    <row r="691" spans="1:13" x14ac:dyDescent="0.3">
      <c r="A691" t="s">
        <v>21</v>
      </c>
      <c r="B691" t="s">
        <v>52</v>
      </c>
      <c r="C691">
        <v>21.393154397182759</v>
      </c>
      <c r="D691">
        <v>0.95996974258365553</v>
      </c>
      <c r="E691">
        <v>1.04732199948594</v>
      </c>
      <c r="F691">
        <v>3.129183974998861</v>
      </c>
      <c r="G691">
        <v>6.3091390859716148</v>
      </c>
      <c r="H691">
        <v>47.905446721629339</v>
      </c>
      <c r="I691">
        <v>20.791732245836918</v>
      </c>
      <c r="J691">
        <v>20.816524715371632</v>
      </c>
      <c r="K691">
        <v>1276.1011535605089</v>
      </c>
      <c r="L691">
        <v>1</v>
      </c>
      <c r="M691" t="s">
        <v>66</v>
      </c>
    </row>
    <row r="692" spans="1:13" x14ac:dyDescent="0.3">
      <c r="A692" t="s">
        <v>22</v>
      </c>
      <c r="B692" t="s">
        <v>55</v>
      </c>
      <c r="C692">
        <v>6.8425105781919342</v>
      </c>
      <c r="D692">
        <v>0</v>
      </c>
      <c r="E692">
        <v>0</v>
      </c>
      <c r="F692">
        <v>1.01301250119058</v>
      </c>
      <c r="G692">
        <v>6.0517034960094147</v>
      </c>
      <c r="H692">
        <v>23.630625377429379</v>
      </c>
      <c r="I692">
        <v>19.075164165131898</v>
      </c>
      <c r="J692">
        <v>16.176370470312801</v>
      </c>
      <c r="K692">
        <v>1743.5178876928239</v>
      </c>
      <c r="L692">
        <v>1</v>
      </c>
      <c r="M692" t="s">
        <v>66</v>
      </c>
    </row>
    <row r="693" spans="1:13" x14ac:dyDescent="0.3">
      <c r="A693" t="s">
        <v>19</v>
      </c>
      <c r="B693" t="s">
        <v>44</v>
      </c>
      <c r="C693">
        <v>30.333299422318319</v>
      </c>
      <c r="D693">
        <v>1.036821457996308</v>
      </c>
      <c r="E693">
        <v>1.7264879756311</v>
      </c>
      <c r="F693">
        <v>4.2658748060169298</v>
      </c>
      <c r="G693">
        <v>5.9229370244775144</v>
      </c>
      <c r="H693">
        <v>23.659050313937119</v>
      </c>
      <c r="I693">
        <v>16.161594646820351</v>
      </c>
      <c r="J693">
        <v>21.056042903176781</v>
      </c>
      <c r="K693">
        <v>1768.3512426521031</v>
      </c>
      <c r="L693">
        <v>1</v>
      </c>
      <c r="M693" t="s">
        <v>66</v>
      </c>
    </row>
    <row r="694" spans="1:13" x14ac:dyDescent="0.3">
      <c r="A694" t="s">
        <v>24</v>
      </c>
      <c r="B694" t="s">
        <v>60</v>
      </c>
      <c r="C694">
        <v>571.52748838735295</v>
      </c>
      <c r="D694">
        <v>30.128344657240369</v>
      </c>
      <c r="E694">
        <v>41.431141912825638</v>
      </c>
      <c r="F694">
        <v>93.757901246811173</v>
      </c>
      <c r="G694">
        <v>6.1106049941010134</v>
      </c>
      <c r="H694">
        <v>78.887762351522412</v>
      </c>
      <c r="I694">
        <v>31.2244891220646</v>
      </c>
      <c r="J694">
        <v>30.09229225718131</v>
      </c>
      <c r="K694">
        <v>11.15297357743407</v>
      </c>
      <c r="L694">
        <v>-1</v>
      </c>
      <c r="M694" t="s">
        <v>66</v>
      </c>
    </row>
    <row r="695" spans="1:13" x14ac:dyDescent="0.3">
      <c r="A695" t="s">
        <v>19</v>
      </c>
      <c r="B695" t="s">
        <v>44</v>
      </c>
      <c r="C695">
        <v>32.902739124779977</v>
      </c>
      <c r="D695">
        <v>1.0989966664098469</v>
      </c>
      <c r="E695">
        <v>1.801681549901289</v>
      </c>
      <c r="F695">
        <v>7.1563016963360697</v>
      </c>
      <c r="G695">
        <v>5.4524192836081617</v>
      </c>
      <c r="H695">
        <v>27.499820614153979</v>
      </c>
      <c r="I695">
        <v>15.9</v>
      </c>
      <c r="J695">
        <v>20.793887905207939</v>
      </c>
      <c r="K695">
        <v>1793.2644343102379</v>
      </c>
      <c r="L695">
        <v>1</v>
      </c>
      <c r="M695" t="s">
        <v>66</v>
      </c>
    </row>
    <row r="696" spans="1:13" x14ac:dyDescent="0.3">
      <c r="A696" t="s">
        <v>15</v>
      </c>
      <c r="B696" t="s">
        <v>33</v>
      </c>
      <c r="C696">
        <v>71.769045620244285</v>
      </c>
      <c r="D696">
        <v>2.874916062918079</v>
      </c>
      <c r="E696">
        <v>3.892222757480341</v>
      </c>
      <c r="F696">
        <v>9.832186173629518</v>
      </c>
      <c r="G696">
        <v>5.9255400658190647</v>
      </c>
      <c r="H696">
        <v>37.2132541639929</v>
      </c>
      <c r="I696">
        <v>19.588198081262071</v>
      </c>
      <c r="J696">
        <v>17.52609421935923</v>
      </c>
      <c r="K696">
        <v>1860.5555187918069</v>
      </c>
      <c r="L696">
        <v>1</v>
      </c>
      <c r="M696" t="s">
        <v>66</v>
      </c>
    </row>
    <row r="697" spans="1:13" x14ac:dyDescent="0.3">
      <c r="A697" t="s">
        <v>19</v>
      </c>
      <c r="B697" t="s">
        <v>44</v>
      </c>
      <c r="C697">
        <v>43.412514815285739</v>
      </c>
      <c r="D697">
        <v>2.342707046772619</v>
      </c>
      <c r="E697">
        <v>2.602050091377802</v>
      </c>
      <c r="F697">
        <v>7.4184591187167328</v>
      </c>
      <c r="G697">
        <v>6.1176964940815717</v>
      </c>
      <c r="H697">
        <v>22.97892552782622</v>
      </c>
      <c r="I697">
        <v>20.29745362851347</v>
      </c>
      <c r="J697">
        <v>29.85643740314778</v>
      </c>
      <c r="K697">
        <v>2181.9804173643938</v>
      </c>
      <c r="L697">
        <v>1</v>
      </c>
      <c r="M697" t="s">
        <v>66</v>
      </c>
    </row>
    <row r="698" spans="1:13" x14ac:dyDescent="0.3">
      <c r="A698" t="s">
        <v>24</v>
      </c>
      <c r="B698" t="s">
        <v>59</v>
      </c>
      <c r="C698">
        <v>348.18000933448502</v>
      </c>
      <c r="D698">
        <v>16.58926804803907</v>
      </c>
      <c r="E698">
        <v>24.586851518332541</v>
      </c>
      <c r="F698">
        <v>59.082096489751443</v>
      </c>
      <c r="G698">
        <v>5.0473679546673207</v>
      </c>
      <c r="H698">
        <v>75.28809580751475</v>
      </c>
      <c r="I698">
        <v>30.80170035692025</v>
      </c>
      <c r="J698">
        <v>31.36815151869002</v>
      </c>
      <c r="K698">
        <v>11.117033190232631</v>
      </c>
      <c r="L698">
        <v>-1</v>
      </c>
      <c r="M698" t="s">
        <v>66</v>
      </c>
    </row>
    <row r="699" spans="1:13" x14ac:dyDescent="0.3">
      <c r="A699" t="s">
        <v>15</v>
      </c>
      <c r="B699" t="s">
        <v>33</v>
      </c>
      <c r="C699">
        <v>67.440968978929931</v>
      </c>
      <c r="D699">
        <v>3.2936228117424919</v>
      </c>
      <c r="E699">
        <v>4.4166702669449753</v>
      </c>
      <c r="F699">
        <v>9.2828174215538652</v>
      </c>
      <c r="G699">
        <v>5.5532380389077796</v>
      </c>
      <c r="H699">
        <v>35.677615674598663</v>
      </c>
      <c r="I699">
        <v>21.22173597649558</v>
      </c>
      <c r="J699">
        <v>17.271831445681599</v>
      </c>
      <c r="K699">
        <v>1895.1533117285751</v>
      </c>
      <c r="L699">
        <v>1</v>
      </c>
      <c r="M699" t="s">
        <v>66</v>
      </c>
    </row>
    <row r="700" spans="1:13" x14ac:dyDescent="0.3">
      <c r="A700" t="s">
        <v>24</v>
      </c>
      <c r="B700" t="s">
        <v>58</v>
      </c>
      <c r="C700">
        <v>35.479707563514161</v>
      </c>
      <c r="D700">
        <v>1.0124784244194731</v>
      </c>
      <c r="E700">
        <v>1.9487377601256131</v>
      </c>
      <c r="F700">
        <v>5.0487921844735197</v>
      </c>
      <c r="G700">
        <v>6.7614132225380024</v>
      </c>
      <c r="H700">
        <v>55.683439095430828</v>
      </c>
      <c r="I700">
        <v>23.47633514923065</v>
      </c>
      <c r="J700">
        <v>21.773575774711858</v>
      </c>
      <c r="K700">
        <v>731.85151028361702</v>
      </c>
      <c r="L700">
        <v>0</v>
      </c>
      <c r="M700" t="s">
        <v>66</v>
      </c>
    </row>
    <row r="701" spans="1:13" x14ac:dyDescent="0.3">
      <c r="A701" t="s">
        <v>24</v>
      </c>
      <c r="B701" t="s">
        <v>57</v>
      </c>
      <c r="C701">
        <v>57.136592295878401</v>
      </c>
      <c r="D701">
        <v>3.0206699244815902</v>
      </c>
      <c r="E701">
        <v>3.676378803090572</v>
      </c>
      <c r="F701">
        <v>9.5224474716806338</v>
      </c>
      <c r="G701">
        <v>6.1174020343447966</v>
      </c>
      <c r="H701">
        <v>16.705185769800369</v>
      </c>
      <c r="I701">
        <v>22.429262094148179</v>
      </c>
      <c r="J701">
        <v>20.203401124048089</v>
      </c>
      <c r="K701">
        <v>1597.656629402461</v>
      </c>
      <c r="L701">
        <v>1</v>
      </c>
      <c r="M701" t="s">
        <v>66</v>
      </c>
    </row>
    <row r="702" spans="1:13" x14ac:dyDescent="0.3">
      <c r="A702" t="s">
        <v>16</v>
      </c>
      <c r="B702" t="s">
        <v>36</v>
      </c>
      <c r="C702">
        <v>16.50106626056596</v>
      </c>
      <c r="D702">
        <v>0</v>
      </c>
      <c r="E702">
        <v>0.83032379372495502</v>
      </c>
      <c r="F702">
        <v>2.0747822994314902</v>
      </c>
      <c r="G702">
        <v>5.6499710803328176</v>
      </c>
      <c r="H702">
        <v>29.66792671502219</v>
      </c>
      <c r="I702">
        <v>22.229923791975409</v>
      </c>
      <c r="J702">
        <v>27.841402941556819</v>
      </c>
      <c r="K702">
        <v>1980.3579284854891</v>
      </c>
      <c r="L702">
        <v>1</v>
      </c>
      <c r="M702" t="s">
        <v>66</v>
      </c>
    </row>
    <row r="703" spans="1:13" x14ac:dyDescent="0.3">
      <c r="A703" t="s">
        <v>21</v>
      </c>
      <c r="B703" t="s">
        <v>52</v>
      </c>
      <c r="C703">
        <v>21.50544790524701</v>
      </c>
      <c r="D703">
        <v>1.154548344441928</v>
      </c>
      <c r="E703">
        <v>0.95969365180050215</v>
      </c>
      <c r="F703">
        <v>3.3306660080536332</v>
      </c>
      <c r="G703">
        <v>6.3200433593606302</v>
      </c>
      <c r="H703">
        <v>53.039836499346237</v>
      </c>
      <c r="I703">
        <v>21.27410090035184</v>
      </c>
      <c r="J703">
        <v>20.410051911561311</v>
      </c>
      <c r="K703">
        <v>1256.300469355635</v>
      </c>
      <c r="L703">
        <v>1</v>
      </c>
      <c r="M703" t="s">
        <v>66</v>
      </c>
    </row>
    <row r="704" spans="1:13" x14ac:dyDescent="0.3">
      <c r="A704" t="s">
        <v>15</v>
      </c>
      <c r="B704" t="s">
        <v>32</v>
      </c>
      <c r="C704">
        <v>6.996812033645071</v>
      </c>
      <c r="D704">
        <v>0</v>
      </c>
      <c r="E704">
        <v>0</v>
      </c>
      <c r="F704">
        <v>0.93775275673121783</v>
      </c>
      <c r="G704">
        <v>6.5360777128275647</v>
      </c>
      <c r="H704">
        <v>25.8456710957079</v>
      </c>
      <c r="I704">
        <v>22.37978405454588</v>
      </c>
      <c r="J704">
        <v>19.77792294393814</v>
      </c>
      <c r="K704">
        <v>1602.3915416054731</v>
      </c>
      <c r="L704">
        <v>1</v>
      </c>
      <c r="M704" t="s">
        <v>66</v>
      </c>
    </row>
    <row r="705" spans="1:13" x14ac:dyDescent="0.3">
      <c r="A705" t="s">
        <v>16</v>
      </c>
      <c r="B705" t="s">
        <v>36</v>
      </c>
      <c r="C705">
        <v>20.724925165719721</v>
      </c>
      <c r="D705">
        <v>1.1173394540415831</v>
      </c>
      <c r="E705">
        <v>1.0473348670138241</v>
      </c>
      <c r="F705">
        <v>2.2508570162395181</v>
      </c>
      <c r="G705">
        <v>6.3003044642267536</v>
      </c>
      <c r="H705">
        <v>28.105238305798711</v>
      </c>
      <c r="I705">
        <v>22.84819490627233</v>
      </c>
      <c r="J705">
        <v>22.379103123199251</v>
      </c>
      <c r="K705">
        <v>1674.269600168818</v>
      </c>
      <c r="L705">
        <v>1</v>
      </c>
      <c r="M705" t="s">
        <v>66</v>
      </c>
    </row>
    <row r="706" spans="1:13" x14ac:dyDescent="0.3">
      <c r="A706" t="s">
        <v>19</v>
      </c>
      <c r="B706" t="s">
        <v>45</v>
      </c>
      <c r="C706">
        <v>15.22662053210669</v>
      </c>
      <c r="D706">
        <v>0</v>
      </c>
      <c r="E706">
        <v>0.83866987570678475</v>
      </c>
      <c r="F706">
        <v>1.9853341189826419</v>
      </c>
      <c r="G706">
        <v>6.0249776356889564</v>
      </c>
      <c r="H706">
        <v>35.312506816045563</v>
      </c>
      <c r="I706">
        <v>23.86321898128557</v>
      </c>
      <c r="J706">
        <v>26.01261542607995</v>
      </c>
      <c r="K706">
        <v>1510.3763239675211</v>
      </c>
      <c r="L706">
        <v>1</v>
      </c>
      <c r="M706" t="s">
        <v>66</v>
      </c>
    </row>
    <row r="707" spans="1:13" x14ac:dyDescent="0.3">
      <c r="A707" t="s">
        <v>24</v>
      </c>
      <c r="B707" t="s">
        <v>57</v>
      </c>
      <c r="C707">
        <v>10.87342220149441</v>
      </c>
      <c r="D707">
        <v>0</v>
      </c>
      <c r="E707">
        <v>0</v>
      </c>
      <c r="F707">
        <v>0.89452588381942988</v>
      </c>
      <c r="G707">
        <v>6.3924767972752621</v>
      </c>
      <c r="H707">
        <v>14.34977736025434</v>
      </c>
      <c r="I707">
        <v>21.4920099516162</v>
      </c>
      <c r="J707">
        <v>20.55247142187795</v>
      </c>
      <c r="K707">
        <v>1597.798343614556</v>
      </c>
      <c r="L707">
        <v>1</v>
      </c>
      <c r="M707" t="s">
        <v>66</v>
      </c>
    </row>
    <row r="708" spans="1:13" x14ac:dyDescent="0.3">
      <c r="A708" t="s">
        <v>20</v>
      </c>
      <c r="B708" t="s">
        <v>51</v>
      </c>
      <c r="C708">
        <v>43.853915129048623</v>
      </c>
      <c r="D708">
        <v>1.663127158985316</v>
      </c>
      <c r="E708">
        <v>3.0789550148483671</v>
      </c>
      <c r="F708">
        <v>7.3317575117714506</v>
      </c>
      <c r="G708">
        <v>5.8672254780971462</v>
      </c>
      <c r="H708">
        <v>23.11613181288245</v>
      </c>
      <c r="I708">
        <v>21.569993827832089</v>
      </c>
      <c r="J708">
        <v>20.941939884501739</v>
      </c>
      <c r="K708">
        <v>1556.640088846485</v>
      </c>
      <c r="L708">
        <v>1</v>
      </c>
      <c r="M708" t="s">
        <v>66</v>
      </c>
    </row>
    <row r="709" spans="1:13" x14ac:dyDescent="0.3">
      <c r="A709" t="s">
        <v>19</v>
      </c>
      <c r="B709" t="s">
        <v>44</v>
      </c>
      <c r="C709">
        <v>38.38915830915613</v>
      </c>
      <c r="D709">
        <v>0.96106344484638884</v>
      </c>
      <c r="E709">
        <v>2.1700100664810109</v>
      </c>
      <c r="F709">
        <v>5.8417587208739796</v>
      </c>
      <c r="G709">
        <v>5.5486503123886504</v>
      </c>
      <c r="H709">
        <v>39.392238754031553</v>
      </c>
      <c r="I709">
        <v>27.612000971509762</v>
      </c>
      <c r="J709">
        <v>19.554207120987432</v>
      </c>
      <c r="K709">
        <v>1945.6501116437539</v>
      </c>
      <c r="L709">
        <v>1</v>
      </c>
      <c r="M709" t="s">
        <v>66</v>
      </c>
    </row>
    <row r="710" spans="1:13" x14ac:dyDescent="0.3">
      <c r="A710" t="s">
        <v>19</v>
      </c>
      <c r="B710" t="s">
        <v>46</v>
      </c>
      <c r="C710">
        <v>23.31957262376568</v>
      </c>
      <c r="D710">
        <v>1.072126058648142</v>
      </c>
      <c r="E710">
        <v>0.78812600634324159</v>
      </c>
      <c r="F710">
        <v>2.797001080042445</v>
      </c>
      <c r="G710">
        <v>6.1541921537373243</v>
      </c>
      <c r="H710">
        <v>28.786786107345971</v>
      </c>
      <c r="I710">
        <v>23.830680234494391</v>
      </c>
      <c r="J710">
        <v>26.176808023009709</v>
      </c>
      <c r="K710">
        <v>1392.676849065936</v>
      </c>
      <c r="L710">
        <v>1</v>
      </c>
      <c r="M710" t="s">
        <v>66</v>
      </c>
    </row>
    <row r="711" spans="1:13" x14ac:dyDescent="0.3">
      <c r="A711" t="s">
        <v>24</v>
      </c>
      <c r="B711" t="s">
        <v>59</v>
      </c>
      <c r="C711">
        <v>343.02488977062899</v>
      </c>
      <c r="D711">
        <v>16.087701180314401</v>
      </c>
      <c r="E711">
        <v>24.46780079964093</v>
      </c>
      <c r="F711">
        <v>54.411376332556088</v>
      </c>
      <c r="G711">
        <v>5.2252066918386282</v>
      </c>
      <c r="H711">
        <v>74.717492238614156</v>
      </c>
      <c r="I711">
        <v>29.414719120315091</v>
      </c>
      <c r="J711">
        <v>30.797595158220989</v>
      </c>
      <c r="K711">
        <v>11.41535220191531</v>
      </c>
      <c r="L711">
        <v>-1</v>
      </c>
      <c r="M711" t="s">
        <v>66</v>
      </c>
    </row>
    <row r="712" spans="1:13" x14ac:dyDescent="0.3">
      <c r="A712" t="s">
        <v>19</v>
      </c>
      <c r="B712" t="s">
        <v>44</v>
      </c>
      <c r="C712">
        <v>36.85954896469886</v>
      </c>
      <c r="D712">
        <v>1.10727526234019</v>
      </c>
      <c r="E712">
        <v>1.779436343992485</v>
      </c>
      <c r="F712">
        <v>5.6386378257919532</v>
      </c>
      <c r="G712">
        <v>6.1758797697855048</v>
      </c>
      <c r="H712">
        <v>19.3285224978247</v>
      </c>
      <c r="I712">
        <v>17.941199769685461</v>
      </c>
      <c r="J712">
        <v>32.044490719133847</v>
      </c>
      <c r="K712">
        <v>2227.5070530538069</v>
      </c>
      <c r="L712">
        <v>1</v>
      </c>
      <c r="M712" t="s">
        <v>66</v>
      </c>
    </row>
    <row r="713" spans="1:13" x14ac:dyDescent="0.3">
      <c r="A713" t="s">
        <v>18</v>
      </c>
      <c r="B713" t="s">
        <v>40</v>
      </c>
      <c r="C713">
        <v>137.96312180054551</v>
      </c>
      <c r="D713">
        <v>5.5787657039786982</v>
      </c>
      <c r="E713">
        <v>7.494809096758928</v>
      </c>
      <c r="F713">
        <v>21.05031589404328</v>
      </c>
      <c r="G713">
        <v>6.1180768205607174</v>
      </c>
      <c r="H713">
        <v>25.903236343957349</v>
      </c>
      <c r="I713">
        <v>21.882849531545801</v>
      </c>
      <c r="J713">
        <v>20.843375710195229</v>
      </c>
      <c r="K713">
        <v>1737.120034876247</v>
      </c>
      <c r="L713">
        <v>1</v>
      </c>
      <c r="M713" t="s">
        <v>66</v>
      </c>
    </row>
    <row r="714" spans="1:13" x14ac:dyDescent="0.3">
      <c r="A714" t="s">
        <v>22</v>
      </c>
      <c r="B714" t="s">
        <v>54</v>
      </c>
      <c r="C714">
        <v>22.830087705331248</v>
      </c>
      <c r="D714">
        <v>0.88315139503323437</v>
      </c>
      <c r="E714">
        <v>1.062571300408417</v>
      </c>
      <c r="F714">
        <v>2.7087904742121829</v>
      </c>
      <c r="G714">
        <v>6.3350025460945583</v>
      </c>
      <c r="H714">
        <v>35.681797388461227</v>
      </c>
      <c r="I714">
        <v>18.755776222375069</v>
      </c>
      <c r="J714">
        <v>16.10540575451261</v>
      </c>
      <c r="K714">
        <v>1737.0267134938699</v>
      </c>
      <c r="L714">
        <v>1</v>
      </c>
      <c r="M714" t="s">
        <v>66</v>
      </c>
    </row>
    <row r="715" spans="1:13" x14ac:dyDescent="0.3">
      <c r="A715" t="s">
        <v>17</v>
      </c>
      <c r="B715" t="s">
        <v>39</v>
      </c>
      <c r="C715">
        <v>41.685773022101827</v>
      </c>
      <c r="D715">
        <v>1.0089750607085379</v>
      </c>
      <c r="E715">
        <v>1.8323071254000609</v>
      </c>
      <c r="F715">
        <v>6.8055839658596984</v>
      </c>
      <c r="G715">
        <v>6.5030427157256163</v>
      </c>
      <c r="H715">
        <v>24.832495430638591</v>
      </c>
      <c r="I715">
        <v>18.11319869146444</v>
      </c>
      <c r="J715">
        <v>24.46454810930701</v>
      </c>
      <c r="K715">
        <v>1421.47864997549</v>
      </c>
      <c r="L715">
        <v>1</v>
      </c>
      <c r="M715" t="s">
        <v>66</v>
      </c>
    </row>
    <row r="716" spans="1:13" x14ac:dyDescent="0.3">
      <c r="A716" t="s">
        <v>19</v>
      </c>
      <c r="B716" t="s">
        <v>44</v>
      </c>
      <c r="C716">
        <v>30.732366637296419</v>
      </c>
      <c r="D716">
        <v>0.78411772004245872</v>
      </c>
      <c r="E716">
        <v>1.9657538285374181</v>
      </c>
      <c r="F716">
        <v>3.3080676560190709</v>
      </c>
      <c r="G716">
        <v>6.0753542213608123</v>
      </c>
      <c r="H716">
        <v>21.013773023176281</v>
      </c>
      <c r="I716">
        <v>20.496550990624559</v>
      </c>
      <c r="J716">
        <v>18.65114862939933</v>
      </c>
      <c r="K716">
        <v>2032.2828612232749</v>
      </c>
      <c r="L716">
        <v>1</v>
      </c>
      <c r="M716" t="s">
        <v>66</v>
      </c>
    </row>
    <row r="717" spans="1:13" x14ac:dyDescent="0.3">
      <c r="A717" t="s">
        <v>25</v>
      </c>
      <c r="B717" t="s">
        <v>62</v>
      </c>
      <c r="C717">
        <v>30.864483102559181</v>
      </c>
      <c r="D717">
        <v>0.79785755026361871</v>
      </c>
      <c r="E717">
        <v>2.0041973756608669</v>
      </c>
      <c r="F717">
        <v>3.8665046524886701</v>
      </c>
      <c r="G717">
        <v>6.0149176193086982</v>
      </c>
      <c r="H717">
        <v>24.018879157104571</v>
      </c>
      <c r="I717">
        <v>23.83888085714651</v>
      </c>
      <c r="J717">
        <v>24.310125423913451</v>
      </c>
      <c r="K717">
        <v>1219.362017434757</v>
      </c>
      <c r="L717">
        <v>0</v>
      </c>
      <c r="M717" t="s">
        <v>66</v>
      </c>
    </row>
    <row r="718" spans="1:13" x14ac:dyDescent="0.3">
      <c r="A718" t="s">
        <v>15</v>
      </c>
      <c r="B718" t="s">
        <v>34</v>
      </c>
      <c r="C718">
        <v>156.74937684846401</v>
      </c>
      <c r="D718">
        <v>8.8031032065948356</v>
      </c>
      <c r="E718">
        <v>13.752119337272379</v>
      </c>
      <c r="F718">
        <v>30.01568355918624</v>
      </c>
      <c r="G718">
        <v>5.7773425761700912</v>
      </c>
      <c r="H718">
        <v>39.884970549851118</v>
      </c>
      <c r="I718">
        <v>24.44201880960108</v>
      </c>
      <c r="J718">
        <v>19.40028322753518</v>
      </c>
      <c r="K718">
        <v>2098.5883551610141</v>
      </c>
      <c r="L718">
        <v>1</v>
      </c>
      <c r="M718" t="s">
        <v>66</v>
      </c>
    </row>
    <row r="719" spans="1:13" x14ac:dyDescent="0.3">
      <c r="A719" t="s">
        <v>20</v>
      </c>
      <c r="B719" t="s">
        <v>51</v>
      </c>
      <c r="C719">
        <v>75.160389745836952</v>
      </c>
      <c r="D719">
        <v>2.8209081500410331</v>
      </c>
      <c r="E719">
        <v>5.2585152408007616</v>
      </c>
      <c r="F719">
        <v>11.331001379207089</v>
      </c>
      <c r="G719">
        <v>6.2442406014434191</v>
      </c>
      <c r="H719">
        <v>65.070125710024044</v>
      </c>
      <c r="I719">
        <v>21.51594784302879</v>
      </c>
      <c r="J719">
        <v>20.39568633839194</v>
      </c>
      <c r="K719">
        <v>1505.949678798042</v>
      </c>
      <c r="L719">
        <v>1</v>
      </c>
      <c r="M719" t="s">
        <v>66</v>
      </c>
    </row>
    <row r="720" spans="1:13" x14ac:dyDescent="0.3">
      <c r="A720" t="s">
        <v>19</v>
      </c>
      <c r="B720" t="s">
        <v>47</v>
      </c>
      <c r="C720">
        <v>125.13454275613429</v>
      </c>
      <c r="D720">
        <v>5.9984299688247447</v>
      </c>
      <c r="E720">
        <v>8.8263555479468305</v>
      </c>
      <c r="F720">
        <v>20.269903537279191</v>
      </c>
      <c r="G720">
        <v>6.1132829872646051</v>
      </c>
      <c r="H720">
        <v>16.954178547020909</v>
      </c>
      <c r="I720">
        <v>24.424990022255471</v>
      </c>
      <c r="J720">
        <v>25.566595071207391</v>
      </c>
      <c r="K720">
        <v>663.87999028628224</v>
      </c>
      <c r="L720">
        <v>1</v>
      </c>
      <c r="M720" t="s">
        <v>66</v>
      </c>
    </row>
    <row r="721" spans="1:13" x14ac:dyDescent="0.3">
      <c r="A721" t="s">
        <v>19</v>
      </c>
      <c r="B721" t="s">
        <v>47</v>
      </c>
      <c r="C721">
        <v>76.035825002595203</v>
      </c>
      <c r="D721">
        <v>2.9120657664856062</v>
      </c>
      <c r="E721">
        <v>5.1173777338046236</v>
      </c>
      <c r="F721">
        <v>11.69734566779478</v>
      </c>
      <c r="G721">
        <v>6.9479486266836323</v>
      </c>
      <c r="H721">
        <v>16.580709480308741</v>
      </c>
      <c r="I721">
        <v>26.040764115001529</v>
      </c>
      <c r="J721">
        <v>25.072356684295389</v>
      </c>
      <c r="K721">
        <v>693.95399176084675</v>
      </c>
      <c r="L721">
        <v>1</v>
      </c>
      <c r="M721" t="s">
        <v>66</v>
      </c>
    </row>
    <row r="722" spans="1:13" x14ac:dyDescent="0.3">
      <c r="A722" t="s">
        <v>15</v>
      </c>
      <c r="B722" t="s">
        <v>34</v>
      </c>
      <c r="C722">
        <v>175.95375710142011</v>
      </c>
      <c r="D722">
        <v>7.6205397413897966</v>
      </c>
      <c r="E722">
        <v>11.803339344681</v>
      </c>
      <c r="F722">
        <v>30.877832962581429</v>
      </c>
      <c r="G722">
        <v>5.8803786778496647</v>
      </c>
      <c r="H722">
        <v>43.183140159446943</v>
      </c>
      <c r="I722">
        <v>24.718611955648552</v>
      </c>
      <c r="J722">
        <v>19.56938806903181</v>
      </c>
      <c r="K722">
        <v>2109.8817837868528</v>
      </c>
      <c r="L722">
        <v>1</v>
      </c>
      <c r="M722" t="s">
        <v>66</v>
      </c>
    </row>
    <row r="723" spans="1:13" x14ac:dyDescent="0.3">
      <c r="A723" t="s">
        <v>17</v>
      </c>
      <c r="B723" t="s">
        <v>39</v>
      </c>
      <c r="C723">
        <v>13.254729165659819</v>
      </c>
      <c r="D723">
        <v>0</v>
      </c>
      <c r="E723">
        <v>0</v>
      </c>
      <c r="F723">
        <v>2.1328921885699881</v>
      </c>
      <c r="G723">
        <v>5.576275978612923</v>
      </c>
      <c r="H723">
        <v>29.16987967195746</v>
      </c>
      <c r="I723">
        <v>20.70133471620268</v>
      </c>
      <c r="J723">
        <v>25.79673221493837</v>
      </c>
      <c r="K723">
        <v>2074.6241590370928</v>
      </c>
      <c r="L723">
        <v>1</v>
      </c>
      <c r="M723" t="s">
        <v>66</v>
      </c>
    </row>
    <row r="724" spans="1:13" x14ac:dyDescent="0.3">
      <c r="A724" t="s">
        <v>22</v>
      </c>
      <c r="B724" t="s">
        <v>53</v>
      </c>
      <c r="C724">
        <v>51.106019886855179</v>
      </c>
      <c r="D724">
        <v>2.1157159557521439</v>
      </c>
      <c r="E724">
        <v>3.101275056585636</v>
      </c>
      <c r="F724">
        <v>7.1367132902028123</v>
      </c>
      <c r="G724">
        <v>5.9362112892348247</v>
      </c>
      <c r="H724">
        <v>25.50998870863204</v>
      </c>
      <c r="I724">
        <v>22.75940015972574</v>
      </c>
      <c r="J724">
        <v>22.695026372787279</v>
      </c>
      <c r="K724">
        <v>1451.580756575775</v>
      </c>
      <c r="L724">
        <v>1</v>
      </c>
      <c r="M724" t="s">
        <v>66</v>
      </c>
    </row>
    <row r="725" spans="1:13" x14ac:dyDescent="0.3">
      <c r="A725" t="s">
        <v>24</v>
      </c>
      <c r="B725" t="s">
        <v>58</v>
      </c>
      <c r="C725">
        <v>33.952647924166342</v>
      </c>
      <c r="D725">
        <v>1.0890902082358711</v>
      </c>
      <c r="E725">
        <v>1.94372542861283</v>
      </c>
      <c r="F725">
        <v>5.1196629971136574</v>
      </c>
      <c r="G725">
        <v>6.7862103408410528</v>
      </c>
      <c r="H725">
        <v>62.884677815723727</v>
      </c>
      <c r="I725">
        <v>24.5437970199327</v>
      </c>
      <c r="J725">
        <v>21.560081172681691</v>
      </c>
      <c r="K725">
        <v>734.58591273096624</v>
      </c>
      <c r="L725">
        <v>0</v>
      </c>
      <c r="M725" t="s">
        <v>66</v>
      </c>
    </row>
    <row r="726" spans="1:13" x14ac:dyDescent="0.3">
      <c r="A726" t="s">
        <v>22</v>
      </c>
      <c r="B726" t="s">
        <v>53</v>
      </c>
      <c r="C726">
        <v>48.768817743748947</v>
      </c>
      <c r="D726">
        <v>2.2439729135279349</v>
      </c>
      <c r="E726">
        <v>3.5141048683506311</v>
      </c>
      <c r="F726">
        <v>8.0549520954744125</v>
      </c>
      <c r="G726">
        <v>6.0558871223659203</v>
      </c>
      <c r="H726">
        <v>25.676067919991119</v>
      </c>
      <c r="I726">
        <v>22.40412715318574</v>
      </c>
      <c r="J726">
        <v>23.42869682096196</v>
      </c>
      <c r="K726">
        <v>1393.8059396542601</v>
      </c>
      <c r="L726">
        <v>1</v>
      </c>
      <c r="M726" t="s">
        <v>66</v>
      </c>
    </row>
    <row r="727" spans="1:13" x14ac:dyDescent="0.3">
      <c r="A727" t="s">
        <v>18</v>
      </c>
      <c r="B727" t="s">
        <v>41</v>
      </c>
      <c r="C727">
        <v>0</v>
      </c>
      <c r="D727">
        <v>0</v>
      </c>
      <c r="E727">
        <v>0</v>
      </c>
      <c r="F727">
        <v>-1.7763568394002501E-15</v>
      </c>
      <c r="G727">
        <v>6.1593161853926306</v>
      </c>
      <c r="H727">
        <v>22.94778323542852</v>
      </c>
      <c r="I727">
        <v>30.654347658571162</v>
      </c>
      <c r="J727">
        <v>33.791030985055642</v>
      </c>
      <c r="K727">
        <v>1860.663075187977</v>
      </c>
      <c r="L727">
        <v>1</v>
      </c>
      <c r="M727" t="s">
        <v>66</v>
      </c>
    </row>
    <row r="728" spans="1:13" x14ac:dyDescent="0.3">
      <c r="A728" t="s">
        <v>24</v>
      </c>
      <c r="B728" t="s">
        <v>61</v>
      </c>
      <c r="C728">
        <v>613.58406091399775</v>
      </c>
      <c r="D728">
        <v>38.14375423174522</v>
      </c>
      <c r="E728">
        <v>50.466898095204847</v>
      </c>
      <c r="F728">
        <v>100.6204871457095</v>
      </c>
      <c r="G728">
        <v>5.8615060520020643</v>
      </c>
      <c r="H728">
        <v>80.39563645455226</v>
      </c>
      <c r="I728">
        <v>29.983829456265699</v>
      </c>
      <c r="J728">
        <v>32.618328791160472</v>
      </c>
      <c r="K728">
        <v>11.398968139975979</v>
      </c>
      <c r="L728">
        <v>-1</v>
      </c>
      <c r="M728" t="s">
        <v>66</v>
      </c>
    </row>
    <row r="729" spans="1:13" x14ac:dyDescent="0.3">
      <c r="A729" t="s">
        <v>18</v>
      </c>
      <c r="B729" t="s">
        <v>43</v>
      </c>
      <c r="C729">
        <v>30.587353133779629</v>
      </c>
      <c r="D729">
        <v>1.050614549104586</v>
      </c>
      <c r="E729">
        <v>1.964717440896099</v>
      </c>
      <c r="F729">
        <v>4.4070215638588941</v>
      </c>
      <c r="G729">
        <v>5.8768477798015066</v>
      </c>
      <c r="H729">
        <v>28.269503631314912</v>
      </c>
      <c r="I729">
        <v>29.990418505681109</v>
      </c>
      <c r="J729">
        <v>19.683073248880181</v>
      </c>
      <c r="K729">
        <v>1826.1846271820889</v>
      </c>
      <c r="L729">
        <v>1</v>
      </c>
      <c r="M729" t="s">
        <v>66</v>
      </c>
    </row>
    <row r="730" spans="1:13" x14ac:dyDescent="0.3">
      <c r="A730" t="s">
        <v>22</v>
      </c>
      <c r="B730" t="s">
        <v>53</v>
      </c>
      <c r="C730">
        <v>68.182373610380111</v>
      </c>
      <c r="D730">
        <v>3.077226618120843</v>
      </c>
      <c r="E730">
        <v>4.4963049537038824</v>
      </c>
      <c r="F730">
        <v>13.53252689355214</v>
      </c>
      <c r="G730">
        <v>5.9505326147212356</v>
      </c>
      <c r="H730">
        <v>48.126074451338631</v>
      </c>
      <c r="I730">
        <v>25.24979714107106</v>
      </c>
      <c r="J730">
        <v>23.305899560486282</v>
      </c>
      <c r="K730">
        <v>1460.670986493056</v>
      </c>
      <c r="L730">
        <v>1</v>
      </c>
      <c r="M730" t="s">
        <v>66</v>
      </c>
    </row>
    <row r="731" spans="1:13" x14ac:dyDescent="0.3">
      <c r="A731" t="s">
        <v>20</v>
      </c>
      <c r="B731" t="s">
        <v>50</v>
      </c>
      <c r="C731">
        <v>46.241744563796011</v>
      </c>
      <c r="D731">
        <v>1.7156319047809121</v>
      </c>
      <c r="E731">
        <v>3.0671057708394822</v>
      </c>
      <c r="F731">
        <v>6.9093807021951328</v>
      </c>
      <c r="G731">
        <v>6.0646244039129886</v>
      </c>
      <c r="H731">
        <v>41.941169791577281</v>
      </c>
      <c r="I731">
        <v>23.57803929760885</v>
      </c>
      <c r="J731">
        <v>20.510641621649469</v>
      </c>
      <c r="K731">
        <v>1667.7589400582469</v>
      </c>
      <c r="L731">
        <v>1</v>
      </c>
      <c r="M731" t="s">
        <v>66</v>
      </c>
    </row>
    <row r="732" spans="1:13" x14ac:dyDescent="0.3">
      <c r="A732" t="s">
        <v>15</v>
      </c>
      <c r="B732" t="s">
        <v>30</v>
      </c>
      <c r="C732">
        <v>105.8798286101339</v>
      </c>
      <c r="D732">
        <v>4.9271496477169867</v>
      </c>
      <c r="E732">
        <v>6.9754016185057708</v>
      </c>
      <c r="F732">
        <v>16.230252387178979</v>
      </c>
      <c r="G732">
        <v>6.1816757155457038</v>
      </c>
      <c r="H732">
        <v>25.750410439597651</v>
      </c>
      <c r="I732">
        <v>20.69498714760935</v>
      </c>
      <c r="J732">
        <v>28.631429612809001</v>
      </c>
      <c r="K732">
        <v>1991.461375393905</v>
      </c>
      <c r="L732">
        <v>1</v>
      </c>
      <c r="M732" t="s">
        <v>66</v>
      </c>
    </row>
    <row r="733" spans="1:13" x14ac:dyDescent="0.3">
      <c r="A733" t="s">
        <v>22</v>
      </c>
      <c r="B733" t="s">
        <v>54</v>
      </c>
      <c r="C733">
        <v>48.888017696116407</v>
      </c>
      <c r="D733">
        <v>1.906115526461392</v>
      </c>
      <c r="E733">
        <v>3.3508530101897338</v>
      </c>
      <c r="F733">
        <v>5.5003068213949469</v>
      </c>
      <c r="G733">
        <v>7.4433874801043487</v>
      </c>
      <c r="H733">
        <v>48.103368057118153</v>
      </c>
      <c r="I733">
        <v>29.953438756578901</v>
      </c>
      <c r="J733">
        <v>21.96915083855934</v>
      </c>
      <c r="K733">
        <v>1355.5555723527959</v>
      </c>
      <c r="L733">
        <v>1</v>
      </c>
      <c r="M733" t="s">
        <v>66</v>
      </c>
    </row>
    <row r="734" spans="1:13" x14ac:dyDescent="0.3">
      <c r="A734" t="s">
        <v>19</v>
      </c>
      <c r="B734" t="s">
        <v>47</v>
      </c>
      <c r="C734">
        <v>10.584115522548229</v>
      </c>
      <c r="D734">
        <v>5.6701544535090918</v>
      </c>
      <c r="E734">
        <v>6.3567046257537587</v>
      </c>
      <c r="F734">
        <v>17.57542334405386</v>
      </c>
      <c r="G734">
        <v>6.2985794623694522</v>
      </c>
      <c r="H734">
        <v>26.95260025185657</v>
      </c>
      <c r="I734">
        <v>23.540833217252828</v>
      </c>
      <c r="J734">
        <v>24.390363465334239</v>
      </c>
      <c r="K734">
        <v>703.76098367537315</v>
      </c>
      <c r="L734">
        <v>1</v>
      </c>
      <c r="M734" t="s">
        <v>66</v>
      </c>
    </row>
    <row r="735" spans="1:13" x14ac:dyDescent="0.3">
      <c r="A735" t="s">
        <v>20</v>
      </c>
      <c r="B735" t="s">
        <v>51</v>
      </c>
      <c r="C735">
        <v>88.410138768228848</v>
      </c>
      <c r="D735">
        <v>4.5099394409273934</v>
      </c>
      <c r="E735">
        <v>6.9917410930663646</v>
      </c>
      <c r="F735">
        <v>15.027648474157701</v>
      </c>
      <c r="G735">
        <v>6.0419772427221714</v>
      </c>
      <c r="H735">
        <v>33.2136333801148</v>
      </c>
      <c r="I735">
        <v>20.849042095889931</v>
      </c>
      <c r="J735">
        <v>21.24831972619727</v>
      </c>
      <c r="K735">
        <v>1565.0335438400459</v>
      </c>
      <c r="L735">
        <v>1</v>
      </c>
      <c r="M735" t="s">
        <v>66</v>
      </c>
    </row>
    <row r="736" spans="1:13" x14ac:dyDescent="0.3">
      <c r="A736" t="s">
        <v>24</v>
      </c>
      <c r="B736" t="s">
        <v>61</v>
      </c>
      <c r="C736">
        <v>118.866880012067</v>
      </c>
      <c r="D736">
        <v>5.9123439978714094</v>
      </c>
      <c r="E736">
        <v>9.1036454686521591</v>
      </c>
      <c r="F736">
        <v>23.351344667433061</v>
      </c>
      <c r="G736">
        <v>6.3524112961450108</v>
      </c>
      <c r="H736">
        <v>21.895104929761921</v>
      </c>
      <c r="I736">
        <v>30.17210242002669</v>
      </c>
      <c r="J736">
        <v>31.00128241916245</v>
      </c>
      <c r="K736">
        <v>47.934429141506833</v>
      </c>
      <c r="L736">
        <v>-1</v>
      </c>
      <c r="M736" t="s">
        <v>66</v>
      </c>
    </row>
    <row r="737" spans="1:13" x14ac:dyDescent="0.3">
      <c r="A737" t="s">
        <v>18</v>
      </c>
      <c r="B737" t="s">
        <v>42</v>
      </c>
      <c r="C737">
        <v>33.659578572858791</v>
      </c>
      <c r="D737">
        <v>0.92792937513819851</v>
      </c>
      <c r="E737">
        <v>2.039658291089117</v>
      </c>
      <c r="F737">
        <v>4.4281000215953839</v>
      </c>
      <c r="G737">
        <v>5.5450186195056226</v>
      </c>
      <c r="H737">
        <v>27.46758118272637</v>
      </c>
      <c r="I737">
        <v>18.753278124478339</v>
      </c>
      <c r="J737">
        <v>25.689144116402169</v>
      </c>
      <c r="K737">
        <v>1849.765499402572</v>
      </c>
      <c r="L737">
        <v>1</v>
      </c>
      <c r="M737" t="s">
        <v>66</v>
      </c>
    </row>
    <row r="738" spans="1:13" x14ac:dyDescent="0.3">
      <c r="A738" t="s">
        <v>25</v>
      </c>
      <c r="B738" t="s">
        <v>62</v>
      </c>
      <c r="C738">
        <v>271.78624459843121</v>
      </c>
      <c r="D738">
        <v>24.63656044224609</v>
      </c>
      <c r="E738">
        <v>22.6456826079983</v>
      </c>
      <c r="F738">
        <v>57.737372120132292</v>
      </c>
      <c r="G738">
        <v>4.3228398522008078</v>
      </c>
      <c r="H738">
        <v>66.285887648246799</v>
      </c>
      <c r="I738">
        <v>30.298314219941052</v>
      </c>
      <c r="J738">
        <v>24.133267728683329</v>
      </c>
      <c r="K738">
        <v>724.15087489150721</v>
      </c>
      <c r="L738">
        <v>0</v>
      </c>
      <c r="M738" t="s">
        <v>66</v>
      </c>
    </row>
    <row r="739" spans="1:13" x14ac:dyDescent="0.3">
      <c r="A739" t="s">
        <v>21</v>
      </c>
      <c r="B739" t="s">
        <v>52</v>
      </c>
      <c r="C739">
        <v>127.0042752885125</v>
      </c>
      <c r="D739">
        <v>6.1046999899257823</v>
      </c>
      <c r="E739">
        <v>7.7244919879076459</v>
      </c>
      <c r="F739">
        <v>20.889353723485069</v>
      </c>
      <c r="G739">
        <v>5.4955688114000338</v>
      </c>
      <c r="H739">
        <v>58.487879542658547</v>
      </c>
      <c r="I739">
        <v>28.509602769877532</v>
      </c>
      <c r="J739">
        <v>25.172592572288242</v>
      </c>
      <c r="K739">
        <v>738.25331476911288</v>
      </c>
      <c r="L739">
        <v>0</v>
      </c>
      <c r="M739" t="s">
        <v>66</v>
      </c>
    </row>
    <row r="740" spans="1:13" x14ac:dyDescent="0.3">
      <c r="A740" t="s">
        <v>23</v>
      </c>
      <c r="B740" t="s">
        <v>56</v>
      </c>
      <c r="C740">
        <v>83.369417166435554</v>
      </c>
      <c r="D740">
        <v>4.0089458432927136</v>
      </c>
      <c r="E740">
        <v>5.0785167991741389</v>
      </c>
      <c r="F740">
        <v>10.73285880190689</v>
      </c>
      <c r="G740">
        <v>6.34365136969849</v>
      </c>
      <c r="H740">
        <v>21.052402725973501</v>
      </c>
      <c r="I740">
        <v>20.28540678599143</v>
      </c>
      <c r="J740">
        <v>18.982227745635281</v>
      </c>
      <c r="K740">
        <v>1642.319849493329</v>
      </c>
      <c r="L740">
        <v>1</v>
      </c>
      <c r="M740" t="s">
        <v>66</v>
      </c>
    </row>
    <row r="741" spans="1:13" x14ac:dyDescent="0.3">
      <c r="A741" t="s">
        <v>18</v>
      </c>
      <c r="B741" t="s">
        <v>41</v>
      </c>
      <c r="C741">
        <v>0</v>
      </c>
      <c r="D741">
        <v>0</v>
      </c>
      <c r="E741">
        <v>0</v>
      </c>
      <c r="F741">
        <v>-1.7763568394002501E-15</v>
      </c>
      <c r="G741">
        <v>6.1340380576895317</v>
      </c>
      <c r="H741">
        <v>21.305930751837678</v>
      </c>
      <c r="I741">
        <v>30.205568182932652</v>
      </c>
      <c r="J741">
        <v>34.417404519860632</v>
      </c>
      <c r="K741">
        <v>1775.105959794877</v>
      </c>
      <c r="L741">
        <v>1</v>
      </c>
      <c r="M741" t="s">
        <v>66</v>
      </c>
    </row>
    <row r="742" spans="1:13" x14ac:dyDescent="0.3">
      <c r="A742" t="s">
        <v>18</v>
      </c>
      <c r="B742" t="s">
        <v>40</v>
      </c>
      <c r="C742">
        <v>116.5073393909404</v>
      </c>
      <c r="D742">
        <v>5.432339977816377</v>
      </c>
      <c r="E742">
        <v>8.4082511996396665</v>
      </c>
      <c r="F742">
        <v>23.78107044119076</v>
      </c>
      <c r="G742">
        <v>6.0646104686528783</v>
      </c>
      <c r="H742">
        <v>33.624912171638229</v>
      </c>
      <c r="I742">
        <v>21.39368859640766</v>
      </c>
      <c r="J742">
        <v>20.53379425972696</v>
      </c>
      <c r="K742">
        <v>1709.764695729617</v>
      </c>
      <c r="L742">
        <v>1</v>
      </c>
      <c r="M742" t="s">
        <v>66</v>
      </c>
    </row>
    <row r="743" spans="1:13" x14ac:dyDescent="0.3">
      <c r="A743" t="s">
        <v>25</v>
      </c>
      <c r="B743" t="s">
        <v>62</v>
      </c>
      <c r="C743">
        <v>581.22248093769826</v>
      </c>
      <c r="D743">
        <v>31.04977410190045</v>
      </c>
      <c r="E743">
        <v>30.074204147471018</v>
      </c>
      <c r="F743">
        <v>92.531601671591687</v>
      </c>
      <c r="G743">
        <v>4.3643897475052711</v>
      </c>
      <c r="H743">
        <v>88.4</v>
      </c>
      <c r="I743">
        <v>27.31280210452292</v>
      </c>
      <c r="J743">
        <v>23.990405261687751</v>
      </c>
      <c r="K743">
        <v>712.97737638882813</v>
      </c>
      <c r="L743">
        <v>0</v>
      </c>
      <c r="M743" t="s">
        <v>66</v>
      </c>
    </row>
    <row r="744" spans="1:13" x14ac:dyDescent="0.3">
      <c r="A744" t="s">
        <v>18</v>
      </c>
      <c r="B744" t="s">
        <v>43</v>
      </c>
      <c r="C744">
        <v>30.75837463419203</v>
      </c>
      <c r="D744">
        <v>0.9966795862402309</v>
      </c>
      <c r="E744">
        <v>1.9180785812255969</v>
      </c>
      <c r="F744">
        <v>3.5527533869522192</v>
      </c>
      <c r="G744">
        <v>5.769216589179984</v>
      </c>
      <c r="H744">
        <v>31.482420414955001</v>
      </c>
      <c r="I744">
        <v>25.99611433168787</v>
      </c>
      <c r="J744">
        <v>19.947252817094689</v>
      </c>
      <c r="K744">
        <v>1866.030230472594</v>
      </c>
      <c r="L744">
        <v>1</v>
      </c>
      <c r="M744" t="s">
        <v>66</v>
      </c>
    </row>
    <row r="745" spans="1:13" x14ac:dyDescent="0.3">
      <c r="A745" t="s">
        <v>18</v>
      </c>
      <c r="B745" t="s">
        <v>41</v>
      </c>
      <c r="C745">
        <v>120.6498302446639</v>
      </c>
      <c r="D745">
        <v>6.1964475132227799</v>
      </c>
      <c r="E745">
        <v>7.168422191005507</v>
      </c>
      <c r="F745">
        <v>17.608052847672781</v>
      </c>
      <c r="G745">
        <v>4.3289165329288712</v>
      </c>
      <c r="H745">
        <v>58.563821970130448</v>
      </c>
      <c r="I745">
        <v>19.594016902647041</v>
      </c>
      <c r="J745">
        <v>20.459933164979109</v>
      </c>
      <c r="K745">
        <v>1681.828329289109</v>
      </c>
      <c r="L745">
        <v>1</v>
      </c>
      <c r="M745" t="s">
        <v>66</v>
      </c>
    </row>
    <row r="746" spans="1:13" x14ac:dyDescent="0.3">
      <c r="A746" t="s">
        <v>24</v>
      </c>
      <c r="B746" t="s">
        <v>61</v>
      </c>
      <c r="C746">
        <v>313.14840921885229</v>
      </c>
      <c r="D746">
        <v>18.53270935906183</v>
      </c>
      <c r="E746">
        <v>23.601626717244329</v>
      </c>
      <c r="F746">
        <v>49.716562807152208</v>
      </c>
      <c r="G746">
        <v>4.5445937796738516</v>
      </c>
      <c r="H746">
        <v>52.40561791553155</v>
      </c>
      <c r="I746">
        <v>29.318579869425609</v>
      </c>
      <c r="J746">
        <v>31.174706203071231</v>
      </c>
      <c r="K746">
        <v>13.970906577248339</v>
      </c>
      <c r="L746">
        <v>-1</v>
      </c>
      <c r="M746" t="s">
        <v>66</v>
      </c>
    </row>
    <row r="747" spans="1:13" x14ac:dyDescent="0.3">
      <c r="A747" t="s">
        <v>19</v>
      </c>
      <c r="B747" t="s">
        <v>44</v>
      </c>
      <c r="C747">
        <v>17.255018099188351</v>
      </c>
      <c r="D747">
        <v>0</v>
      </c>
      <c r="E747">
        <v>1.152083666150558</v>
      </c>
      <c r="F747">
        <v>3.5752288125730498</v>
      </c>
      <c r="G747">
        <v>5.248654043251328</v>
      </c>
      <c r="H747">
        <v>14.52695432783969</v>
      </c>
      <c r="I747">
        <v>30.893919153248198</v>
      </c>
      <c r="J747">
        <v>24.548028762984469</v>
      </c>
      <c r="K747">
        <v>1365.0489088286031</v>
      </c>
      <c r="L747">
        <v>0</v>
      </c>
      <c r="M747" t="s">
        <v>66</v>
      </c>
    </row>
    <row r="748" spans="1:13" x14ac:dyDescent="0.3">
      <c r="A748" t="s">
        <v>21</v>
      </c>
      <c r="B748" t="s">
        <v>52</v>
      </c>
      <c r="C748">
        <v>29.890896684588181</v>
      </c>
      <c r="D748">
        <v>1.007946648108474</v>
      </c>
      <c r="E748">
        <v>1.9343374452738551</v>
      </c>
      <c r="F748">
        <v>5.0428976572861366</v>
      </c>
      <c r="G748">
        <v>6.1132861536709768</v>
      </c>
      <c r="H748">
        <v>28.386159572850829</v>
      </c>
      <c r="I748">
        <v>26.51859636229856</v>
      </c>
      <c r="J748">
        <v>22.48674327363322</v>
      </c>
      <c r="K748">
        <v>1159.609913407015</v>
      </c>
      <c r="L748">
        <v>1</v>
      </c>
      <c r="M748" t="s">
        <v>66</v>
      </c>
    </row>
    <row r="749" spans="1:13" x14ac:dyDescent="0.3">
      <c r="A749" t="s">
        <v>24</v>
      </c>
      <c r="B749" t="s">
        <v>60</v>
      </c>
      <c r="C749">
        <v>503.82371986630682</v>
      </c>
      <c r="D749">
        <v>21.478983813657319</v>
      </c>
      <c r="E749">
        <v>36.059621273352683</v>
      </c>
      <c r="F749">
        <v>81.282839232990483</v>
      </c>
      <c r="G749">
        <v>5.5186725602721891</v>
      </c>
      <c r="H749">
        <v>62.912209559952643</v>
      </c>
      <c r="I749">
        <v>30.08230486987415</v>
      </c>
      <c r="J749">
        <v>31.12425363534858</v>
      </c>
      <c r="K749">
        <v>11.18119154684814</v>
      </c>
      <c r="L749">
        <v>-1</v>
      </c>
      <c r="M749" t="s">
        <v>66</v>
      </c>
    </row>
    <row r="750" spans="1:13" x14ac:dyDescent="0.3">
      <c r="A750" t="s">
        <v>15</v>
      </c>
      <c r="B750" t="s">
        <v>34</v>
      </c>
      <c r="C750">
        <v>119.9762829540395</v>
      </c>
      <c r="D750">
        <v>6.0090806536578247</v>
      </c>
      <c r="E750">
        <v>7.4241722274475572</v>
      </c>
      <c r="F750">
        <v>19.314218208488999</v>
      </c>
      <c r="G750">
        <v>6.1503599797204291</v>
      </c>
      <c r="H750">
        <v>28.921010151298621</v>
      </c>
      <c r="I750">
        <v>23.449692635432228</v>
      </c>
      <c r="J750">
        <v>19.860656060680419</v>
      </c>
      <c r="K750">
        <v>2121.614743748039</v>
      </c>
      <c r="L750">
        <v>1</v>
      </c>
      <c r="M750" t="s">
        <v>66</v>
      </c>
    </row>
    <row r="751" spans="1:13" x14ac:dyDescent="0.3">
      <c r="A751" t="s">
        <v>24</v>
      </c>
      <c r="B751" t="s">
        <v>60</v>
      </c>
      <c r="C751">
        <v>613.0393700367697</v>
      </c>
      <c r="D751">
        <v>30.628265012721201</v>
      </c>
      <c r="E751">
        <v>41.454917575819977</v>
      </c>
      <c r="F751">
        <v>96.919693877363756</v>
      </c>
      <c r="G751">
        <v>6.2496485603819014</v>
      </c>
      <c r="H751">
        <v>87.572934378426268</v>
      </c>
      <c r="I751">
        <v>31.364133633423901</v>
      </c>
      <c r="J751">
        <v>30.907091078160938</v>
      </c>
      <c r="K751">
        <v>11</v>
      </c>
      <c r="L751">
        <v>-1</v>
      </c>
      <c r="M751" t="s">
        <v>66</v>
      </c>
    </row>
    <row r="752" spans="1:13" x14ac:dyDescent="0.3">
      <c r="A752" t="s">
        <v>18</v>
      </c>
      <c r="B752" t="s">
        <v>41</v>
      </c>
      <c r="C752">
        <v>115.7162852378593</v>
      </c>
      <c r="D752">
        <v>6.0445107291483309</v>
      </c>
      <c r="E752">
        <v>6.3229961253677764</v>
      </c>
      <c r="F752">
        <v>15.309075207994351</v>
      </c>
      <c r="G752">
        <v>4.3481116059192599</v>
      </c>
      <c r="H752">
        <v>53.6007496817722</v>
      </c>
      <c r="I752">
        <v>20.321646472949329</v>
      </c>
      <c r="J752">
        <v>20.2684303576888</v>
      </c>
      <c r="K752">
        <v>1616.4444431483651</v>
      </c>
      <c r="L752">
        <v>1</v>
      </c>
      <c r="M752" t="s">
        <v>66</v>
      </c>
    </row>
    <row r="753" spans="1:13" x14ac:dyDescent="0.3">
      <c r="A753" t="s">
        <v>18</v>
      </c>
      <c r="B753" t="s">
        <v>42</v>
      </c>
      <c r="C753">
        <v>67.622845449102925</v>
      </c>
      <c r="D753">
        <v>2.9617788421158342</v>
      </c>
      <c r="E753">
        <v>3.4684800684714809</v>
      </c>
      <c r="F753">
        <v>10.93347649468358</v>
      </c>
      <c r="G753">
        <v>5.9542990391231951</v>
      </c>
      <c r="H753">
        <v>44.526242644929312</v>
      </c>
      <c r="I753">
        <v>19.973917130213561</v>
      </c>
      <c r="J753">
        <v>20.78452045747618</v>
      </c>
      <c r="K753">
        <v>1783.372581904867</v>
      </c>
      <c r="L753">
        <v>1</v>
      </c>
      <c r="M753" t="s">
        <v>66</v>
      </c>
    </row>
    <row r="754" spans="1:13" x14ac:dyDescent="0.3">
      <c r="A754" t="s">
        <v>15</v>
      </c>
      <c r="B754" t="s">
        <v>33</v>
      </c>
      <c r="C754">
        <v>103.2319873195936</v>
      </c>
      <c r="D754">
        <v>3.2071184966522739</v>
      </c>
      <c r="E754">
        <v>4.0693270382750972</v>
      </c>
      <c r="F754">
        <v>9.2175546122507406</v>
      </c>
      <c r="G754">
        <v>6.1373395073247528</v>
      </c>
      <c r="H754">
        <v>32.927452164232271</v>
      </c>
      <c r="I754">
        <v>16.783897697889451</v>
      </c>
      <c r="J754">
        <v>19.233332254288889</v>
      </c>
      <c r="K754">
        <v>2049.3433764220258</v>
      </c>
      <c r="L754">
        <v>1</v>
      </c>
      <c r="M754" t="s">
        <v>66</v>
      </c>
    </row>
    <row r="755" spans="1:13" x14ac:dyDescent="0.3">
      <c r="A755" t="s">
        <v>24</v>
      </c>
      <c r="B755" t="s">
        <v>58</v>
      </c>
      <c r="C755">
        <v>13.37325119868154</v>
      </c>
      <c r="D755">
        <v>0</v>
      </c>
      <c r="E755">
        <v>0</v>
      </c>
      <c r="F755">
        <v>1.9297743034529871</v>
      </c>
      <c r="G755">
        <v>6.5005671809460841</v>
      </c>
      <c r="H755">
        <v>41.765276434943821</v>
      </c>
      <c r="I755">
        <v>23.873227800221049</v>
      </c>
      <c r="J755">
        <v>22.534820705308672</v>
      </c>
      <c r="K755">
        <v>739.98782090060934</v>
      </c>
      <c r="L755">
        <v>0</v>
      </c>
      <c r="M755" t="s">
        <v>66</v>
      </c>
    </row>
    <row r="756" spans="1:13" x14ac:dyDescent="0.3">
      <c r="A756" t="s">
        <v>25</v>
      </c>
      <c r="B756" t="s">
        <v>62</v>
      </c>
      <c r="C756">
        <v>29.616963322333248</v>
      </c>
      <c r="D756">
        <v>1.082866205062867</v>
      </c>
      <c r="E756">
        <v>1.923021763642724</v>
      </c>
      <c r="F756">
        <v>4.7996053959532219</v>
      </c>
      <c r="G756">
        <v>6.1188512951299412</v>
      </c>
      <c r="H756">
        <v>25.266020532124699</v>
      </c>
      <c r="I756">
        <v>24.39365945136506</v>
      </c>
      <c r="J756">
        <v>23.740880419623679</v>
      </c>
      <c r="K756">
        <v>1223.875230773938</v>
      </c>
      <c r="L756">
        <v>0</v>
      </c>
      <c r="M756" t="s">
        <v>66</v>
      </c>
    </row>
    <row r="757" spans="1:13" x14ac:dyDescent="0.3">
      <c r="A757" t="s">
        <v>15</v>
      </c>
      <c r="B757" t="s">
        <v>30</v>
      </c>
      <c r="C757">
        <v>99.795220052921493</v>
      </c>
      <c r="D757">
        <v>4.2804026924505161</v>
      </c>
      <c r="E757">
        <v>7.4205979270070834</v>
      </c>
      <c r="F757">
        <v>16.159164575562588</v>
      </c>
      <c r="G757">
        <v>6.1030194334599912</v>
      </c>
      <c r="H757">
        <v>28.548633847867869</v>
      </c>
      <c r="I757">
        <v>19.738859544651291</v>
      </c>
      <c r="J757">
        <v>27.593369039549408</v>
      </c>
      <c r="K757">
        <v>2036.6535035699519</v>
      </c>
      <c r="L757">
        <v>1</v>
      </c>
      <c r="M757" t="s">
        <v>66</v>
      </c>
    </row>
    <row r="758" spans="1:13" x14ac:dyDescent="0.3">
      <c r="A758" t="s">
        <v>21</v>
      </c>
      <c r="B758" t="s">
        <v>52</v>
      </c>
      <c r="C758">
        <v>135.86434827527859</v>
      </c>
      <c r="D758">
        <v>6.2713707822147846</v>
      </c>
      <c r="E758">
        <v>9.5147491514604177</v>
      </c>
      <c r="F758">
        <v>26.75168759760307</v>
      </c>
      <c r="G758">
        <v>5.6655617192422429</v>
      </c>
      <c r="H758">
        <v>59.424359305094363</v>
      </c>
      <c r="I758">
        <v>27.913073326867259</v>
      </c>
      <c r="J758">
        <v>24.97345450917361</v>
      </c>
      <c r="K758">
        <v>749.32479299107001</v>
      </c>
      <c r="L758">
        <v>0</v>
      </c>
      <c r="M758" t="s">
        <v>66</v>
      </c>
    </row>
    <row r="759" spans="1:13" x14ac:dyDescent="0.3">
      <c r="A759" t="s">
        <v>18</v>
      </c>
      <c r="B759" t="s">
        <v>42</v>
      </c>
      <c r="C759">
        <v>5.7953487637818881</v>
      </c>
      <c r="D759">
        <v>0</v>
      </c>
      <c r="E759">
        <v>0</v>
      </c>
      <c r="F759">
        <v>-1.7763568394002501E-15</v>
      </c>
      <c r="G759">
        <v>6.10803041024249</v>
      </c>
      <c r="H759">
        <v>23.540938435916569</v>
      </c>
      <c r="I759">
        <v>21.05302280142304</v>
      </c>
      <c r="J759">
        <v>27.73104357448458</v>
      </c>
      <c r="K759">
        <v>1830.695356512095</v>
      </c>
      <c r="L759">
        <v>1</v>
      </c>
      <c r="M759" t="s">
        <v>66</v>
      </c>
    </row>
    <row r="760" spans="1:13" x14ac:dyDescent="0.3">
      <c r="A760" t="s">
        <v>21</v>
      </c>
      <c r="B760" t="s">
        <v>52</v>
      </c>
      <c r="C760">
        <v>32.850004074011828</v>
      </c>
      <c r="D760">
        <v>1.0635340344092481</v>
      </c>
      <c r="E760">
        <v>2.184246260529386</v>
      </c>
      <c r="F760">
        <v>3.5396387518859371</v>
      </c>
      <c r="G760">
        <v>6.2164468574284228</v>
      </c>
      <c r="H760">
        <v>26.680507679031539</v>
      </c>
      <c r="I760">
        <v>26.582719140687001</v>
      </c>
      <c r="J760">
        <v>22.784172109172061</v>
      </c>
      <c r="K760">
        <v>1248.333923172765</v>
      </c>
      <c r="L760">
        <v>1</v>
      </c>
      <c r="M760" t="s">
        <v>66</v>
      </c>
    </row>
    <row r="761" spans="1:13" x14ac:dyDescent="0.3">
      <c r="A761" t="s">
        <v>15</v>
      </c>
      <c r="B761" t="s">
        <v>31</v>
      </c>
      <c r="C761">
        <v>117.1208201129876</v>
      </c>
      <c r="D761">
        <v>4.6565808062158514</v>
      </c>
      <c r="E761">
        <v>8.0855143784205996</v>
      </c>
      <c r="F761">
        <v>18.999147508638298</v>
      </c>
      <c r="G761">
        <v>5.3530174993252837</v>
      </c>
      <c r="H761">
        <v>42.412614489058939</v>
      </c>
      <c r="I761">
        <v>20.656405464523651</v>
      </c>
      <c r="J761">
        <v>26.8344987182283</v>
      </c>
      <c r="K761">
        <v>1798.6301606404929</v>
      </c>
      <c r="L761">
        <v>1</v>
      </c>
      <c r="M761" t="s">
        <v>66</v>
      </c>
    </row>
    <row r="762" spans="1:13" x14ac:dyDescent="0.3">
      <c r="A762" t="s">
        <v>24</v>
      </c>
      <c r="B762" t="s">
        <v>59</v>
      </c>
      <c r="C762">
        <v>60.781269490320618</v>
      </c>
      <c r="D762">
        <v>2.275834655847131</v>
      </c>
      <c r="E762">
        <v>4.2524743033984072</v>
      </c>
      <c r="F762">
        <v>8.5620444312420005</v>
      </c>
      <c r="G762">
        <v>6.7656787794680211</v>
      </c>
      <c r="H762">
        <v>61.410350298132848</v>
      </c>
      <c r="I762">
        <v>25.439337227101891</v>
      </c>
      <c r="J762">
        <v>22.480840352509119</v>
      </c>
      <c r="K762">
        <v>750.03710784769839</v>
      </c>
      <c r="L762">
        <v>0</v>
      </c>
      <c r="M762" t="s">
        <v>66</v>
      </c>
    </row>
    <row r="763" spans="1:13" x14ac:dyDescent="0.3">
      <c r="A763" t="s">
        <v>15</v>
      </c>
      <c r="B763" t="s">
        <v>33</v>
      </c>
      <c r="C763">
        <v>77.438041196430063</v>
      </c>
      <c r="D763">
        <v>3.1193710878344709</v>
      </c>
      <c r="E763">
        <v>4.9402725121165076</v>
      </c>
      <c r="F763">
        <v>13.10802230292868</v>
      </c>
      <c r="G763">
        <v>5.5426630695737202</v>
      </c>
      <c r="H763">
        <v>26.339726396400749</v>
      </c>
      <c r="I763">
        <v>18.39319173855333</v>
      </c>
      <c r="J763">
        <v>17.818602268888419</v>
      </c>
      <c r="K763">
        <v>1944.417430204144</v>
      </c>
      <c r="L763">
        <v>1</v>
      </c>
      <c r="M763" t="s">
        <v>66</v>
      </c>
    </row>
    <row r="764" spans="1:13" x14ac:dyDescent="0.3">
      <c r="A764" t="s">
        <v>19</v>
      </c>
      <c r="B764" t="s">
        <v>44</v>
      </c>
      <c r="C764">
        <v>44.703209342710082</v>
      </c>
      <c r="D764">
        <v>2.0101499383410588</v>
      </c>
      <c r="E764">
        <v>3.047791196758515</v>
      </c>
      <c r="F764">
        <v>6.0463303399383541</v>
      </c>
      <c r="G764">
        <v>6.1890334951338097</v>
      </c>
      <c r="H764">
        <v>23.90020738408468</v>
      </c>
      <c r="I764">
        <v>20.022600608017399</v>
      </c>
      <c r="J764">
        <v>31.072422209933531</v>
      </c>
      <c r="K764">
        <v>2256.745730499445</v>
      </c>
      <c r="L764">
        <v>1</v>
      </c>
      <c r="M764" t="s">
        <v>66</v>
      </c>
    </row>
    <row r="765" spans="1:13" x14ac:dyDescent="0.3">
      <c r="A765" t="s">
        <v>15</v>
      </c>
      <c r="B765" t="s">
        <v>34</v>
      </c>
      <c r="C765">
        <v>64.88978876261055</v>
      </c>
      <c r="D765">
        <v>3.2260412211399609</v>
      </c>
      <c r="E765">
        <v>4.584179908943903</v>
      </c>
      <c r="F765">
        <v>9.8367866463589788</v>
      </c>
      <c r="G765">
        <v>6.1076837638625081</v>
      </c>
      <c r="H765">
        <v>34.928539753611133</v>
      </c>
      <c r="I765">
        <v>19.282764748852639</v>
      </c>
      <c r="J765">
        <v>19.099557523538589</v>
      </c>
      <c r="K765">
        <v>2101.0681821718699</v>
      </c>
      <c r="L765">
        <v>1</v>
      </c>
      <c r="M765" t="s">
        <v>66</v>
      </c>
    </row>
    <row r="766" spans="1:13" x14ac:dyDescent="0.3">
      <c r="A766" t="s">
        <v>20</v>
      </c>
      <c r="B766" t="s">
        <v>49</v>
      </c>
      <c r="C766">
        <v>62.355466591202912</v>
      </c>
      <c r="D766">
        <v>2.8094483340393559</v>
      </c>
      <c r="E766">
        <v>3.2823804515835908</v>
      </c>
      <c r="F766">
        <v>11.518481242907979</v>
      </c>
      <c r="G766">
        <v>5.5293395494960427</v>
      </c>
      <c r="H766">
        <v>26.963780009327611</v>
      </c>
      <c r="I766">
        <v>17.842529600861418</v>
      </c>
      <c r="J766">
        <v>20.560126624662889</v>
      </c>
      <c r="K766">
        <v>1708.3191985682961</v>
      </c>
      <c r="L766">
        <v>1</v>
      </c>
      <c r="M766" t="s">
        <v>66</v>
      </c>
    </row>
    <row r="767" spans="1:13" x14ac:dyDescent="0.3">
      <c r="A767" t="s">
        <v>24</v>
      </c>
      <c r="B767" t="s">
        <v>61</v>
      </c>
      <c r="C767">
        <v>81.83646457093316</v>
      </c>
      <c r="D767">
        <v>4.3133483677409243</v>
      </c>
      <c r="E767">
        <v>4.951751852751241</v>
      </c>
      <c r="F767">
        <v>12.338832113012259</v>
      </c>
      <c r="G767">
        <v>5.9756538021528716</v>
      </c>
      <c r="H767">
        <v>15.88031165445345</v>
      </c>
      <c r="I767">
        <v>32.894682520918813</v>
      </c>
      <c r="J767">
        <v>29.337501212682721</v>
      </c>
      <c r="K767">
        <v>48.327866206343508</v>
      </c>
      <c r="L767">
        <v>-1</v>
      </c>
      <c r="M767" t="s">
        <v>66</v>
      </c>
    </row>
    <row r="768" spans="1:13" x14ac:dyDescent="0.3">
      <c r="A768" t="s">
        <v>25</v>
      </c>
      <c r="B768" t="s">
        <v>62</v>
      </c>
      <c r="C768">
        <v>23.125297564042771</v>
      </c>
      <c r="D768">
        <v>1.0370211979309889</v>
      </c>
      <c r="E768">
        <v>1.1604815181236849</v>
      </c>
      <c r="F768">
        <v>4.7759749577642481</v>
      </c>
      <c r="G768">
        <v>5.4162822014439174</v>
      </c>
      <c r="H768">
        <v>46.155538349371632</v>
      </c>
      <c r="I768">
        <v>20.567704425031099</v>
      </c>
      <c r="J768">
        <v>24.825505694476391</v>
      </c>
      <c r="K768">
        <v>1096.848738857499</v>
      </c>
      <c r="L768">
        <v>0</v>
      </c>
      <c r="M768" t="s">
        <v>66</v>
      </c>
    </row>
    <row r="769" spans="1:13" x14ac:dyDescent="0.3">
      <c r="A769" t="s">
        <v>21</v>
      </c>
      <c r="B769" t="s">
        <v>52</v>
      </c>
      <c r="C769">
        <v>140.90959954779521</v>
      </c>
      <c r="D769">
        <v>6.5589457400616533</v>
      </c>
      <c r="E769">
        <v>8.7868357641829249</v>
      </c>
      <c r="F769">
        <v>21.07846284164776</v>
      </c>
      <c r="G769">
        <v>5.7522949412937132</v>
      </c>
      <c r="H769">
        <v>54.032014965645637</v>
      </c>
      <c r="I769">
        <v>26.59725800888079</v>
      </c>
      <c r="J769">
        <v>24.873312060346631</v>
      </c>
      <c r="K769">
        <v>750.86836576236908</v>
      </c>
      <c r="L769">
        <v>0</v>
      </c>
      <c r="M769" t="s">
        <v>66</v>
      </c>
    </row>
    <row r="770" spans="1:13" x14ac:dyDescent="0.3">
      <c r="A770" t="s">
        <v>15</v>
      </c>
      <c r="B770" t="s">
        <v>33</v>
      </c>
      <c r="C770">
        <v>39.339133262974698</v>
      </c>
      <c r="D770">
        <v>1.7405506272645861</v>
      </c>
      <c r="E770">
        <v>2.3732802766986252</v>
      </c>
      <c r="F770">
        <v>6.6180452669933789</v>
      </c>
      <c r="G770">
        <v>6.148286246588432</v>
      </c>
      <c r="H770">
        <v>35.252098191558133</v>
      </c>
      <c r="I770">
        <v>20.166915161503749</v>
      </c>
      <c r="J770">
        <v>17.919775807523191</v>
      </c>
      <c r="K770">
        <v>1936.105753923038</v>
      </c>
      <c r="L770">
        <v>1</v>
      </c>
      <c r="M770" t="s">
        <v>66</v>
      </c>
    </row>
    <row r="771" spans="1:13" x14ac:dyDescent="0.3">
      <c r="A771" t="s">
        <v>21</v>
      </c>
      <c r="B771" t="s">
        <v>52</v>
      </c>
      <c r="C771">
        <v>20.016348236851389</v>
      </c>
      <c r="D771">
        <v>1.0029778443404771</v>
      </c>
      <c r="E771">
        <v>1.0344998637826619</v>
      </c>
      <c r="F771">
        <v>2.870245729522281</v>
      </c>
      <c r="G771">
        <v>6.215060507546502</v>
      </c>
      <c r="H771">
        <v>50.285406389710332</v>
      </c>
      <c r="I771">
        <v>21.515284381988849</v>
      </c>
      <c r="J771">
        <v>21.004319820900921</v>
      </c>
      <c r="K771">
        <v>1251.7979600523529</v>
      </c>
      <c r="L771">
        <v>1</v>
      </c>
      <c r="M771" t="s">
        <v>66</v>
      </c>
    </row>
    <row r="772" spans="1:13" x14ac:dyDescent="0.3">
      <c r="A772" t="s">
        <v>19</v>
      </c>
      <c r="B772" t="s">
        <v>47</v>
      </c>
      <c r="C772">
        <v>11.130826527595641</v>
      </c>
      <c r="D772">
        <v>4.8749946589323319</v>
      </c>
      <c r="E772">
        <v>6.4515509481600386</v>
      </c>
      <c r="F772">
        <v>20.471380092455739</v>
      </c>
      <c r="G772">
        <v>6.2836846864387033</v>
      </c>
      <c r="H772">
        <v>30.53209545669058</v>
      </c>
      <c r="I772">
        <v>25.04378039508703</v>
      </c>
      <c r="J772">
        <v>26.5557473663522</v>
      </c>
      <c r="K772">
        <v>681.13875281072512</v>
      </c>
      <c r="L772">
        <v>1</v>
      </c>
      <c r="M772" t="s">
        <v>66</v>
      </c>
    </row>
    <row r="773" spans="1:13" x14ac:dyDescent="0.3">
      <c r="A773" t="s">
        <v>19</v>
      </c>
      <c r="B773" t="s">
        <v>47</v>
      </c>
      <c r="C773">
        <v>72.703875944130289</v>
      </c>
      <c r="D773">
        <v>3.283136135325512</v>
      </c>
      <c r="E773">
        <v>4.7276857199283189</v>
      </c>
      <c r="F773">
        <v>13.79985643837508</v>
      </c>
      <c r="G773">
        <v>6.526088419424168</v>
      </c>
      <c r="H773">
        <v>16.21821366195266</v>
      </c>
      <c r="I773">
        <v>25.204693317809529</v>
      </c>
      <c r="J773">
        <v>24.49283322240645</v>
      </c>
      <c r="K773">
        <v>687.20746064214802</v>
      </c>
      <c r="L773">
        <v>1</v>
      </c>
      <c r="M773" t="s">
        <v>66</v>
      </c>
    </row>
    <row r="774" spans="1:13" x14ac:dyDescent="0.3">
      <c r="A774" t="s">
        <v>24</v>
      </c>
      <c r="B774" t="s">
        <v>57</v>
      </c>
      <c r="C774">
        <v>11.576619963197979</v>
      </c>
      <c r="D774">
        <v>0</v>
      </c>
      <c r="E774">
        <v>0</v>
      </c>
      <c r="F774">
        <v>1.013938809524243</v>
      </c>
      <c r="G774">
        <v>6.3897506926259018</v>
      </c>
      <c r="H774">
        <v>15.43356426390657</v>
      </c>
      <c r="I774">
        <v>22.312552855340119</v>
      </c>
      <c r="J774">
        <v>20.469378139621899</v>
      </c>
      <c r="K774">
        <v>1570.8040182746511</v>
      </c>
      <c r="L774">
        <v>1</v>
      </c>
      <c r="M774" t="s">
        <v>66</v>
      </c>
    </row>
    <row r="775" spans="1:13" x14ac:dyDescent="0.3">
      <c r="A775" t="s">
        <v>18</v>
      </c>
      <c r="B775" t="s">
        <v>41</v>
      </c>
      <c r="C775">
        <v>11.754291467791729</v>
      </c>
      <c r="D775">
        <v>0</v>
      </c>
      <c r="E775">
        <v>0</v>
      </c>
      <c r="F775">
        <v>0.84779394937360841</v>
      </c>
      <c r="G775">
        <v>6.0904739121804354</v>
      </c>
      <c r="H775">
        <v>17.80596141435819</v>
      </c>
      <c r="I775">
        <v>18.840412735827631</v>
      </c>
      <c r="J775">
        <v>19.176372826656898</v>
      </c>
      <c r="K775">
        <v>1881.199159285597</v>
      </c>
      <c r="L775">
        <v>1</v>
      </c>
      <c r="M775" t="s">
        <v>66</v>
      </c>
    </row>
    <row r="776" spans="1:13" x14ac:dyDescent="0.3">
      <c r="A776" t="s">
        <v>16</v>
      </c>
      <c r="B776" t="s">
        <v>36</v>
      </c>
      <c r="C776">
        <v>56.868104918842228</v>
      </c>
      <c r="D776">
        <v>2.0455317674214042</v>
      </c>
      <c r="E776">
        <v>3.1410408893770159</v>
      </c>
      <c r="F776">
        <v>7.6937984030759017</v>
      </c>
      <c r="G776">
        <v>5.018279461478393</v>
      </c>
      <c r="H776">
        <v>33.79731006138045</v>
      </c>
      <c r="I776">
        <v>22.71635938496695</v>
      </c>
      <c r="J776">
        <v>25.482257271056369</v>
      </c>
      <c r="K776">
        <v>1970.73606732178</v>
      </c>
      <c r="L776">
        <v>1</v>
      </c>
      <c r="M776" t="s">
        <v>66</v>
      </c>
    </row>
    <row r="777" spans="1:13" x14ac:dyDescent="0.3">
      <c r="A777" t="s">
        <v>20</v>
      </c>
      <c r="B777" t="s">
        <v>49</v>
      </c>
      <c r="C777">
        <v>86.948299808899989</v>
      </c>
      <c r="D777">
        <v>3.6564113743965621</v>
      </c>
      <c r="E777">
        <v>6.0534848458135047</v>
      </c>
      <c r="F777">
        <v>13.25740097665328</v>
      </c>
      <c r="G777">
        <v>5.4712463988753246</v>
      </c>
      <c r="H777">
        <v>28.922836025152431</v>
      </c>
      <c r="I777">
        <v>20.417715437165551</v>
      </c>
      <c r="J777">
        <v>21.344259241408871</v>
      </c>
      <c r="K777">
        <v>1739.5169879265279</v>
      </c>
      <c r="L777">
        <v>1</v>
      </c>
      <c r="M777" t="s">
        <v>66</v>
      </c>
    </row>
    <row r="778" spans="1:13" x14ac:dyDescent="0.3">
      <c r="A778" t="s">
        <v>17</v>
      </c>
      <c r="B778" t="s">
        <v>39</v>
      </c>
      <c r="C778">
        <v>13.39869090295724</v>
      </c>
      <c r="D778">
        <v>0</v>
      </c>
      <c r="E778">
        <v>0</v>
      </c>
      <c r="F778">
        <v>2.3023442885576659</v>
      </c>
      <c r="G778">
        <v>5.055585875565586</v>
      </c>
      <c r="H778">
        <v>23.728459855931479</v>
      </c>
      <c r="I778">
        <v>21.45217374598932</v>
      </c>
      <c r="J778">
        <v>21.59757951656961</v>
      </c>
      <c r="K778">
        <v>2083.6491991395569</v>
      </c>
      <c r="L778">
        <v>1</v>
      </c>
      <c r="M778" t="s">
        <v>66</v>
      </c>
    </row>
    <row r="779" spans="1:13" x14ac:dyDescent="0.3">
      <c r="A779" t="s">
        <v>25</v>
      </c>
      <c r="B779" t="s">
        <v>62</v>
      </c>
      <c r="C779">
        <v>93.617126757915443</v>
      </c>
      <c r="D779">
        <v>3.931432347085245</v>
      </c>
      <c r="E779">
        <v>6.7716637157794679</v>
      </c>
      <c r="F779">
        <v>13.353782352989731</v>
      </c>
      <c r="G779">
        <v>6.9422872931214137</v>
      </c>
      <c r="H779">
        <v>13.93511351416387</v>
      </c>
      <c r="I779">
        <v>33.79122664343798</v>
      </c>
      <c r="J779">
        <v>31.816264120346951</v>
      </c>
      <c r="K779">
        <v>46.667107489180133</v>
      </c>
      <c r="L779">
        <v>-1</v>
      </c>
      <c r="M779" t="s">
        <v>66</v>
      </c>
    </row>
    <row r="780" spans="1:13" x14ac:dyDescent="0.3">
      <c r="A780" t="s">
        <v>24</v>
      </c>
      <c r="B780" t="s">
        <v>59</v>
      </c>
      <c r="C780">
        <v>327.74125621281439</v>
      </c>
      <c r="D780">
        <v>16.50535347393058</v>
      </c>
      <c r="E780">
        <v>21.788682546585509</v>
      </c>
      <c r="F780">
        <v>57.334668867298639</v>
      </c>
      <c r="G780">
        <v>5.2546097863685963</v>
      </c>
      <c r="H780">
        <v>73.67194949650343</v>
      </c>
      <c r="I780">
        <v>31.560695458522162</v>
      </c>
      <c r="J780">
        <v>32.343116314264023</v>
      </c>
      <c r="K780">
        <v>11</v>
      </c>
      <c r="L780">
        <v>-1</v>
      </c>
      <c r="M780" t="s">
        <v>66</v>
      </c>
    </row>
    <row r="781" spans="1:13" x14ac:dyDescent="0.3">
      <c r="A781" t="s">
        <v>25</v>
      </c>
      <c r="B781" t="s">
        <v>62</v>
      </c>
      <c r="C781">
        <v>255.30517233104931</v>
      </c>
      <c r="D781">
        <v>18.85268555008232</v>
      </c>
      <c r="E781">
        <v>30.6946243382279</v>
      </c>
      <c r="F781">
        <v>71.403755831689551</v>
      </c>
      <c r="G781">
        <v>4.3</v>
      </c>
      <c r="H781">
        <v>73.644449385110519</v>
      </c>
      <c r="I781">
        <v>31.12051866065859</v>
      </c>
      <c r="J781">
        <v>24.045492842003469</v>
      </c>
      <c r="K781">
        <v>700.76592827865284</v>
      </c>
      <c r="L781">
        <v>0</v>
      </c>
      <c r="M781" t="s">
        <v>66</v>
      </c>
    </row>
    <row r="782" spans="1:13" x14ac:dyDescent="0.3">
      <c r="A782" t="s">
        <v>25</v>
      </c>
      <c r="B782" t="s">
        <v>62</v>
      </c>
      <c r="C782">
        <v>29.22537103438</v>
      </c>
      <c r="D782">
        <v>0.99818774703437851</v>
      </c>
      <c r="E782">
        <v>2.020141858953671</v>
      </c>
      <c r="F782">
        <v>4.9316088184621272</v>
      </c>
      <c r="G782">
        <v>6.3745434262503604</v>
      </c>
      <c r="H782">
        <v>40.166522443942839</v>
      </c>
      <c r="I782">
        <v>19.936818368266682</v>
      </c>
      <c r="J782">
        <v>24.02004739909167</v>
      </c>
      <c r="K782">
        <v>1081.2695745226099</v>
      </c>
      <c r="L782">
        <v>0</v>
      </c>
      <c r="M782" t="s">
        <v>66</v>
      </c>
    </row>
    <row r="783" spans="1:13" x14ac:dyDescent="0.3">
      <c r="A783" t="s">
        <v>24</v>
      </c>
      <c r="B783" t="s">
        <v>58</v>
      </c>
      <c r="C783">
        <v>36.081760157129501</v>
      </c>
      <c r="D783">
        <v>1.155912752397253</v>
      </c>
      <c r="E783">
        <v>2.4964796599554582</v>
      </c>
      <c r="F783">
        <v>5.8576978321897428</v>
      </c>
      <c r="G783">
        <v>6.8252835201806246</v>
      </c>
      <c r="H783">
        <v>54.247299217802457</v>
      </c>
      <c r="I783">
        <v>24.775325746121499</v>
      </c>
      <c r="J783">
        <v>23.520704183113558</v>
      </c>
      <c r="K783">
        <v>758.25143364922576</v>
      </c>
      <c r="L783">
        <v>0</v>
      </c>
      <c r="M783" t="s">
        <v>66</v>
      </c>
    </row>
    <row r="784" spans="1:13" x14ac:dyDescent="0.3">
      <c r="A784" t="s">
        <v>18</v>
      </c>
      <c r="B784" t="s">
        <v>40</v>
      </c>
      <c r="C784">
        <v>121.7448240447731</v>
      </c>
      <c r="D784">
        <v>6.4404969826873231</v>
      </c>
      <c r="E784">
        <v>8.9197840437949321</v>
      </c>
      <c r="F784">
        <v>22.46040189861672</v>
      </c>
      <c r="G784">
        <v>4.8075473300915386</v>
      </c>
      <c r="H784">
        <v>55.640332850558799</v>
      </c>
      <c r="I784">
        <v>20.381665731311891</v>
      </c>
      <c r="J784">
        <v>21.674084056403249</v>
      </c>
      <c r="K784">
        <v>1652.0006035539591</v>
      </c>
      <c r="L784">
        <v>1</v>
      </c>
      <c r="M784" t="s">
        <v>66</v>
      </c>
    </row>
    <row r="785" spans="1:13" x14ac:dyDescent="0.3">
      <c r="A785" t="s">
        <v>17</v>
      </c>
      <c r="B785" t="s">
        <v>39</v>
      </c>
      <c r="C785">
        <v>798.99585646801154</v>
      </c>
      <c r="D785">
        <v>46.345922365217113</v>
      </c>
      <c r="E785">
        <v>64.40726656953322</v>
      </c>
      <c r="F785">
        <v>139.68260891702809</v>
      </c>
      <c r="G785">
        <v>5.3927860380056813</v>
      </c>
      <c r="H785">
        <v>49.152124339128733</v>
      </c>
      <c r="I785">
        <v>19.339615991049548</v>
      </c>
      <c r="J785">
        <v>22.144881633770851</v>
      </c>
      <c r="K785">
        <v>1474.7078729354789</v>
      </c>
      <c r="L785">
        <v>1</v>
      </c>
      <c r="M785" t="s">
        <v>66</v>
      </c>
    </row>
    <row r="786" spans="1:13" x14ac:dyDescent="0.3">
      <c r="A786" t="s">
        <v>23</v>
      </c>
      <c r="B786" t="s">
        <v>56</v>
      </c>
      <c r="C786">
        <v>79.333003145218967</v>
      </c>
      <c r="D786">
        <v>3.1844236772450079</v>
      </c>
      <c r="E786">
        <v>5.3863117229042068</v>
      </c>
      <c r="F786">
        <v>13.75339425962604</v>
      </c>
      <c r="G786">
        <v>6.1795542356938036</v>
      </c>
      <c r="H786">
        <v>21.80522990910627</v>
      </c>
      <c r="I786">
        <v>20.085509680508931</v>
      </c>
      <c r="J786">
        <v>18.089369964068229</v>
      </c>
      <c r="K786">
        <v>1611.626993013225</v>
      </c>
      <c r="L786">
        <v>1</v>
      </c>
      <c r="M786" t="s">
        <v>66</v>
      </c>
    </row>
    <row r="787" spans="1:13" x14ac:dyDescent="0.3">
      <c r="A787" t="s">
        <v>19</v>
      </c>
      <c r="B787" t="s">
        <v>45</v>
      </c>
      <c r="C787">
        <v>58.545070032050333</v>
      </c>
      <c r="D787">
        <v>2.0525228017634651</v>
      </c>
      <c r="E787">
        <v>2.8809802699769369</v>
      </c>
      <c r="F787">
        <v>8.9894413104975825</v>
      </c>
      <c r="G787">
        <v>5.9907093383527306</v>
      </c>
      <c r="H787">
        <v>41.228946433590338</v>
      </c>
      <c r="I787">
        <v>25.992095916778268</v>
      </c>
      <c r="J787">
        <v>28.344619389057769</v>
      </c>
      <c r="K787">
        <v>1533.3737174843241</v>
      </c>
      <c r="L787">
        <v>1</v>
      </c>
      <c r="M787" t="s">
        <v>66</v>
      </c>
    </row>
    <row r="788" spans="1:13" x14ac:dyDescent="0.3">
      <c r="A788" t="s">
        <v>21</v>
      </c>
      <c r="B788" t="s">
        <v>52</v>
      </c>
      <c r="C788">
        <v>73.476523215833765</v>
      </c>
      <c r="D788">
        <v>3.1393047862356331</v>
      </c>
      <c r="E788">
        <v>3.9544399399628491</v>
      </c>
      <c r="F788">
        <v>9.2473277304682266</v>
      </c>
      <c r="G788">
        <v>5.7054078606607934</v>
      </c>
      <c r="H788">
        <v>31.068846340611021</v>
      </c>
      <c r="I788">
        <v>20.623368464865479</v>
      </c>
      <c r="J788">
        <v>19.257199361857431</v>
      </c>
      <c r="K788">
        <v>1528.8921187351609</v>
      </c>
      <c r="L788">
        <v>1</v>
      </c>
      <c r="M788" t="s">
        <v>66</v>
      </c>
    </row>
    <row r="789" spans="1:13" x14ac:dyDescent="0.3">
      <c r="A789" t="s">
        <v>18</v>
      </c>
      <c r="B789" t="s">
        <v>41</v>
      </c>
      <c r="C789">
        <v>118.1716134916511</v>
      </c>
      <c r="D789">
        <v>6.115949606821995</v>
      </c>
      <c r="E789">
        <v>8.1466551585567668</v>
      </c>
      <c r="F789">
        <v>19.798553716301811</v>
      </c>
      <c r="G789">
        <v>4.304527288444679</v>
      </c>
      <c r="H789">
        <v>52.974767913659107</v>
      </c>
      <c r="I789">
        <v>20.329864611650969</v>
      </c>
      <c r="J789">
        <v>21.2528909047371</v>
      </c>
      <c r="K789">
        <v>1638.1437751588901</v>
      </c>
      <c r="L789">
        <v>1</v>
      </c>
      <c r="M789" t="s">
        <v>66</v>
      </c>
    </row>
    <row r="790" spans="1:13" x14ac:dyDescent="0.3">
      <c r="A790" t="s">
        <v>24</v>
      </c>
      <c r="B790" t="s">
        <v>61</v>
      </c>
      <c r="C790">
        <v>123.7330585589978</v>
      </c>
      <c r="D790">
        <v>5.7113664601281142</v>
      </c>
      <c r="E790">
        <v>8.0831027011679559</v>
      </c>
      <c r="F790">
        <v>21.453181911170908</v>
      </c>
      <c r="G790">
        <v>6.1124727427316676</v>
      </c>
      <c r="H790">
        <v>21.254514488596769</v>
      </c>
      <c r="I790">
        <v>30.89391842153481</v>
      </c>
      <c r="J790">
        <v>30.94369779536223</v>
      </c>
      <c r="K790">
        <v>48.199579752602183</v>
      </c>
      <c r="L790">
        <v>-1</v>
      </c>
      <c r="M790" t="s">
        <v>66</v>
      </c>
    </row>
    <row r="791" spans="1:13" x14ac:dyDescent="0.3">
      <c r="A791" t="s">
        <v>15</v>
      </c>
      <c r="B791" t="s">
        <v>33</v>
      </c>
      <c r="C791">
        <v>86.381320308896449</v>
      </c>
      <c r="D791">
        <v>4.510556506013252</v>
      </c>
      <c r="E791">
        <v>6.1163543977201353</v>
      </c>
      <c r="F791">
        <v>13.586574584968281</v>
      </c>
      <c r="G791">
        <v>6.7748794324580066</v>
      </c>
      <c r="H791">
        <v>35.372111948754402</v>
      </c>
      <c r="I791">
        <v>18.080547679836499</v>
      </c>
      <c r="J791">
        <v>17.774840503133941</v>
      </c>
      <c r="K791">
        <v>1969.581887886357</v>
      </c>
      <c r="L791">
        <v>1</v>
      </c>
      <c r="M791" t="s">
        <v>66</v>
      </c>
    </row>
    <row r="792" spans="1:13" x14ac:dyDescent="0.3">
      <c r="A792" t="s">
        <v>18</v>
      </c>
      <c r="B792" t="s">
        <v>42</v>
      </c>
      <c r="C792">
        <v>33.467424829617357</v>
      </c>
      <c r="D792">
        <v>0.99470679316301602</v>
      </c>
      <c r="E792">
        <v>1.856551388565546</v>
      </c>
      <c r="F792">
        <v>5.2466779941256583</v>
      </c>
      <c r="G792">
        <v>5.505308804945539</v>
      </c>
      <c r="H792">
        <v>27.274745504694</v>
      </c>
      <c r="I792">
        <v>18.629558754577641</v>
      </c>
      <c r="J792">
        <v>27.29258709670923</v>
      </c>
      <c r="K792">
        <v>1856.675551216706</v>
      </c>
      <c r="L792">
        <v>1</v>
      </c>
      <c r="M792" t="s">
        <v>66</v>
      </c>
    </row>
    <row r="793" spans="1:13" x14ac:dyDescent="0.3">
      <c r="A793" t="s">
        <v>16</v>
      </c>
      <c r="B793" t="s">
        <v>36</v>
      </c>
      <c r="C793">
        <v>9.8309176840831896</v>
      </c>
      <c r="D793">
        <v>0</v>
      </c>
      <c r="E793">
        <v>0</v>
      </c>
      <c r="F793">
        <v>0.97772183865745532</v>
      </c>
      <c r="G793">
        <v>6.0838902775778392</v>
      </c>
      <c r="H793">
        <v>27.791610586628359</v>
      </c>
      <c r="I793">
        <v>15.9267347571502</v>
      </c>
      <c r="J793">
        <v>24.430900231971389</v>
      </c>
      <c r="K793">
        <v>1476.405413947459</v>
      </c>
      <c r="L793">
        <v>1</v>
      </c>
      <c r="M793" t="s">
        <v>66</v>
      </c>
    </row>
    <row r="794" spans="1:13" x14ac:dyDescent="0.3">
      <c r="A794" t="s">
        <v>20</v>
      </c>
      <c r="B794" t="s">
        <v>51</v>
      </c>
      <c r="C794">
        <v>46.650317685594999</v>
      </c>
      <c r="D794">
        <v>2.507430767648573</v>
      </c>
      <c r="E794">
        <v>2.9953498682891109</v>
      </c>
      <c r="F794">
        <v>6.753752361508937</v>
      </c>
      <c r="G794">
        <v>6.0084797486546364</v>
      </c>
      <c r="H794">
        <v>23.130304967851419</v>
      </c>
      <c r="I794">
        <v>22.07836730415622</v>
      </c>
      <c r="J794">
        <v>21.235279925161521</v>
      </c>
      <c r="K794">
        <v>1582.070878701219</v>
      </c>
      <c r="L794">
        <v>1</v>
      </c>
      <c r="M794" t="s">
        <v>66</v>
      </c>
    </row>
    <row r="795" spans="1:13" x14ac:dyDescent="0.3">
      <c r="A795" t="s">
        <v>15</v>
      </c>
      <c r="B795" t="s">
        <v>32</v>
      </c>
      <c r="C795">
        <v>7.2622581161173088</v>
      </c>
      <c r="D795">
        <v>0</v>
      </c>
      <c r="E795">
        <v>0</v>
      </c>
      <c r="F795">
        <v>1.0513301839288189</v>
      </c>
      <c r="G795">
        <v>6.50026018225015</v>
      </c>
      <c r="H795">
        <v>27.14117894828615</v>
      </c>
      <c r="I795">
        <v>22.536887170877019</v>
      </c>
      <c r="J795">
        <v>18.533652174741238</v>
      </c>
      <c r="K795">
        <v>1675.92676726841</v>
      </c>
      <c r="L795">
        <v>1</v>
      </c>
      <c r="M795" t="s">
        <v>66</v>
      </c>
    </row>
    <row r="796" spans="1:13" x14ac:dyDescent="0.3">
      <c r="A796" t="s">
        <v>21</v>
      </c>
      <c r="B796" t="s">
        <v>52</v>
      </c>
      <c r="C796">
        <v>19.41919526313383</v>
      </c>
      <c r="D796">
        <v>1.1852420033342139</v>
      </c>
      <c r="E796">
        <v>0.81705828286879711</v>
      </c>
      <c r="F796">
        <v>3.1944817969455168</v>
      </c>
      <c r="G796">
        <v>6.2383995530405754</v>
      </c>
      <c r="H796">
        <v>24.582194535979241</v>
      </c>
      <c r="I796">
        <v>25.77643997462987</v>
      </c>
      <c r="J796">
        <v>22.86826344878499</v>
      </c>
      <c r="K796">
        <v>1188.205532649504</v>
      </c>
      <c r="L796">
        <v>1</v>
      </c>
      <c r="M796" t="s">
        <v>66</v>
      </c>
    </row>
    <row r="797" spans="1:13" x14ac:dyDescent="0.3">
      <c r="A797" t="s">
        <v>16</v>
      </c>
      <c r="B797" t="s">
        <v>38</v>
      </c>
      <c r="C797">
        <v>960</v>
      </c>
      <c r="D797">
        <v>44.508196557522488</v>
      </c>
      <c r="E797">
        <v>51.693841195514928</v>
      </c>
      <c r="F797">
        <v>151.14916912340331</v>
      </c>
      <c r="G797">
        <v>5.1935964680661257</v>
      </c>
      <c r="H797">
        <v>27.031083688680141</v>
      </c>
      <c r="I797">
        <v>20.102271390159071</v>
      </c>
      <c r="J797">
        <v>22.56907862844864</v>
      </c>
      <c r="K797">
        <v>1454.1452944448181</v>
      </c>
      <c r="L797">
        <v>1</v>
      </c>
      <c r="M797" t="s">
        <v>66</v>
      </c>
    </row>
    <row r="798" spans="1:13" x14ac:dyDescent="0.3">
      <c r="A798" t="s">
        <v>21</v>
      </c>
      <c r="B798" t="s">
        <v>52</v>
      </c>
      <c r="C798">
        <v>32.962411810418182</v>
      </c>
      <c r="D798">
        <v>0.99595039183097667</v>
      </c>
      <c r="E798">
        <v>2.1738947192818028</v>
      </c>
      <c r="F798">
        <v>4.731013865265675</v>
      </c>
      <c r="G798">
        <v>5.9968227511546717</v>
      </c>
      <c r="H798">
        <v>22.994100537738891</v>
      </c>
      <c r="I798">
        <v>27.07901577226972</v>
      </c>
      <c r="J798">
        <v>21.287162665995339</v>
      </c>
      <c r="K798">
        <v>1207.350740269728</v>
      </c>
      <c r="L798">
        <v>1</v>
      </c>
      <c r="M798" t="s">
        <v>66</v>
      </c>
    </row>
    <row r="799" spans="1:13" x14ac:dyDescent="0.3">
      <c r="A799" t="s">
        <v>19</v>
      </c>
      <c r="B799" t="s">
        <v>44</v>
      </c>
      <c r="C799">
        <v>39.787615327871357</v>
      </c>
      <c r="D799">
        <v>0.98701442314434118</v>
      </c>
      <c r="E799">
        <v>1.863909551127249</v>
      </c>
      <c r="F799">
        <v>4.1952870221649743</v>
      </c>
      <c r="G799">
        <v>5.4412353415003523</v>
      </c>
      <c r="H799">
        <v>36.586698760987318</v>
      </c>
      <c r="I799">
        <v>26.111417556378601</v>
      </c>
      <c r="J799">
        <v>19.87479695388279</v>
      </c>
      <c r="K799">
        <v>2038.3297010520471</v>
      </c>
      <c r="L799">
        <v>1</v>
      </c>
      <c r="M799" t="s">
        <v>66</v>
      </c>
    </row>
    <row r="800" spans="1:13" x14ac:dyDescent="0.3">
      <c r="A800" t="s">
        <v>24</v>
      </c>
      <c r="B800" t="s">
        <v>60</v>
      </c>
      <c r="C800">
        <v>588.29246420052289</v>
      </c>
      <c r="D800">
        <v>30.068862998952731</v>
      </c>
      <c r="E800">
        <v>38.376984375473903</v>
      </c>
      <c r="F800">
        <v>107.3335869640502</v>
      </c>
      <c r="G800">
        <v>6.059910943785332</v>
      </c>
      <c r="H800">
        <v>83.380925960800667</v>
      </c>
      <c r="I800">
        <v>31.54568390472825</v>
      </c>
      <c r="J800">
        <v>30.628241917988941</v>
      </c>
      <c r="K800">
        <v>11</v>
      </c>
      <c r="L800">
        <v>-1</v>
      </c>
      <c r="M800" t="s">
        <v>66</v>
      </c>
    </row>
    <row r="801" spans="1:13" x14ac:dyDescent="0.3">
      <c r="A801" t="s">
        <v>15</v>
      </c>
      <c r="B801" t="s">
        <v>33</v>
      </c>
      <c r="C801">
        <v>73.5660288471244</v>
      </c>
      <c r="D801">
        <v>2.805827651683567</v>
      </c>
      <c r="E801">
        <v>6.1195059662232456</v>
      </c>
      <c r="F801">
        <v>14.664924708611601</v>
      </c>
      <c r="G801">
        <v>5.3413602591859393</v>
      </c>
      <c r="H801">
        <v>33.439578013624192</v>
      </c>
      <c r="I801">
        <v>17.991063048452389</v>
      </c>
      <c r="J801">
        <v>18.2945613508608</v>
      </c>
      <c r="K801">
        <v>1917.282791686079</v>
      </c>
      <c r="L801">
        <v>1</v>
      </c>
      <c r="M801" t="s">
        <v>66</v>
      </c>
    </row>
    <row r="802" spans="1:13" x14ac:dyDescent="0.3">
      <c r="A802" t="s">
        <v>19</v>
      </c>
      <c r="B802" t="s">
        <v>46</v>
      </c>
      <c r="C802">
        <v>86.470179309580644</v>
      </c>
      <c r="D802">
        <v>3.9961415162276248</v>
      </c>
      <c r="E802">
        <v>5.2419292345665012</v>
      </c>
      <c r="F802">
        <v>10.5747932222472</v>
      </c>
      <c r="G802">
        <v>5.8139348673266626</v>
      </c>
      <c r="H802">
        <v>31.217448051132209</v>
      </c>
      <c r="I802">
        <v>25.201897181617401</v>
      </c>
      <c r="J802">
        <v>26.348585739213309</v>
      </c>
      <c r="K802">
        <v>1411.622797091693</v>
      </c>
      <c r="L802">
        <v>1</v>
      </c>
      <c r="M802" t="s">
        <v>66</v>
      </c>
    </row>
    <row r="803" spans="1:13" x14ac:dyDescent="0.3">
      <c r="A803" t="s">
        <v>16</v>
      </c>
      <c r="B803" t="s">
        <v>35</v>
      </c>
      <c r="C803">
        <v>65.541222713643606</v>
      </c>
      <c r="D803">
        <v>2.9855223389481349</v>
      </c>
      <c r="E803">
        <v>3.831080624770264</v>
      </c>
      <c r="F803">
        <v>9.3529031749946601</v>
      </c>
      <c r="G803">
        <v>6.1782862816016308</v>
      </c>
      <c r="H803">
        <v>36.717764964594217</v>
      </c>
      <c r="I803">
        <v>19.904925346913561</v>
      </c>
      <c r="J803">
        <v>28.667019377423561</v>
      </c>
      <c r="K803">
        <v>2057.055994852481</v>
      </c>
      <c r="L803">
        <v>1</v>
      </c>
      <c r="M803" t="s">
        <v>66</v>
      </c>
    </row>
    <row r="804" spans="1:13" x14ac:dyDescent="0.3">
      <c r="A804" t="s">
        <v>18</v>
      </c>
      <c r="B804" t="s">
        <v>43</v>
      </c>
      <c r="C804">
        <v>27.31151414838925</v>
      </c>
      <c r="D804">
        <v>0.96335207577368287</v>
      </c>
      <c r="E804">
        <v>1.0077175685113109</v>
      </c>
      <c r="F804">
        <v>3.740256864711581</v>
      </c>
      <c r="G804">
        <v>6.1919666880249604</v>
      </c>
      <c r="H804">
        <v>25.846391563253889</v>
      </c>
      <c r="I804">
        <v>24.87112731500152</v>
      </c>
      <c r="J804">
        <v>19.553741312448679</v>
      </c>
      <c r="K804">
        <v>1825.5783062272999</v>
      </c>
      <c r="L804">
        <v>1</v>
      </c>
      <c r="M804" t="s">
        <v>66</v>
      </c>
    </row>
    <row r="805" spans="1:13" x14ac:dyDescent="0.3">
      <c r="A805" t="s">
        <v>19</v>
      </c>
      <c r="B805" t="s">
        <v>46</v>
      </c>
      <c r="C805">
        <v>23.537183691726408</v>
      </c>
      <c r="D805">
        <v>1.1025095368867039</v>
      </c>
      <c r="E805">
        <v>0.98421052243317853</v>
      </c>
      <c r="F805">
        <v>3.4234407075105531</v>
      </c>
      <c r="G805">
        <v>6.1064337815095016</v>
      </c>
      <c r="H805">
        <v>30.1674880065286</v>
      </c>
      <c r="I805">
        <v>25.72431725256871</v>
      </c>
      <c r="J805">
        <v>25.365313157351071</v>
      </c>
      <c r="K805">
        <v>1373.363887091434</v>
      </c>
      <c r="L805">
        <v>1</v>
      </c>
      <c r="M805" t="s">
        <v>66</v>
      </c>
    </row>
    <row r="806" spans="1:13" x14ac:dyDescent="0.3">
      <c r="A806" t="s">
        <v>18</v>
      </c>
      <c r="B806" t="s">
        <v>41</v>
      </c>
      <c r="C806">
        <v>6.1241400406284896</v>
      </c>
      <c r="D806">
        <v>0</v>
      </c>
      <c r="E806">
        <v>0</v>
      </c>
      <c r="F806">
        <v>-1.7763568394002501E-15</v>
      </c>
      <c r="G806">
        <v>6.2083090835156192</v>
      </c>
      <c r="H806">
        <v>22.420147410318471</v>
      </c>
      <c r="I806">
        <v>27.605073948442929</v>
      </c>
      <c r="J806">
        <v>34.5</v>
      </c>
      <c r="K806">
        <v>1805.6339109963151</v>
      </c>
      <c r="L806">
        <v>1</v>
      </c>
      <c r="M806" t="s">
        <v>66</v>
      </c>
    </row>
    <row r="807" spans="1:13" x14ac:dyDescent="0.3">
      <c r="A807" t="s">
        <v>16</v>
      </c>
      <c r="B807" t="s">
        <v>36</v>
      </c>
      <c r="C807">
        <v>16.426179736057112</v>
      </c>
      <c r="D807">
        <v>0</v>
      </c>
      <c r="E807">
        <v>0.77348952613785737</v>
      </c>
      <c r="F807">
        <v>2.0758299063127459</v>
      </c>
      <c r="G807">
        <v>5.5275365021885046</v>
      </c>
      <c r="H807">
        <v>29.843812862674788</v>
      </c>
      <c r="I807">
        <v>22.802094449309639</v>
      </c>
      <c r="J807">
        <v>27.390586266261991</v>
      </c>
      <c r="K807">
        <v>2057.700320661816</v>
      </c>
      <c r="L807">
        <v>1</v>
      </c>
      <c r="M807" t="s">
        <v>66</v>
      </c>
    </row>
    <row r="808" spans="1:13" x14ac:dyDescent="0.3">
      <c r="A808" t="s">
        <v>25</v>
      </c>
      <c r="B808" t="s">
        <v>62</v>
      </c>
      <c r="C808">
        <v>241.0146534096661</v>
      </c>
      <c r="D808">
        <v>19.497794776808309</v>
      </c>
      <c r="E808">
        <v>28.15196111632536</v>
      </c>
      <c r="F808">
        <v>66.936976564922617</v>
      </c>
      <c r="G808">
        <v>4.4780144498789172</v>
      </c>
      <c r="H808">
        <v>82.654514613614793</v>
      </c>
      <c r="I808">
        <v>30.6776953697862</v>
      </c>
      <c r="J808">
        <v>23.84065073766007</v>
      </c>
      <c r="K808">
        <v>724.45146616229545</v>
      </c>
      <c r="L808">
        <v>0</v>
      </c>
      <c r="M808" t="s">
        <v>66</v>
      </c>
    </row>
    <row r="809" spans="1:13" x14ac:dyDescent="0.3">
      <c r="A809" t="s">
        <v>19</v>
      </c>
      <c r="B809" t="s">
        <v>48</v>
      </c>
      <c r="C809">
        <v>66.080126452420899</v>
      </c>
      <c r="D809">
        <v>2.6634190443264218</v>
      </c>
      <c r="E809">
        <v>3.7776551942026901</v>
      </c>
      <c r="F809">
        <v>8.7475904124506325</v>
      </c>
      <c r="G809">
        <v>6.3838413269261967</v>
      </c>
      <c r="H809">
        <v>18.566462952849431</v>
      </c>
      <c r="I809">
        <v>32.5724161174521</v>
      </c>
      <c r="J809">
        <v>26.10443965803011</v>
      </c>
      <c r="K809">
        <v>1182.052659089097</v>
      </c>
      <c r="L809">
        <v>0</v>
      </c>
      <c r="M809" t="s">
        <v>66</v>
      </c>
    </row>
    <row r="810" spans="1:13" x14ac:dyDescent="0.3">
      <c r="A810" t="s">
        <v>20</v>
      </c>
      <c r="B810" t="s">
        <v>50</v>
      </c>
      <c r="C810">
        <v>50.228596171403822</v>
      </c>
      <c r="D810">
        <v>1.7249889320218941</v>
      </c>
      <c r="E810">
        <v>2.980679424086643</v>
      </c>
      <c r="F810">
        <v>6.4076220139217632</v>
      </c>
      <c r="G810">
        <v>5.9885336522589503</v>
      </c>
      <c r="H810">
        <v>40.482692253437023</v>
      </c>
      <c r="I810">
        <v>23.178029072768371</v>
      </c>
      <c r="J810">
        <v>22.910025844228588</v>
      </c>
      <c r="K810">
        <v>1668.5834124935291</v>
      </c>
      <c r="L810">
        <v>1</v>
      </c>
      <c r="M810" t="s">
        <v>66</v>
      </c>
    </row>
    <row r="811" spans="1:13" x14ac:dyDescent="0.3">
      <c r="A811" t="s">
        <v>20</v>
      </c>
      <c r="B811" t="s">
        <v>49</v>
      </c>
      <c r="C811">
        <v>37.010130498970163</v>
      </c>
      <c r="D811">
        <v>1.1260554154506091</v>
      </c>
      <c r="E811">
        <v>1.6664313929135059</v>
      </c>
      <c r="F811">
        <v>7.3088144603553982</v>
      </c>
      <c r="G811">
        <v>6.0941371286530526</v>
      </c>
      <c r="H811">
        <v>16.465355376438112</v>
      </c>
      <c r="I811">
        <v>30.523695986456062</v>
      </c>
      <c r="J811">
        <v>25.95719764890908</v>
      </c>
      <c r="K811">
        <v>1185.8383898417501</v>
      </c>
      <c r="L811">
        <v>0</v>
      </c>
      <c r="M811" t="s">
        <v>66</v>
      </c>
    </row>
    <row r="812" spans="1:13" x14ac:dyDescent="0.3">
      <c r="A812" t="s">
        <v>22</v>
      </c>
      <c r="B812" t="s">
        <v>53</v>
      </c>
      <c r="C812">
        <v>34.745871059522138</v>
      </c>
      <c r="D812">
        <v>0.92445537317482218</v>
      </c>
      <c r="E812">
        <v>1.6878438773532469</v>
      </c>
      <c r="F812">
        <v>5.1724632182706713</v>
      </c>
      <c r="G812">
        <v>5.8814401587273917</v>
      </c>
      <c r="H812">
        <v>22.561659420956008</v>
      </c>
      <c r="I812">
        <v>24.681017462174211</v>
      </c>
      <c r="J812">
        <v>19.525391664746241</v>
      </c>
      <c r="K812">
        <v>1246.241438153103</v>
      </c>
      <c r="L812">
        <v>1</v>
      </c>
      <c r="M812" t="s">
        <v>66</v>
      </c>
    </row>
    <row r="813" spans="1:13" x14ac:dyDescent="0.3">
      <c r="A813" t="s">
        <v>24</v>
      </c>
      <c r="B813" t="s">
        <v>61</v>
      </c>
      <c r="C813">
        <v>356.5864865823952</v>
      </c>
      <c r="D813">
        <v>15.96384861104465</v>
      </c>
      <c r="E813">
        <v>27.53458733892024</v>
      </c>
      <c r="F813">
        <v>51.150047677650058</v>
      </c>
      <c r="G813">
        <v>4.5683090678363616</v>
      </c>
      <c r="H813">
        <v>57.471746259342403</v>
      </c>
      <c r="I813">
        <v>29.464209754480631</v>
      </c>
      <c r="J813">
        <v>32.167980112248017</v>
      </c>
      <c r="K813">
        <v>14.059088731546129</v>
      </c>
      <c r="L813">
        <v>-1</v>
      </c>
      <c r="M813" t="s">
        <v>66</v>
      </c>
    </row>
    <row r="814" spans="1:13" x14ac:dyDescent="0.3">
      <c r="A814" t="s">
        <v>18</v>
      </c>
      <c r="B814" t="s">
        <v>42</v>
      </c>
      <c r="C814">
        <v>27.102615350697871</v>
      </c>
      <c r="D814">
        <v>0.79410814904140592</v>
      </c>
      <c r="E814">
        <v>0.98640276353689238</v>
      </c>
      <c r="F814">
        <v>4.7984732793689604</v>
      </c>
      <c r="G814">
        <v>5.1989963028931658</v>
      </c>
      <c r="H814">
        <v>29.160016411799251</v>
      </c>
      <c r="I814">
        <v>18.612743266967058</v>
      </c>
      <c r="J814">
        <v>25.948425595476319</v>
      </c>
      <c r="K814">
        <v>1905.538855724423</v>
      </c>
      <c r="L814">
        <v>1</v>
      </c>
      <c r="M814" t="s">
        <v>66</v>
      </c>
    </row>
    <row r="815" spans="1:13" x14ac:dyDescent="0.3">
      <c r="A815" t="s">
        <v>15</v>
      </c>
      <c r="B815" t="s">
        <v>32</v>
      </c>
      <c r="C815">
        <v>47.906009365975123</v>
      </c>
      <c r="D815">
        <v>1.8687839229654231</v>
      </c>
      <c r="E815">
        <v>3.0194312704018351</v>
      </c>
      <c r="F815">
        <v>6.8062492265099017</v>
      </c>
      <c r="G815">
        <v>6.3426201628610333</v>
      </c>
      <c r="H815">
        <v>32.386953649298988</v>
      </c>
      <c r="I815">
        <v>19.265785133538429</v>
      </c>
      <c r="J815">
        <v>17.508794582217419</v>
      </c>
      <c r="K815">
        <v>1886.7328882274919</v>
      </c>
      <c r="L815">
        <v>1</v>
      </c>
      <c r="M815" t="s">
        <v>66</v>
      </c>
    </row>
    <row r="816" spans="1:13" x14ac:dyDescent="0.3">
      <c r="A816" t="s">
        <v>19</v>
      </c>
      <c r="B816" t="s">
        <v>48</v>
      </c>
      <c r="C816">
        <v>29.577546951923221</v>
      </c>
      <c r="D816">
        <v>0.92918307999374949</v>
      </c>
      <c r="E816">
        <v>2.220083667100714</v>
      </c>
      <c r="F816">
        <v>4.9302364849936531</v>
      </c>
      <c r="G816">
        <v>5.9449195440404212</v>
      </c>
      <c r="H816">
        <v>21.963440010434208</v>
      </c>
      <c r="I816">
        <v>31.561898250634961</v>
      </c>
      <c r="J816">
        <v>26.014294686616779</v>
      </c>
      <c r="K816">
        <v>1184.3459963199859</v>
      </c>
      <c r="L816">
        <v>0</v>
      </c>
      <c r="M816" t="s">
        <v>66</v>
      </c>
    </row>
    <row r="817" spans="1:13" x14ac:dyDescent="0.3">
      <c r="A817" t="s">
        <v>22</v>
      </c>
      <c r="B817" t="s">
        <v>55</v>
      </c>
      <c r="C817">
        <v>7.3008038119221084</v>
      </c>
      <c r="D817">
        <v>0</v>
      </c>
      <c r="E817">
        <v>0</v>
      </c>
      <c r="F817">
        <v>0.90065488838001961</v>
      </c>
      <c r="G817">
        <v>6.2652962944350357</v>
      </c>
      <c r="H817">
        <v>23.455305519843812</v>
      </c>
      <c r="I817">
        <v>18.66485956513915</v>
      </c>
      <c r="J817">
        <v>16.613329059750971</v>
      </c>
      <c r="K817">
        <v>1708.2608448835911</v>
      </c>
      <c r="L817">
        <v>1</v>
      </c>
      <c r="M817" t="s">
        <v>66</v>
      </c>
    </row>
    <row r="818" spans="1:13" x14ac:dyDescent="0.3">
      <c r="A818" t="s">
        <v>20</v>
      </c>
      <c r="B818" t="s">
        <v>49</v>
      </c>
      <c r="C818">
        <v>64.851233628290814</v>
      </c>
      <c r="D818">
        <v>3.09907934049511</v>
      </c>
      <c r="E818">
        <v>3.8122803157313818</v>
      </c>
      <c r="F818">
        <v>11.45636410108188</v>
      </c>
      <c r="G818">
        <v>5.3007327771926969</v>
      </c>
      <c r="H818">
        <v>24.412739351910929</v>
      </c>
      <c r="I818">
        <v>18.209885571056681</v>
      </c>
      <c r="J818">
        <v>20.192868692024</v>
      </c>
      <c r="K818">
        <v>1724.181218086133</v>
      </c>
      <c r="L818">
        <v>1</v>
      </c>
      <c r="M818" t="s">
        <v>66</v>
      </c>
    </row>
    <row r="819" spans="1:13" x14ac:dyDescent="0.3">
      <c r="A819" t="s">
        <v>15</v>
      </c>
      <c r="B819" t="s">
        <v>31</v>
      </c>
      <c r="C819">
        <v>112.0911147240223</v>
      </c>
      <c r="D819">
        <v>4.6673241871755504</v>
      </c>
      <c r="E819">
        <v>8.0933789158797467</v>
      </c>
      <c r="F819">
        <v>18.497253300268898</v>
      </c>
      <c r="G819">
        <v>5.5571026685060669</v>
      </c>
      <c r="H819">
        <v>43.660452240937921</v>
      </c>
      <c r="I819">
        <v>22.12913751832761</v>
      </c>
      <c r="J819">
        <v>26.380114317267079</v>
      </c>
      <c r="K819">
        <v>1826.244177808775</v>
      </c>
      <c r="L819">
        <v>1</v>
      </c>
      <c r="M819" t="s">
        <v>66</v>
      </c>
    </row>
    <row r="820" spans="1:13" x14ac:dyDescent="0.3">
      <c r="A820" t="s">
        <v>16</v>
      </c>
      <c r="B820" t="s">
        <v>35</v>
      </c>
      <c r="C820">
        <v>67.34216576442212</v>
      </c>
      <c r="D820">
        <v>2.862825249882035</v>
      </c>
      <c r="E820">
        <v>5.1166348691199079</v>
      </c>
      <c r="F820">
        <v>9.9221025933500453</v>
      </c>
      <c r="G820">
        <v>5.8143701136204013</v>
      </c>
      <c r="H820">
        <v>28.19355550303036</v>
      </c>
      <c r="I820">
        <v>17.859717826676441</v>
      </c>
      <c r="J820">
        <v>28.58907161518276</v>
      </c>
      <c r="K820">
        <v>1599.852374602581</v>
      </c>
      <c r="L820">
        <v>1</v>
      </c>
      <c r="M820" t="s">
        <v>66</v>
      </c>
    </row>
    <row r="821" spans="1:13" x14ac:dyDescent="0.3">
      <c r="A821" t="s">
        <v>18</v>
      </c>
      <c r="B821" t="s">
        <v>42</v>
      </c>
      <c r="C821">
        <v>34.963790892532899</v>
      </c>
      <c r="D821">
        <v>1.0370408248459879</v>
      </c>
      <c r="E821">
        <v>1.5584711519901009</v>
      </c>
      <c r="F821">
        <v>4.9562099559056563</v>
      </c>
      <c r="G821">
        <v>5.465991168071163</v>
      </c>
      <c r="H821">
        <v>24.98321803428373</v>
      </c>
      <c r="I821">
        <v>19.83533664133757</v>
      </c>
      <c r="J821">
        <v>26.019149731756261</v>
      </c>
      <c r="K821">
        <v>1901.937945539647</v>
      </c>
      <c r="L821">
        <v>1</v>
      </c>
      <c r="M821" t="s">
        <v>66</v>
      </c>
    </row>
    <row r="822" spans="1:13" x14ac:dyDescent="0.3">
      <c r="A822" t="s">
        <v>19</v>
      </c>
      <c r="B822" t="s">
        <v>45</v>
      </c>
      <c r="C822">
        <v>17.13778424839111</v>
      </c>
      <c r="D822">
        <v>0</v>
      </c>
      <c r="E822">
        <v>0.98809440315938435</v>
      </c>
      <c r="F822">
        <v>2.118163299956016</v>
      </c>
      <c r="G822">
        <v>6.0393834256450694</v>
      </c>
      <c r="H822">
        <v>33.982340461322487</v>
      </c>
      <c r="I822">
        <v>22.157029769573729</v>
      </c>
      <c r="J822">
        <v>27.151170389562481</v>
      </c>
      <c r="K822">
        <v>1453.0874468120139</v>
      </c>
      <c r="L822">
        <v>1</v>
      </c>
      <c r="M822" t="s">
        <v>66</v>
      </c>
    </row>
    <row r="823" spans="1:13" x14ac:dyDescent="0.3">
      <c r="A823" t="s">
        <v>24</v>
      </c>
      <c r="B823" t="s">
        <v>59</v>
      </c>
      <c r="C823">
        <v>364.55694787997828</v>
      </c>
      <c r="D823">
        <v>17.360851872919959</v>
      </c>
      <c r="E823">
        <v>26.761650412184981</v>
      </c>
      <c r="F823">
        <v>55.500520049860569</v>
      </c>
      <c r="G823">
        <v>5.1886978376431818</v>
      </c>
      <c r="H823">
        <v>74.008339150200271</v>
      </c>
      <c r="I823">
        <v>30.875754065687921</v>
      </c>
      <c r="J823">
        <v>30.723295077842259</v>
      </c>
      <c r="K823">
        <v>11.089756312135931</v>
      </c>
      <c r="L823">
        <v>-1</v>
      </c>
      <c r="M823" t="s">
        <v>66</v>
      </c>
    </row>
    <row r="824" spans="1:13" x14ac:dyDescent="0.3">
      <c r="A824" t="s">
        <v>19</v>
      </c>
      <c r="B824" t="s">
        <v>46</v>
      </c>
      <c r="C824">
        <v>80.473892118000222</v>
      </c>
      <c r="D824">
        <v>3.6822926045776652</v>
      </c>
      <c r="E824">
        <v>5.2993008861156063</v>
      </c>
      <c r="F824">
        <v>12.24693375809321</v>
      </c>
      <c r="G824">
        <v>5.8587618137164252</v>
      </c>
      <c r="H824">
        <v>31.354918303709351</v>
      </c>
      <c r="I824">
        <v>25.679356009376011</v>
      </c>
      <c r="J824">
        <v>26.044256303966549</v>
      </c>
      <c r="K824">
        <v>1383.931795637759</v>
      </c>
      <c r="L824">
        <v>1</v>
      </c>
      <c r="M824" t="s">
        <v>66</v>
      </c>
    </row>
    <row r="825" spans="1:13" x14ac:dyDescent="0.3">
      <c r="A825" t="s">
        <v>19</v>
      </c>
      <c r="B825" t="s">
        <v>44</v>
      </c>
      <c r="C825">
        <v>19.824319812803711</v>
      </c>
      <c r="D825">
        <v>1.020098647095262</v>
      </c>
      <c r="E825">
        <v>1.0635226029198259</v>
      </c>
      <c r="F825">
        <v>2.6846266583640439</v>
      </c>
      <c r="G825">
        <v>6.1938781877423503</v>
      </c>
      <c r="H825">
        <v>15.232754378666529</v>
      </c>
      <c r="I825">
        <v>24.859819414325809</v>
      </c>
      <c r="J825">
        <v>23.98813111913643</v>
      </c>
      <c r="K825">
        <v>1316.4264108182911</v>
      </c>
      <c r="L825">
        <v>0</v>
      </c>
      <c r="M825" t="s">
        <v>66</v>
      </c>
    </row>
    <row r="826" spans="1:13" x14ac:dyDescent="0.3">
      <c r="A826" t="s">
        <v>20</v>
      </c>
      <c r="B826" t="s">
        <v>51</v>
      </c>
      <c r="C826">
        <v>256.50165548117292</v>
      </c>
      <c r="D826">
        <v>11.52352027840379</v>
      </c>
      <c r="E826">
        <v>19.611740425489259</v>
      </c>
      <c r="F826">
        <v>41.745105582297953</v>
      </c>
      <c r="G826">
        <v>5.4936789848701206</v>
      </c>
      <c r="H826">
        <v>28.263944336275092</v>
      </c>
      <c r="I826">
        <v>20.290711563920741</v>
      </c>
      <c r="J826">
        <v>17.906769026693318</v>
      </c>
      <c r="K826">
        <v>1550.152783711691</v>
      </c>
      <c r="L826">
        <v>1</v>
      </c>
      <c r="M826" t="s">
        <v>66</v>
      </c>
    </row>
    <row r="827" spans="1:13" x14ac:dyDescent="0.3">
      <c r="A827" t="s">
        <v>15</v>
      </c>
      <c r="B827" t="s">
        <v>30</v>
      </c>
      <c r="C827">
        <v>96.522142532589726</v>
      </c>
      <c r="D827">
        <v>5.6432487690807811</v>
      </c>
      <c r="E827">
        <v>7.6275575794483004</v>
      </c>
      <c r="F827">
        <v>16.442415588349139</v>
      </c>
      <c r="G827">
        <v>6.2200320915711034</v>
      </c>
      <c r="H827">
        <v>24.99101526816154</v>
      </c>
      <c r="I827">
        <v>20.7003900103301</v>
      </c>
      <c r="J827">
        <v>27.54112278403738</v>
      </c>
      <c r="K827">
        <v>1955.8751904335641</v>
      </c>
      <c r="L827">
        <v>1</v>
      </c>
      <c r="M827" t="s">
        <v>66</v>
      </c>
    </row>
    <row r="828" spans="1:13" x14ac:dyDescent="0.3">
      <c r="A828" t="s">
        <v>18</v>
      </c>
      <c r="B828" t="s">
        <v>42</v>
      </c>
      <c r="C828">
        <v>47.413036210663783</v>
      </c>
      <c r="D828">
        <v>1.674739252765548</v>
      </c>
      <c r="E828">
        <v>2.791692382101028</v>
      </c>
      <c r="F828">
        <v>6.9922279693794964</v>
      </c>
      <c r="G828">
        <v>5.328969277912865</v>
      </c>
      <c r="H828">
        <v>19.5174025829273</v>
      </c>
      <c r="I828">
        <v>23.044655944299031</v>
      </c>
      <c r="J828">
        <v>27.595495148269261</v>
      </c>
      <c r="K828">
        <v>1605.502606531117</v>
      </c>
      <c r="L828">
        <v>1</v>
      </c>
      <c r="M828" t="s">
        <v>66</v>
      </c>
    </row>
    <row r="829" spans="1:13" x14ac:dyDescent="0.3">
      <c r="A829" t="s">
        <v>15</v>
      </c>
      <c r="B829" t="s">
        <v>31</v>
      </c>
      <c r="C829">
        <v>21.032392429740341</v>
      </c>
      <c r="D829">
        <v>1.045730671943375</v>
      </c>
      <c r="E829">
        <v>1.1110887396837279</v>
      </c>
      <c r="F829">
        <v>3.002924902593529</v>
      </c>
      <c r="G829">
        <v>6.4128640467135156</v>
      </c>
      <c r="H829">
        <v>36.925618240455421</v>
      </c>
      <c r="I829">
        <v>25.735899121049009</v>
      </c>
      <c r="J829">
        <v>21.11759427872882</v>
      </c>
      <c r="K829">
        <v>1617.2890886159989</v>
      </c>
      <c r="L829">
        <v>1</v>
      </c>
      <c r="M829" t="s">
        <v>66</v>
      </c>
    </row>
    <row r="830" spans="1:13" x14ac:dyDescent="0.3">
      <c r="A830" t="s">
        <v>20</v>
      </c>
      <c r="B830" t="s">
        <v>51</v>
      </c>
      <c r="C830">
        <v>94.083873186278311</v>
      </c>
      <c r="D830">
        <v>4.077924339614257</v>
      </c>
      <c r="E830">
        <v>6.5096706781019948</v>
      </c>
      <c r="F830">
        <v>14.210385172674041</v>
      </c>
      <c r="G830">
        <v>6.4534406102760133</v>
      </c>
      <c r="H830">
        <v>34.320283158500331</v>
      </c>
      <c r="I830">
        <v>20.613626079287101</v>
      </c>
      <c r="J830">
        <v>20.593345017967081</v>
      </c>
      <c r="K830">
        <v>1577.8272813307649</v>
      </c>
      <c r="L830">
        <v>1</v>
      </c>
      <c r="M830" t="s">
        <v>66</v>
      </c>
    </row>
    <row r="831" spans="1:13" x14ac:dyDescent="0.3">
      <c r="A831" t="s">
        <v>16</v>
      </c>
      <c r="B831" t="s">
        <v>37</v>
      </c>
      <c r="C831">
        <v>11.229735033989231</v>
      </c>
      <c r="D831">
        <v>0</v>
      </c>
      <c r="E831">
        <v>0</v>
      </c>
      <c r="F831">
        <v>0.81718351246457921</v>
      </c>
      <c r="G831">
        <v>6.498154843417173</v>
      </c>
      <c r="H831">
        <v>33.940144185165593</v>
      </c>
      <c r="I831">
        <v>17.81631378038081</v>
      </c>
      <c r="J831">
        <v>21.526852662375539</v>
      </c>
      <c r="K831">
        <v>1488.636789919088</v>
      </c>
      <c r="L831">
        <v>1</v>
      </c>
      <c r="M831" t="s">
        <v>66</v>
      </c>
    </row>
    <row r="832" spans="1:13" x14ac:dyDescent="0.3">
      <c r="A832" t="s">
        <v>16</v>
      </c>
      <c r="B832" t="s">
        <v>38</v>
      </c>
      <c r="C832">
        <v>4.2385830326713148</v>
      </c>
      <c r="D832">
        <v>0</v>
      </c>
      <c r="E832">
        <v>0</v>
      </c>
      <c r="F832">
        <v>-1.7763568394002501E-15</v>
      </c>
      <c r="G832">
        <v>6.2818595533205279</v>
      </c>
      <c r="H832">
        <v>23.082499316115921</v>
      </c>
      <c r="I832">
        <v>18.12437737984251</v>
      </c>
      <c r="J832">
        <v>24.260285878616578</v>
      </c>
      <c r="K832">
        <v>1448.138026626413</v>
      </c>
      <c r="L832">
        <v>1</v>
      </c>
      <c r="M832" t="s">
        <v>66</v>
      </c>
    </row>
    <row r="833" spans="1:13" x14ac:dyDescent="0.3">
      <c r="A833" t="s">
        <v>19</v>
      </c>
      <c r="B833" t="s">
        <v>47</v>
      </c>
      <c r="C833">
        <v>9.499017525044863</v>
      </c>
      <c r="D833">
        <v>5.0756086124751301</v>
      </c>
      <c r="E833">
        <v>6.0139604980707437</v>
      </c>
      <c r="F833">
        <v>15.457859648027931</v>
      </c>
      <c r="G833">
        <v>6.4113582573445322</v>
      </c>
      <c r="H833">
        <v>28.324308649321178</v>
      </c>
      <c r="I833">
        <v>24.566840211818061</v>
      </c>
      <c r="J833">
        <v>24.40849642263116</v>
      </c>
      <c r="K833">
        <v>679.45288389303812</v>
      </c>
      <c r="L833">
        <v>1</v>
      </c>
      <c r="M833" t="s">
        <v>66</v>
      </c>
    </row>
    <row r="834" spans="1:13" x14ac:dyDescent="0.3">
      <c r="A834" t="s">
        <v>19</v>
      </c>
      <c r="B834" t="s">
        <v>48</v>
      </c>
      <c r="C834">
        <v>29.154229065609599</v>
      </c>
      <c r="D834">
        <v>0.89578058457287035</v>
      </c>
      <c r="E834">
        <v>2.177435719160584</v>
      </c>
      <c r="F834">
        <v>6.7573257330005836</v>
      </c>
      <c r="G834">
        <v>5.9989462336918482</v>
      </c>
      <c r="H834">
        <v>22.918795504227461</v>
      </c>
      <c r="I834">
        <v>34.463259264448133</v>
      </c>
      <c r="J834">
        <v>24.90121685334568</v>
      </c>
      <c r="K834">
        <v>1187.4740421451311</v>
      </c>
      <c r="L834">
        <v>0</v>
      </c>
      <c r="M834" t="s">
        <v>66</v>
      </c>
    </row>
    <row r="835" spans="1:13" x14ac:dyDescent="0.3">
      <c r="A835" t="s">
        <v>19</v>
      </c>
      <c r="B835" t="s">
        <v>44</v>
      </c>
      <c r="C835">
        <v>11.19644885609488</v>
      </c>
      <c r="D835">
        <v>0</v>
      </c>
      <c r="E835">
        <v>0</v>
      </c>
      <c r="F835">
        <v>0.82527929110852583</v>
      </c>
      <c r="G835">
        <v>6.4001413242339229</v>
      </c>
      <c r="H835">
        <v>26.630406160601641</v>
      </c>
      <c r="I835">
        <v>18.30671222312046</v>
      </c>
      <c r="J835">
        <v>29.2675148023663</v>
      </c>
      <c r="K835">
        <v>2223.8497631402502</v>
      </c>
      <c r="L835">
        <v>1</v>
      </c>
      <c r="M835" t="s">
        <v>66</v>
      </c>
    </row>
    <row r="836" spans="1:13" x14ac:dyDescent="0.3">
      <c r="A836" t="s">
        <v>17</v>
      </c>
      <c r="B836" t="s">
        <v>39</v>
      </c>
      <c r="C836">
        <v>12.79855742608804</v>
      </c>
      <c r="D836">
        <v>0</v>
      </c>
      <c r="E836">
        <v>0</v>
      </c>
      <c r="F836">
        <v>2.110811501740109</v>
      </c>
      <c r="G836">
        <v>5.4486354470916281</v>
      </c>
      <c r="H836">
        <v>28.18556937050624</v>
      </c>
      <c r="I836">
        <v>20.396536233183809</v>
      </c>
      <c r="J836">
        <v>25.638120606573711</v>
      </c>
      <c r="K836">
        <v>2181.7688286422631</v>
      </c>
      <c r="L836">
        <v>1</v>
      </c>
      <c r="M836" t="s">
        <v>66</v>
      </c>
    </row>
    <row r="837" spans="1:13" x14ac:dyDescent="0.3">
      <c r="A837" t="s">
        <v>25</v>
      </c>
      <c r="B837" t="s">
        <v>62</v>
      </c>
      <c r="C837">
        <v>82.719484229528391</v>
      </c>
      <c r="D837">
        <v>3.6141293298231569</v>
      </c>
      <c r="E837">
        <v>6.0204149563328802</v>
      </c>
      <c r="F837">
        <v>15.724805469795839</v>
      </c>
      <c r="G837">
        <v>6.6841707945812434</v>
      </c>
      <c r="H837">
        <v>14.16738024390764</v>
      </c>
      <c r="I837">
        <v>31.930992168650882</v>
      </c>
      <c r="J837">
        <v>30.826444077218429</v>
      </c>
      <c r="K837">
        <v>47.719710334159338</v>
      </c>
      <c r="L837">
        <v>-1</v>
      </c>
      <c r="M837" t="s">
        <v>66</v>
      </c>
    </row>
    <row r="838" spans="1:13" x14ac:dyDescent="0.3">
      <c r="A838" t="s">
        <v>21</v>
      </c>
      <c r="B838" t="s">
        <v>52</v>
      </c>
      <c r="C838">
        <v>30.61108972001384</v>
      </c>
      <c r="D838">
        <v>0.94803049141133711</v>
      </c>
      <c r="E838">
        <v>2.1931916570623051</v>
      </c>
      <c r="F838">
        <v>5.3436180332410306</v>
      </c>
      <c r="G838">
        <v>6.2052495144511379</v>
      </c>
      <c r="H838">
        <v>27.14056056972186</v>
      </c>
      <c r="I838">
        <v>27.16589940997256</v>
      </c>
      <c r="J838">
        <v>21.909038692861621</v>
      </c>
      <c r="K838">
        <v>1215.805897222014</v>
      </c>
      <c r="L838">
        <v>1</v>
      </c>
      <c r="M838" t="s">
        <v>66</v>
      </c>
    </row>
    <row r="839" spans="1:13" x14ac:dyDescent="0.3">
      <c r="A839" t="s">
        <v>15</v>
      </c>
      <c r="B839" t="s">
        <v>31</v>
      </c>
      <c r="C839">
        <v>118.6785473198812</v>
      </c>
      <c r="D839">
        <v>4.4053636728271934</v>
      </c>
      <c r="E839">
        <v>8.2260050270790437</v>
      </c>
      <c r="F839">
        <v>20.082172993021359</v>
      </c>
      <c r="G839">
        <v>5.4239516171965736</v>
      </c>
      <c r="H839">
        <v>44.477789972741952</v>
      </c>
      <c r="I839">
        <v>22.178777749900689</v>
      </c>
      <c r="J839">
        <v>26.187973261299479</v>
      </c>
      <c r="K839">
        <v>1819.850384737721</v>
      </c>
      <c r="L839">
        <v>1</v>
      </c>
      <c r="M839" t="s">
        <v>66</v>
      </c>
    </row>
    <row r="840" spans="1:13" x14ac:dyDescent="0.3">
      <c r="A840" t="s">
        <v>22</v>
      </c>
      <c r="B840" t="s">
        <v>53</v>
      </c>
      <c r="C840">
        <v>22.803388501855981</v>
      </c>
      <c r="D840">
        <v>1.018825541494641</v>
      </c>
      <c r="E840">
        <v>0.94300940120963617</v>
      </c>
      <c r="F840">
        <v>4.0936535418754616</v>
      </c>
      <c r="G840">
        <v>6.8737828785277806</v>
      </c>
      <c r="H840">
        <v>55.815801612124233</v>
      </c>
      <c r="I840">
        <v>20.54949641747449</v>
      </c>
      <c r="J840">
        <v>20.55279606854042</v>
      </c>
      <c r="K840">
        <v>1306.268543451763</v>
      </c>
      <c r="L840">
        <v>1</v>
      </c>
      <c r="M840" t="s">
        <v>66</v>
      </c>
    </row>
    <row r="841" spans="1:13" x14ac:dyDescent="0.3">
      <c r="A841" t="s">
        <v>18</v>
      </c>
      <c r="B841" t="s">
        <v>42</v>
      </c>
      <c r="C841">
        <v>52.500870719737463</v>
      </c>
      <c r="D841">
        <v>1.731052120788499</v>
      </c>
      <c r="E841">
        <v>2.909156555950867</v>
      </c>
      <c r="F841">
        <v>8.1638381756071308</v>
      </c>
      <c r="G841">
        <v>5.6307889815487489</v>
      </c>
      <c r="H841">
        <v>23.89333655397952</v>
      </c>
      <c r="I841">
        <v>21.499661521240299</v>
      </c>
      <c r="J841">
        <v>29.233634538320569</v>
      </c>
      <c r="K841">
        <v>1675.149923010179</v>
      </c>
      <c r="L841">
        <v>1</v>
      </c>
      <c r="M841" t="s">
        <v>66</v>
      </c>
    </row>
    <row r="842" spans="1:13" x14ac:dyDescent="0.3">
      <c r="A842" t="s">
        <v>15</v>
      </c>
      <c r="B842" t="s">
        <v>33</v>
      </c>
      <c r="C842">
        <v>82.290973752060751</v>
      </c>
      <c r="D842">
        <v>3.4446973869169262</v>
      </c>
      <c r="E842">
        <v>4.8470040228496583</v>
      </c>
      <c r="F842">
        <v>12.245009999007699</v>
      </c>
      <c r="G842">
        <v>5.525041176528247</v>
      </c>
      <c r="H842">
        <v>26.394376933518281</v>
      </c>
      <c r="I842">
        <v>18.213069789406909</v>
      </c>
      <c r="J842">
        <v>18.76710682095198</v>
      </c>
      <c r="K842">
        <v>1929.920176694824</v>
      </c>
      <c r="L842">
        <v>1</v>
      </c>
      <c r="M842" t="s">
        <v>66</v>
      </c>
    </row>
    <row r="843" spans="1:13" x14ac:dyDescent="0.3">
      <c r="A843" t="s">
        <v>18</v>
      </c>
      <c r="B843" t="s">
        <v>42</v>
      </c>
      <c r="C843">
        <v>5.9452208907999156</v>
      </c>
      <c r="D843">
        <v>0</v>
      </c>
      <c r="E843">
        <v>0</v>
      </c>
      <c r="F843">
        <v>-1.7763568394002501E-15</v>
      </c>
      <c r="G843">
        <v>5.842662478114895</v>
      </c>
      <c r="H843">
        <v>21.759726641093469</v>
      </c>
      <c r="I843">
        <v>21.116904930618169</v>
      </c>
      <c r="J843">
        <v>24.78745135663252</v>
      </c>
      <c r="K843">
        <v>1846.572004289922</v>
      </c>
      <c r="L843">
        <v>1</v>
      </c>
      <c r="M843" t="s">
        <v>66</v>
      </c>
    </row>
    <row r="844" spans="1:13" x14ac:dyDescent="0.3">
      <c r="A844" t="s">
        <v>22</v>
      </c>
      <c r="B844" t="s">
        <v>55</v>
      </c>
      <c r="C844">
        <v>6.8987305431636941</v>
      </c>
      <c r="D844">
        <v>0</v>
      </c>
      <c r="E844">
        <v>0</v>
      </c>
      <c r="F844">
        <v>1.158305112097034</v>
      </c>
      <c r="G844">
        <v>6.3156174370234259</v>
      </c>
      <c r="H844">
        <v>20.232280427637448</v>
      </c>
      <c r="I844">
        <v>17.93477130981514</v>
      </c>
      <c r="J844">
        <v>16</v>
      </c>
      <c r="K844">
        <v>1709.3660892770199</v>
      </c>
      <c r="L844">
        <v>1</v>
      </c>
      <c r="M844" t="s">
        <v>66</v>
      </c>
    </row>
    <row r="845" spans="1:13" x14ac:dyDescent="0.3">
      <c r="A845" t="s">
        <v>18</v>
      </c>
      <c r="B845" t="s">
        <v>41</v>
      </c>
      <c r="C845">
        <v>0</v>
      </c>
      <c r="D845">
        <v>0</v>
      </c>
      <c r="E845">
        <v>0</v>
      </c>
      <c r="F845">
        <v>-1.7763568394002501E-15</v>
      </c>
      <c r="G845">
        <v>7.0441311828145636</v>
      </c>
      <c r="H845">
        <v>13.9</v>
      </c>
      <c r="I845">
        <v>37.799999999999997</v>
      </c>
      <c r="J845">
        <v>30.19107682971001</v>
      </c>
      <c r="K845">
        <v>1735.4750620048719</v>
      </c>
      <c r="L845">
        <v>1</v>
      </c>
      <c r="M845" t="s">
        <v>66</v>
      </c>
    </row>
    <row r="846" spans="1:13" x14ac:dyDescent="0.3">
      <c r="A846" t="s">
        <v>24</v>
      </c>
      <c r="B846" t="s">
        <v>59</v>
      </c>
      <c r="C846">
        <v>321.67004629645061</v>
      </c>
      <c r="D846">
        <v>17.872159769727229</v>
      </c>
      <c r="E846">
        <v>22.87677216978048</v>
      </c>
      <c r="F846">
        <v>63.743716624551013</v>
      </c>
      <c r="G846">
        <v>5.1784648109573599</v>
      </c>
      <c r="H846">
        <v>78.23337945637185</v>
      </c>
      <c r="I846">
        <v>29.464684367455831</v>
      </c>
      <c r="J846">
        <v>29.769507717194379</v>
      </c>
      <c r="K846">
        <v>11.244229929863881</v>
      </c>
      <c r="L846">
        <v>-1</v>
      </c>
      <c r="M846" t="s">
        <v>66</v>
      </c>
    </row>
    <row r="847" spans="1:13" x14ac:dyDescent="0.3">
      <c r="A847" t="s">
        <v>20</v>
      </c>
      <c r="B847" t="s">
        <v>51</v>
      </c>
      <c r="C847">
        <v>362.36118621282242</v>
      </c>
      <c r="D847">
        <v>15.35583659154476</v>
      </c>
      <c r="E847">
        <v>24.438906565883169</v>
      </c>
      <c r="F847">
        <v>63.90572951043761</v>
      </c>
      <c r="G847">
        <v>4.5578093918103182</v>
      </c>
      <c r="H847">
        <v>50.204909188079611</v>
      </c>
      <c r="I847">
        <v>19.380600685056319</v>
      </c>
      <c r="J847">
        <v>20.289575273013519</v>
      </c>
      <c r="K847">
        <v>1634.7172204757151</v>
      </c>
      <c r="L847">
        <v>1</v>
      </c>
      <c r="M847" t="s">
        <v>66</v>
      </c>
    </row>
    <row r="848" spans="1:13" x14ac:dyDescent="0.3">
      <c r="A848" t="s">
        <v>18</v>
      </c>
      <c r="B848" t="s">
        <v>41</v>
      </c>
      <c r="C848">
        <v>114.7397155055866</v>
      </c>
      <c r="D848">
        <v>6.2621665129060657</v>
      </c>
      <c r="E848">
        <v>8.2501863967218636</v>
      </c>
      <c r="F848">
        <v>17.892767477145551</v>
      </c>
      <c r="G848">
        <v>4.3859098571559727</v>
      </c>
      <c r="H848">
        <v>54.513632111689553</v>
      </c>
      <c r="I848">
        <v>20.539072428633489</v>
      </c>
      <c r="J848">
        <v>19.631717832982918</v>
      </c>
      <c r="K848">
        <v>1741.5912193465581</v>
      </c>
      <c r="L848">
        <v>1</v>
      </c>
      <c r="M848" t="s">
        <v>66</v>
      </c>
    </row>
    <row r="849" spans="1:13" x14ac:dyDescent="0.3">
      <c r="A849" t="s">
        <v>24</v>
      </c>
      <c r="B849" t="s">
        <v>61</v>
      </c>
      <c r="C849">
        <v>354.95458933275279</v>
      </c>
      <c r="D849">
        <v>19.5425142149621</v>
      </c>
      <c r="E849">
        <v>20.45546885501064</v>
      </c>
      <c r="F849">
        <v>65.823678117128594</v>
      </c>
      <c r="G849">
        <v>4.3</v>
      </c>
      <c r="H849">
        <v>61.446562750311656</v>
      </c>
      <c r="I849">
        <v>30.24072006242622</v>
      </c>
      <c r="J849">
        <v>33.25376046588265</v>
      </c>
      <c r="K849">
        <v>14.44926426236043</v>
      </c>
      <c r="L849">
        <v>-1</v>
      </c>
      <c r="M849" t="s">
        <v>66</v>
      </c>
    </row>
    <row r="850" spans="1:13" x14ac:dyDescent="0.3">
      <c r="A850" t="s">
        <v>19</v>
      </c>
      <c r="B850" t="s">
        <v>46</v>
      </c>
      <c r="C850">
        <v>75.511917690094663</v>
      </c>
      <c r="D850">
        <v>4.3673999447605691</v>
      </c>
      <c r="E850">
        <v>4.9666747360036307</v>
      </c>
      <c r="F850">
        <v>10.84731647827398</v>
      </c>
      <c r="G850">
        <v>6.0119376667110132</v>
      </c>
      <c r="H850">
        <v>29.454206895515728</v>
      </c>
      <c r="I850">
        <v>26.10237650314474</v>
      </c>
      <c r="J850">
        <v>27.605662095633381</v>
      </c>
      <c r="K850">
        <v>1442.1475625632179</v>
      </c>
      <c r="L850">
        <v>1</v>
      </c>
      <c r="M850" t="s">
        <v>66</v>
      </c>
    </row>
    <row r="851" spans="1:13" x14ac:dyDescent="0.3">
      <c r="A851" t="s">
        <v>24</v>
      </c>
      <c r="B851" t="s">
        <v>58</v>
      </c>
      <c r="C851">
        <v>28.182133013136241</v>
      </c>
      <c r="D851">
        <v>1.067918180044892</v>
      </c>
      <c r="E851">
        <v>2.2190872131624291</v>
      </c>
      <c r="F851">
        <v>4.2925396913875984</v>
      </c>
      <c r="G851">
        <v>7.3653076114220726</v>
      </c>
      <c r="H851">
        <v>32.226694535569841</v>
      </c>
      <c r="I851">
        <v>25.232141956914671</v>
      </c>
      <c r="J851">
        <v>22.994420200272831</v>
      </c>
      <c r="K851">
        <v>731.97505897925953</v>
      </c>
      <c r="L851">
        <v>0</v>
      </c>
      <c r="M851" t="s">
        <v>66</v>
      </c>
    </row>
    <row r="852" spans="1:13" x14ac:dyDescent="0.3">
      <c r="A852" t="s">
        <v>19</v>
      </c>
      <c r="B852" t="s">
        <v>44</v>
      </c>
      <c r="C852">
        <v>14.25818007830215</v>
      </c>
      <c r="D852">
        <v>0</v>
      </c>
      <c r="E852">
        <v>0.77904897475358403</v>
      </c>
      <c r="F852">
        <v>2.186459853068397</v>
      </c>
      <c r="G852">
        <v>6.3339419070258574</v>
      </c>
      <c r="H852">
        <v>42.420773155909558</v>
      </c>
      <c r="I852">
        <v>20.424518955514991</v>
      </c>
      <c r="J852">
        <v>19.390140626572631</v>
      </c>
      <c r="K852">
        <v>1908.17208945071</v>
      </c>
      <c r="L852">
        <v>1</v>
      </c>
      <c r="M852" t="s">
        <v>66</v>
      </c>
    </row>
    <row r="853" spans="1:13" x14ac:dyDescent="0.3">
      <c r="A853" t="s">
        <v>19</v>
      </c>
      <c r="B853" t="s">
        <v>44</v>
      </c>
      <c r="C853">
        <v>28.19553080870546</v>
      </c>
      <c r="D853">
        <v>0.97652796908197237</v>
      </c>
      <c r="E853">
        <v>2.0293084435621629</v>
      </c>
      <c r="F853">
        <v>4.1550880412417897</v>
      </c>
      <c r="G853">
        <v>5.7186933693166537</v>
      </c>
      <c r="H853">
        <v>21.75603028724283</v>
      </c>
      <c r="I853">
        <v>17.373765377749361</v>
      </c>
      <c r="J853">
        <v>20.79597354103004</v>
      </c>
      <c r="K853">
        <v>1744.317953780883</v>
      </c>
      <c r="L853">
        <v>1</v>
      </c>
      <c r="M853" t="s">
        <v>66</v>
      </c>
    </row>
    <row r="854" spans="1:13" x14ac:dyDescent="0.3">
      <c r="A854" t="s">
        <v>20</v>
      </c>
      <c r="B854" t="s">
        <v>50</v>
      </c>
      <c r="C854">
        <v>55.121149755060273</v>
      </c>
      <c r="D854">
        <v>1.8143026040392991</v>
      </c>
      <c r="E854">
        <v>3.2878630133321431</v>
      </c>
      <c r="F854">
        <v>6.7639445617399598</v>
      </c>
      <c r="G854">
        <v>6.1393428810437518</v>
      </c>
      <c r="H854">
        <v>25.74077105023883</v>
      </c>
      <c r="I854">
        <v>17.863573245693079</v>
      </c>
      <c r="J854">
        <v>21.592106210128449</v>
      </c>
      <c r="K854">
        <v>1720.381818217493</v>
      </c>
      <c r="L854">
        <v>1</v>
      </c>
      <c r="M854" t="s">
        <v>66</v>
      </c>
    </row>
    <row r="855" spans="1:13" x14ac:dyDescent="0.3">
      <c r="A855" t="s">
        <v>17</v>
      </c>
      <c r="B855" t="s">
        <v>39</v>
      </c>
      <c r="C855">
        <v>27.356766360400972</v>
      </c>
      <c r="D855">
        <v>0.9340737703418025</v>
      </c>
      <c r="E855">
        <v>1.0535075244129271</v>
      </c>
      <c r="F855">
        <v>4.5205405649474919</v>
      </c>
      <c r="G855">
        <v>5.7740558087159943</v>
      </c>
      <c r="H855">
        <v>20.202726409458968</v>
      </c>
      <c r="I855">
        <v>21.858127322959518</v>
      </c>
      <c r="J855">
        <v>27.081532461389589</v>
      </c>
      <c r="K855">
        <v>2092.475170076043</v>
      </c>
      <c r="L855">
        <v>1</v>
      </c>
      <c r="M855" t="s">
        <v>66</v>
      </c>
    </row>
    <row r="856" spans="1:13" x14ac:dyDescent="0.3">
      <c r="A856" t="s">
        <v>18</v>
      </c>
      <c r="B856" t="s">
        <v>42</v>
      </c>
      <c r="C856">
        <v>53.675469971252717</v>
      </c>
      <c r="D856">
        <v>1.966244776002692</v>
      </c>
      <c r="E856">
        <v>3.3911382686691569</v>
      </c>
      <c r="F856">
        <v>8.3013612235270173</v>
      </c>
      <c r="G856">
        <v>5.5549176269382032</v>
      </c>
      <c r="H856">
        <v>23.535948547117119</v>
      </c>
      <c r="I856">
        <v>20.9368506348175</v>
      </c>
      <c r="J856">
        <v>29.542104866191458</v>
      </c>
      <c r="K856">
        <v>1705.413702253516</v>
      </c>
      <c r="L856">
        <v>1</v>
      </c>
      <c r="M856" t="s">
        <v>66</v>
      </c>
    </row>
    <row r="857" spans="1:13" x14ac:dyDescent="0.3">
      <c r="A857" t="s">
        <v>19</v>
      </c>
      <c r="B857" t="s">
        <v>48</v>
      </c>
      <c r="C857">
        <v>65.35538682626219</v>
      </c>
      <c r="D857">
        <v>2.9248491424376759</v>
      </c>
      <c r="E857">
        <v>3.97953080500006</v>
      </c>
      <c r="F857">
        <v>9.4464158790342783</v>
      </c>
      <c r="G857">
        <v>6.3412761419941646</v>
      </c>
      <c r="H857">
        <v>20.13242658139529</v>
      </c>
      <c r="I857">
        <v>33.727825110146057</v>
      </c>
      <c r="J857">
        <v>26.294461869603779</v>
      </c>
      <c r="K857">
        <v>1183.7308985481759</v>
      </c>
      <c r="L857">
        <v>0</v>
      </c>
      <c r="M857" t="s">
        <v>66</v>
      </c>
    </row>
    <row r="858" spans="1:13" x14ac:dyDescent="0.3">
      <c r="A858" t="s">
        <v>19</v>
      </c>
      <c r="B858" t="s">
        <v>45</v>
      </c>
      <c r="C858">
        <v>57.215038325522677</v>
      </c>
      <c r="D858">
        <v>2.2799979273896782</v>
      </c>
      <c r="E858">
        <v>2.995632562436759</v>
      </c>
      <c r="F858">
        <v>8.5001550178203686</v>
      </c>
      <c r="G858">
        <v>6.0176543909932922</v>
      </c>
      <c r="H858">
        <v>38.364009999339459</v>
      </c>
      <c r="I858">
        <v>28.038446998811128</v>
      </c>
      <c r="J858">
        <v>26.245484458894719</v>
      </c>
      <c r="K858">
        <v>1493.694279968483</v>
      </c>
      <c r="L858">
        <v>1</v>
      </c>
      <c r="M858" t="s">
        <v>66</v>
      </c>
    </row>
    <row r="859" spans="1:13" x14ac:dyDescent="0.3">
      <c r="A859" t="s">
        <v>16</v>
      </c>
      <c r="B859" t="s">
        <v>36</v>
      </c>
      <c r="C859">
        <v>9.4841340377353589</v>
      </c>
      <c r="D859">
        <v>0</v>
      </c>
      <c r="E859">
        <v>0</v>
      </c>
      <c r="F859">
        <v>1.038203951030598</v>
      </c>
      <c r="G859">
        <v>6.1457715948473552</v>
      </c>
      <c r="H859">
        <v>29.321788874703412</v>
      </c>
      <c r="I859">
        <v>16.366527790299681</v>
      </c>
      <c r="J859">
        <v>22.407362420659251</v>
      </c>
      <c r="K859">
        <v>1461.332764687493</v>
      </c>
      <c r="L859">
        <v>1</v>
      </c>
      <c r="M859" t="s">
        <v>66</v>
      </c>
    </row>
    <row r="860" spans="1:13" x14ac:dyDescent="0.3">
      <c r="A860" t="s">
        <v>19</v>
      </c>
      <c r="B860" t="s">
        <v>44</v>
      </c>
      <c r="C860">
        <v>23.019124256892479</v>
      </c>
      <c r="D860">
        <v>1.007409662754458</v>
      </c>
      <c r="E860">
        <v>1.008917681234452</v>
      </c>
      <c r="F860">
        <v>3.487936216997106</v>
      </c>
      <c r="G860">
        <v>6.6439161221975347</v>
      </c>
      <c r="H860">
        <v>19.41185330959496</v>
      </c>
      <c r="I860">
        <v>27.220686897933088</v>
      </c>
      <c r="J860">
        <v>24.378125918521981</v>
      </c>
      <c r="K860">
        <v>1320.8290503548651</v>
      </c>
      <c r="L860">
        <v>0</v>
      </c>
      <c r="M860" t="s">
        <v>66</v>
      </c>
    </row>
    <row r="861" spans="1:13" x14ac:dyDescent="0.3">
      <c r="A861" t="s">
        <v>19</v>
      </c>
      <c r="B861" t="s">
        <v>47</v>
      </c>
      <c r="C861">
        <v>130.79563453879891</v>
      </c>
      <c r="D861">
        <v>6.2932159264550744</v>
      </c>
      <c r="E861">
        <v>9.0695072077128636</v>
      </c>
      <c r="F861">
        <v>17.2902586095739</v>
      </c>
      <c r="G861">
        <v>6.2866758179088418</v>
      </c>
      <c r="H861">
        <v>17.760481730222079</v>
      </c>
      <c r="I861">
        <v>25.668076753630011</v>
      </c>
      <c r="J861">
        <v>24.48894751841226</v>
      </c>
      <c r="K861">
        <v>666.89902747808071</v>
      </c>
      <c r="L861">
        <v>1</v>
      </c>
      <c r="M861" t="s">
        <v>66</v>
      </c>
    </row>
    <row r="862" spans="1:13" x14ac:dyDescent="0.3">
      <c r="A862" t="s">
        <v>18</v>
      </c>
      <c r="B862" t="s">
        <v>42</v>
      </c>
      <c r="C862">
        <v>33.926264378522397</v>
      </c>
      <c r="D862">
        <v>0.87524261272066362</v>
      </c>
      <c r="E862">
        <v>1.8128325936833649</v>
      </c>
      <c r="F862">
        <v>5.174284522083278</v>
      </c>
      <c r="G862">
        <v>5.7529982390277228</v>
      </c>
      <c r="H862">
        <v>28.133021420864171</v>
      </c>
      <c r="I862">
        <v>23.337645497525941</v>
      </c>
      <c r="J862">
        <v>26.645515764770241</v>
      </c>
      <c r="K862">
        <v>1597.448230048125</v>
      </c>
      <c r="L862">
        <v>1</v>
      </c>
      <c r="M862" t="s">
        <v>66</v>
      </c>
    </row>
    <row r="863" spans="1:13" x14ac:dyDescent="0.3">
      <c r="A863" t="s">
        <v>19</v>
      </c>
      <c r="B863" t="s">
        <v>44</v>
      </c>
      <c r="C863">
        <v>22.826126636648251</v>
      </c>
      <c r="D863">
        <v>0.93334349475831502</v>
      </c>
      <c r="E863">
        <v>0.98361267665015717</v>
      </c>
      <c r="F863">
        <v>3.3298705459854681</v>
      </c>
      <c r="G863">
        <v>6.2706851539145338</v>
      </c>
      <c r="H863">
        <v>18.27055392811738</v>
      </c>
      <c r="I863">
        <v>27.713961994879721</v>
      </c>
      <c r="J863">
        <v>23.969867450970369</v>
      </c>
      <c r="K863">
        <v>1287.423536717989</v>
      </c>
      <c r="L863">
        <v>0</v>
      </c>
      <c r="M863" t="s">
        <v>66</v>
      </c>
    </row>
    <row r="864" spans="1:13" x14ac:dyDescent="0.3">
      <c r="A864" t="s">
        <v>16</v>
      </c>
      <c r="B864" t="s">
        <v>36</v>
      </c>
      <c r="C864">
        <v>10.39334386856248</v>
      </c>
      <c r="D864">
        <v>0</v>
      </c>
      <c r="E864">
        <v>0</v>
      </c>
      <c r="F864">
        <v>1.0080564432307659</v>
      </c>
      <c r="G864">
        <v>6.2973272555824398</v>
      </c>
      <c r="H864">
        <v>28.30743359297113</v>
      </c>
      <c r="I864">
        <v>15.9</v>
      </c>
      <c r="J864">
        <v>22.940448407191511</v>
      </c>
      <c r="K864">
        <v>1496.6079332679119</v>
      </c>
      <c r="L864">
        <v>1</v>
      </c>
      <c r="M864" t="s">
        <v>66</v>
      </c>
    </row>
    <row r="865" spans="1:13" x14ac:dyDescent="0.3">
      <c r="A865" t="s">
        <v>20</v>
      </c>
      <c r="B865" t="s">
        <v>50</v>
      </c>
      <c r="C865">
        <v>24.597100195771791</v>
      </c>
      <c r="D865">
        <v>1.0794696078750281</v>
      </c>
      <c r="E865">
        <v>0.89820493240727917</v>
      </c>
      <c r="F865">
        <v>2.9884484040342549</v>
      </c>
      <c r="G865">
        <v>6.1161289700299903</v>
      </c>
      <c r="H865">
        <v>35.804446568837477</v>
      </c>
      <c r="I865">
        <v>23.19354208884679</v>
      </c>
      <c r="J865">
        <v>21.165526994505839</v>
      </c>
      <c r="K865">
        <v>1596.54083025309</v>
      </c>
      <c r="L865">
        <v>1</v>
      </c>
      <c r="M865" t="s">
        <v>66</v>
      </c>
    </row>
    <row r="866" spans="1:13" x14ac:dyDescent="0.3">
      <c r="A866" t="s">
        <v>18</v>
      </c>
      <c r="B866" t="s">
        <v>42</v>
      </c>
      <c r="C866">
        <v>47.786022217699347</v>
      </c>
      <c r="D866">
        <v>1.891723776172284</v>
      </c>
      <c r="E866">
        <v>2.750426635720832</v>
      </c>
      <c r="F866">
        <v>6.5792526142898389</v>
      </c>
      <c r="G866">
        <v>5.3518228358866056</v>
      </c>
      <c r="H866">
        <v>18.57765392857798</v>
      </c>
      <c r="I866">
        <v>23.484768131464019</v>
      </c>
      <c r="J866">
        <v>25.575520942236881</v>
      </c>
      <c r="K866">
        <v>1659.8393453554299</v>
      </c>
      <c r="L866">
        <v>1</v>
      </c>
      <c r="M866" t="s">
        <v>66</v>
      </c>
    </row>
    <row r="867" spans="1:13" x14ac:dyDescent="0.3">
      <c r="A867" t="s">
        <v>19</v>
      </c>
      <c r="B867" t="s">
        <v>45</v>
      </c>
      <c r="C867">
        <v>21.382184447794511</v>
      </c>
      <c r="D867">
        <v>1.171166229395082</v>
      </c>
      <c r="E867">
        <v>1.0943592079705311</v>
      </c>
      <c r="F867">
        <v>3.020991958768839</v>
      </c>
      <c r="G867">
        <v>6.0643908352669076</v>
      </c>
      <c r="H867">
        <v>19.79370675453195</v>
      </c>
      <c r="I867">
        <v>31.76844543250477</v>
      </c>
      <c r="J867">
        <v>22.479641314567811</v>
      </c>
      <c r="K867">
        <v>1342.000342942963</v>
      </c>
      <c r="L867">
        <v>0</v>
      </c>
      <c r="M867" t="s">
        <v>66</v>
      </c>
    </row>
    <row r="868" spans="1:13" x14ac:dyDescent="0.3">
      <c r="A868" t="s">
        <v>22</v>
      </c>
      <c r="B868" t="s">
        <v>55</v>
      </c>
      <c r="C868">
        <v>7.3984020928495076</v>
      </c>
      <c r="D868">
        <v>0</v>
      </c>
      <c r="E868">
        <v>0</v>
      </c>
      <c r="F868">
        <v>1.2818657701036089</v>
      </c>
      <c r="G868">
        <v>6.2377045493764172</v>
      </c>
      <c r="H868">
        <v>21.410692460233861</v>
      </c>
      <c r="I868">
        <v>17.943905611642659</v>
      </c>
      <c r="J868">
        <v>16</v>
      </c>
      <c r="K868">
        <v>1705.118569865567</v>
      </c>
      <c r="L868">
        <v>1</v>
      </c>
      <c r="M868" t="s">
        <v>66</v>
      </c>
    </row>
    <row r="869" spans="1:13" x14ac:dyDescent="0.3">
      <c r="A869" t="s">
        <v>16</v>
      </c>
      <c r="B869" t="s">
        <v>36</v>
      </c>
      <c r="C869">
        <v>21.718150796964011</v>
      </c>
      <c r="D869">
        <v>1.0255412006519919</v>
      </c>
      <c r="E869">
        <v>0.9890966571699078</v>
      </c>
      <c r="F869">
        <v>2.8286763858022881</v>
      </c>
      <c r="G869">
        <v>6.1922869894903796</v>
      </c>
      <c r="H869">
        <v>27.64141918018985</v>
      </c>
      <c r="I869">
        <v>23.699007740314041</v>
      </c>
      <c r="J869">
        <v>23.65511239055547</v>
      </c>
      <c r="K869">
        <v>1726.0424914829071</v>
      </c>
      <c r="L869">
        <v>1</v>
      </c>
      <c r="M869" t="s">
        <v>66</v>
      </c>
    </row>
    <row r="870" spans="1:13" x14ac:dyDescent="0.3">
      <c r="A870" t="s">
        <v>22</v>
      </c>
      <c r="B870" t="s">
        <v>54</v>
      </c>
      <c r="C870">
        <v>22.679019740829101</v>
      </c>
      <c r="D870">
        <v>1.029506818267885</v>
      </c>
      <c r="E870">
        <v>1.030782894758669</v>
      </c>
      <c r="F870">
        <v>2.9292435198783591</v>
      </c>
      <c r="G870">
        <v>6.3163551344776492</v>
      </c>
      <c r="H870">
        <v>32.720557001680866</v>
      </c>
      <c r="I870">
        <v>19.25216725479476</v>
      </c>
      <c r="J870">
        <v>16</v>
      </c>
      <c r="K870">
        <v>1764.961767500527</v>
      </c>
      <c r="L870">
        <v>1</v>
      </c>
      <c r="M870" t="s">
        <v>66</v>
      </c>
    </row>
    <row r="871" spans="1:13" x14ac:dyDescent="0.3">
      <c r="A871" t="s">
        <v>24</v>
      </c>
      <c r="B871" t="s">
        <v>57</v>
      </c>
      <c r="C871">
        <v>7.6796118548015224</v>
      </c>
      <c r="D871">
        <v>0</v>
      </c>
      <c r="E871">
        <v>0</v>
      </c>
      <c r="F871">
        <v>1.063769098629169</v>
      </c>
      <c r="G871">
        <v>6.0737333779230678</v>
      </c>
      <c r="H871">
        <v>40.944697506396487</v>
      </c>
      <c r="I871">
        <v>23.034669174058909</v>
      </c>
      <c r="J871">
        <v>23.890462116887949</v>
      </c>
      <c r="K871">
        <v>728.35012321939348</v>
      </c>
      <c r="L871">
        <v>0</v>
      </c>
      <c r="M871" t="s">
        <v>66</v>
      </c>
    </row>
    <row r="872" spans="1:13" x14ac:dyDescent="0.3">
      <c r="A872" t="s">
        <v>24</v>
      </c>
      <c r="B872" t="s">
        <v>59</v>
      </c>
      <c r="C872">
        <v>389.28651135422672</v>
      </c>
      <c r="D872">
        <v>16.813212565921219</v>
      </c>
      <c r="E872">
        <v>25.66446040621673</v>
      </c>
      <c r="F872">
        <v>49.170620902139262</v>
      </c>
      <c r="G872">
        <v>5.3025868742697018</v>
      </c>
      <c r="H872">
        <v>76.77193220445163</v>
      </c>
      <c r="I872">
        <v>29.796781425790972</v>
      </c>
      <c r="J872">
        <v>31.841909821586189</v>
      </c>
      <c r="K872">
        <v>11</v>
      </c>
      <c r="L872">
        <v>-1</v>
      </c>
      <c r="M872" t="s">
        <v>66</v>
      </c>
    </row>
    <row r="873" spans="1:13" x14ac:dyDescent="0.3">
      <c r="A873" t="s">
        <v>19</v>
      </c>
      <c r="B873" t="s">
        <v>44</v>
      </c>
      <c r="C873">
        <v>47.644527609820528</v>
      </c>
      <c r="D873">
        <v>1.8979485113307331</v>
      </c>
      <c r="E873">
        <v>3.2335801513636828</v>
      </c>
      <c r="F873">
        <v>7.3443000031705656</v>
      </c>
      <c r="G873">
        <v>6.0785389553732871</v>
      </c>
      <c r="H873">
        <v>22.940040715201331</v>
      </c>
      <c r="I873">
        <v>19.081538928908159</v>
      </c>
      <c r="J873">
        <v>29.66363944404506</v>
      </c>
      <c r="K873">
        <v>2243.323283766797</v>
      </c>
      <c r="L873">
        <v>1</v>
      </c>
      <c r="M873" t="s">
        <v>66</v>
      </c>
    </row>
    <row r="874" spans="1:13" x14ac:dyDescent="0.3">
      <c r="A874" t="s">
        <v>15</v>
      </c>
      <c r="B874" t="s">
        <v>34</v>
      </c>
      <c r="C874">
        <v>104.1401242301921</v>
      </c>
      <c r="D874">
        <v>4.3548825544438801</v>
      </c>
      <c r="E874">
        <v>5.9193910848355724</v>
      </c>
      <c r="F874">
        <v>16.39840965619593</v>
      </c>
      <c r="G874">
        <v>5.83533664601085</v>
      </c>
      <c r="H874">
        <v>45.093867283028921</v>
      </c>
      <c r="I874">
        <v>23.55997138080135</v>
      </c>
      <c r="J874">
        <v>17.883224559600261</v>
      </c>
      <c r="K874">
        <v>2082.5889181666039</v>
      </c>
      <c r="L874">
        <v>1</v>
      </c>
      <c r="M874" t="s">
        <v>66</v>
      </c>
    </row>
    <row r="875" spans="1:13" x14ac:dyDescent="0.3">
      <c r="A875" t="s">
        <v>19</v>
      </c>
      <c r="B875" t="s">
        <v>45</v>
      </c>
      <c r="C875">
        <v>43.626827392069423</v>
      </c>
      <c r="D875">
        <v>1.985194758239492</v>
      </c>
      <c r="E875">
        <v>2.4263771074942211</v>
      </c>
      <c r="F875">
        <v>7.3960674151490151</v>
      </c>
      <c r="G875">
        <v>6.1506168152372442</v>
      </c>
      <c r="H875">
        <v>31.51739023277953</v>
      </c>
      <c r="I875">
        <v>22.345348966339881</v>
      </c>
      <c r="J875">
        <v>26.86992729784529</v>
      </c>
      <c r="K875">
        <v>1418.9805059499811</v>
      </c>
      <c r="L875">
        <v>1</v>
      </c>
      <c r="M875" t="s">
        <v>66</v>
      </c>
    </row>
    <row r="876" spans="1:13" x14ac:dyDescent="0.3">
      <c r="A876" t="s">
        <v>19</v>
      </c>
      <c r="B876" t="s">
        <v>44</v>
      </c>
      <c r="C876">
        <v>21.60074708824726</v>
      </c>
      <c r="D876">
        <v>1.0849486109958599</v>
      </c>
      <c r="E876">
        <v>0.96305478567952463</v>
      </c>
      <c r="F876">
        <v>3.256341324165998</v>
      </c>
      <c r="G876">
        <v>6.2032934756695672</v>
      </c>
      <c r="H876">
        <v>19.0863790488463</v>
      </c>
      <c r="I876">
        <v>19.948558895556669</v>
      </c>
      <c r="J876">
        <v>19.246023543828951</v>
      </c>
      <c r="K876">
        <v>1987.1723376669829</v>
      </c>
      <c r="L876">
        <v>1</v>
      </c>
      <c r="M876" t="s">
        <v>66</v>
      </c>
    </row>
    <row r="877" spans="1:13" x14ac:dyDescent="0.3">
      <c r="A877" t="s">
        <v>16</v>
      </c>
      <c r="B877" t="s">
        <v>38</v>
      </c>
      <c r="C877">
        <v>3.7696935045420621</v>
      </c>
      <c r="D877">
        <v>0</v>
      </c>
      <c r="E877">
        <v>0</v>
      </c>
      <c r="F877">
        <v>-1.7763568394002501E-15</v>
      </c>
      <c r="G877">
        <v>6.2315261296710904</v>
      </c>
      <c r="H877">
        <v>21.33061772227606</v>
      </c>
      <c r="I877">
        <v>18.315986950998219</v>
      </c>
      <c r="J877">
        <v>23.77873726214774</v>
      </c>
      <c r="K877">
        <v>1405.7265987540829</v>
      </c>
      <c r="L877">
        <v>1</v>
      </c>
      <c r="M877" t="s">
        <v>66</v>
      </c>
    </row>
    <row r="878" spans="1:13" x14ac:dyDescent="0.3">
      <c r="A878" t="s">
        <v>15</v>
      </c>
      <c r="B878" t="s">
        <v>32</v>
      </c>
      <c r="C878">
        <v>42.141232034927867</v>
      </c>
      <c r="D878">
        <v>2.4240692432501949</v>
      </c>
      <c r="E878">
        <v>2.6949638244907441</v>
      </c>
      <c r="F878">
        <v>6.599204072346545</v>
      </c>
      <c r="G878">
        <v>6.252485024039685</v>
      </c>
      <c r="H878">
        <v>32.542502717919511</v>
      </c>
      <c r="I878">
        <v>19.99215994829558</v>
      </c>
      <c r="J878">
        <v>18.967167920226089</v>
      </c>
      <c r="K878">
        <v>1852.6683100596581</v>
      </c>
      <c r="L878">
        <v>1</v>
      </c>
      <c r="M878" t="s">
        <v>66</v>
      </c>
    </row>
    <row r="879" spans="1:13" x14ac:dyDescent="0.3">
      <c r="A879" t="s">
        <v>18</v>
      </c>
      <c r="B879" t="s">
        <v>42</v>
      </c>
      <c r="C879">
        <v>35.122458817172458</v>
      </c>
      <c r="D879">
        <v>1.031672054140971</v>
      </c>
      <c r="E879">
        <v>2.330291173321537</v>
      </c>
      <c r="F879">
        <v>4.5809182328741187</v>
      </c>
      <c r="G879">
        <v>5.5962794401907372</v>
      </c>
      <c r="H879">
        <v>27.85926251561261</v>
      </c>
      <c r="I879">
        <v>20.248544150963191</v>
      </c>
      <c r="J879">
        <v>24.743245279584901</v>
      </c>
      <c r="K879">
        <v>1822.925005572147</v>
      </c>
      <c r="L879">
        <v>1</v>
      </c>
      <c r="M879" t="s">
        <v>66</v>
      </c>
    </row>
    <row r="880" spans="1:13" x14ac:dyDescent="0.3">
      <c r="A880" t="s">
        <v>22</v>
      </c>
      <c r="B880" t="s">
        <v>53</v>
      </c>
      <c r="C880">
        <v>49.42149540177612</v>
      </c>
      <c r="D880">
        <v>2.100651111483085</v>
      </c>
      <c r="E880">
        <v>3.208969411422081</v>
      </c>
      <c r="F880">
        <v>7.9060455602813624</v>
      </c>
      <c r="G880">
        <v>6.0151926313229307</v>
      </c>
      <c r="H880">
        <v>26.709463298337241</v>
      </c>
      <c r="I880">
        <v>24.338031398221329</v>
      </c>
      <c r="J880">
        <v>24.424784750019271</v>
      </c>
      <c r="K880">
        <v>1420.9532307593879</v>
      </c>
      <c r="L880">
        <v>1</v>
      </c>
      <c r="M880" t="s">
        <v>66</v>
      </c>
    </row>
    <row r="881" spans="1:13" x14ac:dyDescent="0.3">
      <c r="A881" t="s">
        <v>18</v>
      </c>
      <c r="B881" t="s">
        <v>40</v>
      </c>
      <c r="C881">
        <v>24.088303549681871</v>
      </c>
      <c r="D881">
        <v>0.86464003200552186</v>
      </c>
      <c r="E881">
        <v>0.97075455780694497</v>
      </c>
      <c r="F881">
        <v>2.9526196931723252</v>
      </c>
      <c r="G881">
        <v>5.5306552412701766</v>
      </c>
      <c r="H881">
        <v>23.740939565264728</v>
      </c>
      <c r="I881">
        <v>20.29685231122415</v>
      </c>
      <c r="J881">
        <v>20.670970873815008</v>
      </c>
      <c r="K881">
        <v>1874.709388575194</v>
      </c>
      <c r="L881">
        <v>1</v>
      </c>
      <c r="M881" t="s">
        <v>66</v>
      </c>
    </row>
    <row r="882" spans="1:13" x14ac:dyDescent="0.3">
      <c r="A882" t="s">
        <v>21</v>
      </c>
      <c r="B882" t="s">
        <v>52</v>
      </c>
      <c r="C882">
        <v>63.555737012200012</v>
      </c>
      <c r="D882">
        <v>2.3851268023609</v>
      </c>
      <c r="E882">
        <v>4.3242381897115472</v>
      </c>
      <c r="F882">
        <v>8.5399852460698984</v>
      </c>
      <c r="G882">
        <v>5.9588407947786646</v>
      </c>
      <c r="H882">
        <v>27.813974327677691</v>
      </c>
      <c r="I882">
        <v>20.12225055608431</v>
      </c>
      <c r="J882">
        <v>19.813199606423989</v>
      </c>
      <c r="K882">
        <v>1544.9264075220881</v>
      </c>
      <c r="L882">
        <v>1</v>
      </c>
      <c r="M882" t="s">
        <v>66</v>
      </c>
    </row>
    <row r="883" spans="1:13" x14ac:dyDescent="0.3">
      <c r="A883" t="s">
        <v>20</v>
      </c>
      <c r="B883" t="s">
        <v>51</v>
      </c>
      <c r="C883">
        <v>256.3018076971627</v>
      </c>
      <c r="D883">
        <v>12.29614031441859</v>
      </c>
      <c r="E883">
        <v>19.281393867125271</v>
      </c>
      <c r="F883">
        <v>40.720782401916942</v>
      </c>
      <c r="G883">
        <v>5.2148900757943633</v>
      </c>
      <c r="H883">
        <v>28.884493722358609</v>
      </c>
      <c r="I883">
        <v>20.033220435122491</v>
      </c>
      <c r="J883">
        <v>18.720588361978312</v>
      </c>
      <c r="K883">
        <v>1493.515055399843</v>
      </c>
      <c r="L883">
        <v>1</v>
      </c>
      <c r="M883" t="s">
        <v>66</v>
      </c>
    </row>
    <row r="884" spans="1:13" x14ac:dyDescent="0.3">
      <c r="A884" t="s">
        <v>24</v>
      </c>
      <c r="B884" t="s">
        <v>61</v>
      </c>
      <c r="C884">
        <v>349.1860756712652</v>
      </c>
      <c r="D884">
        <v>15.36080001098505</v>
      </c>
      <c r="E884">
        <v>22.578281626827469</v>
      </c>
      <c r="F884">
        <v>53.53218242599025</v>
      </c>
      <c r="G884">
        <v>4.3444431452361094</v>
      </c>
      <c r="H884">
        <v>52.914072238187217</v>
      </c>
      <c r="I884">
        <v>30.28955654140864</v>
      </c>
      <c r="J884">
        <v>31.144532051985468</v>
      </c>
      <c r="K884">
        <v>13.96781770012103</v>
      </c>
      <c r="L884">
        <v>-1</v>
      </c>
      <c r="M884" t="s">
        <v>66</v>
      </c>
    </row>
    <row r="885" spans="1:13" x14ac:dyDescent="0.3">
      <c r="A885" t="s">
        <v>19</v>
      </c>
      <c r="B885" t="s">
        <v>44</v>
      </c>
      <c r="C885">
        <v>18.57765613440338</v>
      </c>
      <c r="D885">
        <v>0</v>
      </c>
      <c r="E885">
        <v>1.0666283860648209</v>
      </c>
      <c r="F885">
        <v>3.1734065458646969</v>
      </c>
      <c r="G885">
        <v>5.1286084705591586</v>
      </c>
      <c r="H885">
        <v>15.029915075006659</v>
      </c>
      <c r="I885">
        <v>32.88996844691335</v>
      </c>
      <c r="J885">
        <v>23.530137955218219</v>
      </c>
      <c r="K885">
        <v>1353.568661182991</v>
      </c>
      <c r="L885">
        <v>0</v>
      </c>
      <c r="M885" t="s">
        <v>66</v>
      </c>
    </row>
    <row r="886" spans="1:13" x14ac:dyDescent="0.3">
      <c r="A886" t="s">
        <v>19</v>
      </c>
      <c r="B886" t="s">
        <v>48</v>
      </c>
      <c r="C886">
        <v>33.39073053129615</v>
      </c>
      <c r="D886">
        <v>0.93761060430507737</v>
      </c>
      <c r="E886">
        <v>2.2483936440184191</v>
      </c>
      <c r="F886">
        <v>6.6855008587525084</v>
      </c>
      <c r="G886">
        <v>5.9974664598901573</v>
      </c>
      <c r="H886">
        <v>23.455746368204021</v>
      </c>
      <c r="I886">
        <v>32.004743258177278</v>
      </c>
      <c r="J886">
        <v>25.605078154190291</v>
      </c>
      <c r="K886">
        <v>1182.377759377086</v>
      </c>
      <c r="L886">
        <v>0</v>
      </c>
      <c r="M886" t="s">
        <v>66</v>
      </c>
    </row>
    <row r="887" spans="1:13" x14ac:dyDescent="0.3">
      <c r="A887" t="s">
        <v>21</v>
      </c>
      <c r="B887" t="s">
        <v>52</v>
      </c>
      <c r="C887">
        <v>30.1660973828381</v>
      </c>
      <c r="D887">
        <v>0.86379349313923148</v>
      </c>
      <c r="E887">
        <v>2.2745683443204321</v>
      </c>
      <c r="F887">
        <v>4.7698201999699954</v>
      </c>
      <c r="G887">
        <v>6.0849070084707213</v>
      </c>
      <c r="H887">
        <v>26.28900853959092</v>
      </c>
      <c r="I887">
        <v>26.166432857766491</v>
      </c>
      <c r="J887">
        <v>21.952314562161622</v>
      </c>
      <c r="K887">
        <v>1203.990970606472</v>
      </c>
      <c r="L887">
        <v>1</v>
      </c>
      <c r="M887" t="s">
        <v>66</v>
      </c>
    </row>
    <row r="888" spans="1:13" x14ac:dyDescent="0.3">
      <c r="A888" t="s">
        <v>24</v>
      </c>
      <c r="B888" t="s">
        <v>59</v>
      </c>
      <c r="C888">
        <v>57.060010969096233</v>
      </c>
      <c r="D888">
        <v>2.4455731827641198</v>
      </c>
      <c r="E888">
        <v>3.9445530271499392</v>
      </c>
      <c r="F888">
        <v>7.7931604591730501</v>
      </c>
      <c r="G888">
        <v>6.6683364127676166</v>
      </c>
      <c r="H888">
        <v>55.639017206511362</v>
      </c>
      <c r="I888">
        <v>26.223194390157079</v>
      </c>
      <c r="J888">
        <v>23.701833609858092</v>
      </c>
      <c r="K888">
        <v>735.94991651724376</v>
      </c>
      <c r="L888">
        <v>0</v>
      </c>
      <c r="M888" t="s">
        <v>66</v>
      </c>
    </row>
    <row r="889" spans="1:13" x14ac:dyDescent="0.3">
      <c r="A889" t="s">
        <v>15</v>
      </c>
      <c r="B889" t="s">
        <v>33</v>
      </c>
      <c r="C889">
        <v>42.87751291575335</v>
      </c>
      <c r="D889">
        <v>2.010014395688851</v>
      </c>
      <c r="E889">
        <v>2.0617278526874032</v>
      </c>
      <c r="F889">
        <v>6.9631205795441824</v>
      </c>
      <c r="G889">
        <v>6.1690555728871566</v>
      </c>
      <c r="H889">
        <v>38.657989110441527</v>
      </c>
      <c r="I889">
        <v>19.8061178984407</v>
      </c>
      <c r="J889">
        <v>18.498521646671279</v>
      </c>
      <c r="K889">
        <v>1915.94480369436</v>
      </c>
      <c r="L889">
        <v>1</v>
      </c>
      <c r="M889" t="s">
        <v>66</v>
      </c>
    </row>
    <row r="890" spans="1:13" x14ac:dyDescent="0.3">
      <c r="A890" t="s">
        <v>22</v>
      </c>
      <c r="B890" t="s">
        <v>54</v>
      </c>
      <c r="C890">
        <v>22.568367761204339</v>
      </c>
      <c r="D890">
        <v>0.89709634414410644</v>
      </c>
      <c r="E890">
        <v>0.85430328995860538</v>
      </c>
      <c r="F890">
        <v>3.293720300396386</v>
      </c>
      <c r="G890">
        <v>6.527283088317609</v>
      </c>
      <c r="H890">
        <v>33.942922588821993</v>
      </c>
      <c r="I890">
        <v>17.698252155354549</v>
      </c>
      <c r="J890">
        <v>16.287689743373129</v>
      </c>
      <c r="K890">
        <v>1756.9276546691569</v>
      </c>
      <c r="L890">
        <v>1</v>
      </c>
      <c r="M890" t="s">
        <v>66</v>
      </c>
    </row>
    <row r="891" spans="1:13" x14ac:dyDescent="0.3">
      <c r="A891" t="s">
        <v>20</v>
      </c>
      <c r="B891" t="s">
        <v>50</v>
      </c>
      <c r="C891">
        <v>51.3559449728684</v>
      </c>
      <c r="D891">
        <v>2.110088914365682</v>
      </c>
      <c r="E891">
        <v>3.0223782624608062</v>
      </c>
      <c r="F891">
        <v>7.1995631633673334</v>
      </c>
      <c r="G891">
        <v>6.670782983424969</v>
      </c>
      <c r="H891">
        <v>21.640584675750102</v>
      </c>
      <c r="I891">
        <v>23.224890936131569</v>
      </c>
      <c r="J891">
        <v>20.135989606260811</v>
      </c>
      <c r="K891">
        <v>1783.9261171880739</v>
      </c>
      <c r="L891">
        <v>1</v>
      </c>
      <c r="M891" t="s">
        <v>66</v>
      </c>
    </row>
    <row r="892" spans="1:13" x14ac:dyDescent="0.3">
      <c r="A892" t="s">
        <v>22</v>
      </c>
      <c r="B892" t="s">
        <v>54</v>
      </c>
      <c r="C892">
        <v>22.99854531082936</v>
      </c>
      <c r="D892">
        <v>1.0507425431204469</v>
      </c>
      <c r="E892">
        <v>1.1287732324206621</v>
      </c>
      <c r="F892">
        <v>3.1964697498764409</v>
      </c>
      <c r="G892">
        <v>6.3414475066663449</v>
      </c>
      <c r="H892">
        <v>34.818442553887103</v>
      </c>
      <c r="I892">
        <v>18.289126444706952</v>
      </c>
      <c r="J892">
        <v>16</v>
      </c>
      <c r="K892">
        <v>1730.668568438183</v>
      </c>
      <c r="L892">
        <v>1</v>
      </c>
      <c r="M892" t="s">
        <v>66</v>
      </c>
    </row>
    <row r="893" spans="1:13" x14ac:dyDescent="0.3">
      <c r="A893" t="s">
        <v>16</v>
      </c>
      <c r="B893" t="s">
        <v>35</v>
      </c>
      <c r="C893">
        <v>95.809328892439567</v>
      </c>
      <c r="D893">
        <v>3.2027954654381121</v>
      </c>
      <c r="E893">
        <v>6.6698403760389402</v>
      </c>
      <c r="F893">
        <v>11.713619922921049</v>
      </c>
      <c r="G893">
        <v>6.276464311071468</v>
      </c>
      <c r="H893">
        <v>32.167651541516371</v>
      </c>
      <c r="I893">
        <v>21.415688705333871</v>
      </c>
      <c r="J893">
        <v>28.984596675299009</v>
      </c>
      <c r="K893">
        <v>2064.5873230402608</v>
      </c>
      <c r="L893">
        <v>1</v>
      </c>
      <c r="M893" t="s">
        <v>66</v>
      </c>
    </row>
    <row r="894" spans="1:13" x14ac:dyDescent="0.3">
      <c r="A894" t="s">
        <v>19</v>
      </c>
      <c r="B894" t="s">
        <v>48</v>
      </c>
      <c r="C894">
        <v>26.479874879695739</v>
      </c>
      <c r="D894">
        <v>0.77892936032804361</v>
      </c>
      <c r="E894">
        <v>1.095304627153707</v>
      </c>
      <c r="F894">
        <v>4.276440835971961</v>
      </c>
      <c r="G894">
        <v>5.7670661309249942</v>
      </c>
      <c r="H894">
        <v>16.170536530357101</v>
      </c>
      <c r="I894">
        <v>30.428947241179131</v>
      </c>
      <c r="J894">
        <v>25.36398872820536</v>
      </c>
      <c r="K894">
        <v>1154.6914391302</v>
      </c>
      <c r="L894">
        <v>0</v>
      </c>
      <c r="M894" t="s">
        <v>66</v>
      </c>
    </row>
    <row r="895" spans="1:13" x14ac:dyDescent="0.3">
      <c r="A895" t="s">
        <v>25</v>
      </c>
      <c r="B895" t="s">
        <v>62</v>
      </c>
      <c r="C895">
        <v>101.02365381178829</v>
      </c>
      <c r="D895">
        <v>4.704277944311249</v>
      </c>
      <c r="E895">
        <v>7.2683758227140078</v>
      </c>
      <c r="F895">
        <v>14.400742292435069</v>
      </c>
      <c r="G895">
        <v>6.7848386254080699</v>
      </c>
      <c r="H895">
        <v>14.062442619335</v>
      </c>
      <c r="I895">
        <v>33.672653577302107</v>
      </c>
      <c r="J895">
        <v>30.764092005501951</v>
      </c>
      <c r="K895">
        <v>46.74351937453207</v>
      </c>
      <c r="L895">
        <v>-1</v>
      </c>
      <c r="M895" t="s">
        <v>66</v>
      </c>
    </row>
    <row r="896" spans="1:13" x14ac:dyDescent="0.3">
      <c r="A896" t="s">
        <v>19</v>
      </c>
      <c r="B896" t="s">
        <v>48</v>
      </c>
      <c r="C896">
        <v>96.873496829307825</v>
      </c>
      <c r="D896">
        <v>4.1055161032922314</v>
      </c>
      <c r="E896">
        <v>6.475000242170883</v>
      </c>
      <c r="F896">
        <v>13.553249669571001</v>
      </c>
      <c r="G896">
        <v>5.7223817863251352</v>
      </c>
      <c r="H896">
        <v>37.438796123311967</v>
      </c>
      <c r="I896">
        <v>24.88724035243801</v>
      </c>
      <c r="J896">
        <v>24.763577846187172</v>
      </c>
      <c r="K896">
        <v>671.28293341723827</v>
      </c>
      <c r="L896">
        <v>1</v>
      </c>
      <c r="M896" t="s">
        <v>66</v>
      </c>
    </row>
    <row r="897" spans="1:13" x14ac:dyDescent="0.3">
      <c r="A897" t="s">
        <v>25</v>
      </c>
      <c r="B897" t="s">
        <v>62</v>
      </c>
      <c r="C897">
        <v>560.24509074094476</v>
      </c>
      <c r="D897">
        <v>26.808277894303259</v>
      </c>
      <c r="E897">
        <v>46.527897022562811</v>
      </c>
      <c r="F897">
        <v>94.996735917410405</v>
      </c>
      <c r="G897">
        <v>4.4984253442099167</v>
      </c>
      <c r="H897">
        <v>88.4</v>
      </c>
      <c r="I897">
        <v>26.93217826184469</v>
      </c>
      <c r="J897">
        <v>23.74498880253643</v>
      </c>
      <c r="K897">
        <v>703.34395153131413</v>
      </c>
      <c r="L897">
        <v>0</v>
      </c>
      <c r="M897" t="s">
        <v>66</v>
      </c>
    </row>
    <row r="898" spans="1:13" x14ac:dyDescent="0.3">
      <c r="A898" t="s">
        <v>18</v>
      </c>
      <c r="B898" t="s">
        <v>43</v>
      </c>
      <c r="C898">
        <v>28.37635566516796</v>
      </c>
      <c r="D898">
        <v>0.97119073320131077</v>
      </c>
      <c r="E898">
        <v>1.9223447533802549</v>
      </c>
      <c r="F898">
        <v>4.2428878447526763</v>
      </c>
      <c r="G898">
        <v>5.7396108912447046</v>
      </c>
      <c r="H898">
        <v>29.884830050845171</v>
      </c>
      <c r="I898">
        <v>26.877434205235481</v>
      </c>
      <c r="J898">
        <v>19.426384652838919</v>
      </c>
      <c r="K898">
        <v>1857.0727020050849</v>
      </c>
      <c r="L898">
        <v>1</v>
      </c>
      <c r="M898" t="s">
        <v>66</v>
      </c>
    </row>
    <row r="899" spans="1:13" x14ac:dyDescent="0.3">
      <c r="A899" t="s">
        <v>21</v>
      </c>
      <c r="B899" t="s">
        <v>52</v>
      </c>
      <c r="C899">
        <v>21.683382626815661</v>
      </c>
      <c r="D899">
        <v>0.87367607052866569</v>
      </c>
      <c r="E899">
        <v>0.86003369380927985</v>
      </c>
      <c r="F899">
        <v>2.81156891882106</v>
      </c>
      <c r="G899">
        <v>6.5348612310464818</v>
      </c>
      <c r="H899">
        <v>50.316043101773211</v>
      </c>
      <c r="I899">
        <v>23.36737156751871</v>
      </c>
      <c r="J899">
        <v>21.80595981571976</v>
      </c>
      <c r="K899">
        <v>1287.7891862789061</v>
      </c>
      <c r="L899">
        <v>1</v>
      </c>
      <c r="M899" t="s">
        <v>66</v>
      </c>
    </row>
    <row r="900" spans="1:13" x14ac:dyDescent="0.3">
      <c r="A900" t="s">
        <v>18</v>
      </c>
      <c r="B900" t="s">
        <v>42</v>
      </c>
      <c r="C900">
        <v>49.116450066047143</v>
      </c>
      <c r="D900">
        <v>2.1117169507554241</v>
      </c>
      <c r="E900">
        <v>2.523196265281316</v>
      </c>
      <c r="F900">
        <v>6.3516515650273666</v>
      </c>
      <c r="G900">
        <v>5.3649199212361687</v>
      </c>
      <c r="H900">
        <v>19.355023196080442</v>
      </c>
      <c r="I900">
        <v>23.948850629911881</v>
      </c>
      <c r="J900">
        <v>27.63383633670869</v>
      </c>
      <c r="K900">
        <v>1551.882688238451</v>
      </c>
      <c r="L900">
        <v>1</v>
      </c>
      <c r="M900" t="s">
        <v>66</v>
      </c>
    </row>
    <row r="901" spans="1:13" x14ac:dyDescent="0.3">
      <c r="A901" t="s">
        <v>24</v>
      </c>
      <c r="B901" t="s">
        <v>60</v>
      </c>
      <c r="C901">
        <v>544.12096247569059</v>
      </c>
      <c r="D901">
        <v>23.732002224471149</v>
      </c>
      <c r="E901">
        <v>25.814195606624171</v>
      </c>
      <c r="F901">
        <v>79.850496686653656</v>
      </c>
      <c r="G901">
        <v>5.3495281653740268</v>
      </c>
      <c r="H901">
        <v>65.443056905183326</v>
      </c>
      <c r="I901">
        <v>31.751460435603171</v>
      </c>
      <c r="J901">
        <v>31.165124384008621</v>
      </c>
      <c r="K901">
        <v>11</v>
      </c>
      <c r="L901">
        <v>-1</v>
      </c>
      <c r="M901" t="s">
        <v>66</v>
      </c>
    </row>
    <row r="902" spans="1:13" x14ac:dyDescent="0.3">
      <c r="A902" t="s">
        <v>15</v>
      </c>
      <c r="B902" t="s">
        <v>34</v>
      </c>
      <c r="C902">
        <v>30.302868393363241</v>
      </c>
      <c r="D902">
        <v>1.046212617893894</v>
      </c>
      <c r="E902">
        <v>1.7357755797361121</v>
      </c>
      <c r="F902">
        <v>3.9245954653630251</v>
      </c>
      <c r="G902">
        <v>6.2853892187918436</v>
      </c>
      <c r="H902">
        <v>22.505434025844028</v>
      </c>
      <c r="I902">
        <v>16.830861276524939</v>
      </c>
      <c r="J902">
        <v>26.80276625346297</v>
      </c>
      <c r="K902">
        <v>1637.664230132566</v>
      </c>
      <c r="L902">
        <v>1</v>
      </c>
      <c r="M902" t="s">
        <v>66</v>
      </c>
    </row>
    <row r="903" spans="1:13" x14ac:dyDescent="0.3">
      <c r="A903" t="s">
        <v>15</v>
      </c>
      <c r="B903" t="s">
        <v>32</v>
      </c>
      <c r="C903">
        <v>7.3685001096740166</v>
      </c>
      <c r="D903">
        <v>0</v>
      </c>
      <c r="E903">
        <v>0</v>
      </c>
      <c r="F903">
        <v>1.00438204738003</v>
      </c>
      <c r="G903">
        <v>6.7369379785421666</v>
      </c>
      <c r="H903">
        <v>25.686532361683081</v>
      </c>
      <c r="I903">
        <v>21.896683559166949</v>
      </c>
      <c r="J903">
        <v>19.642073376596748</v>
      </c>
      <c r="K903">
        <v>1602.4382876500699</v>
      </c>
      <c r="L903">
        <v>1</v>
      </c>
      <c r="M903" t="s">
        <v>66</v>
      </c>
    </row>
    <row r="904" spans="1:13" x14ac:dyDescent="0.3">
      <c r="A904" t="s">
        <v>19</v>
      </c>
      <c r="B904" t="s">
        <v>47</v>
      </c>
      <c r="C904">
        <v>9.9590646138390468</v>
      </c>
      <c r="D904">
        <v>4.9458143443254974</v>
      </c>
      <c r="E904">
        <v>7.7719671618088171</v>
      </c>
      <c r="F904">
        <v>14.557659633906241</v>
      </c>
      <c r="G904">
        <v>6.3139231935265823</v>
      </c>
      <c r="H904">
        <v>31.06990589735717</v>
      </c>
      <c r="I904">
        <v>25.008000532541669</v>
      </c>
      <c r="J904">
        <v>24.438386242933088</v>
      </c>
      <c r="K904">
        <v>664.69144618318171</v>
      </c>
      <c r="L904">
        <v>1</v>
      </c>
      <c r="M904" t="s">
        <v>66</v>
      </c>
    </row>
    <row r="905" spans="1:13" x14ac:dyDescent="0.3">
      <c r="A905" t="s">
        <v>18</v>
      </c>
      <c r="B905" t="s">
        <v>43</v>
      </c>
      <c r="C905">
        <v>29.051775292170571</v>
      </c>
      <c r="D905">
        <v>1.066098902047532</v>
      </c>
      <c r="E905">
        <v>2.190879969859</v>
      </c>
      <c r="F905">
        <v>4.0569469814421328</v>
      </c>
      <c r="G905">
        <v>5.8038929921477012</v>
      </c>
      <c r="H905">
        <v>33.54708676839531</v>
      </c>
      <c r="I905">
        <v>29.086052980573879</v>
      </c>
      <c r="J905">
        <v>18.633096127508011</v>
      </c>
      <c r="K905">
        <v>1827.617972370849</v>
      </c>
      <c r="L905">
        <v>1</v>
      </c>
      <c r="M905" t="s">
        <v>66</v>
      </c>
    </row>
    <row r="906" spans="1:13" x14ac:dyDescent="0.3">
      <c r="A906" t="s">
        <v>15</v>
      </c>
      <c r="B906" t="s">
        <v>34</v>
      </c>
      <c r="C906">
        <v>109.0352989019062</v>
      </c>
      <c r="D906">
        <v>4.8874247630186067</v>
      </c>
      <c r="E906">
        <v>8.1966952688392762</v>
      </c>
      <c r="F906">
        <v>17.148169007893571</v>
      </c>
      <c r="G906">
        <v>5.8648371191402431</v>
      </c>
      <c r="H906">
        <v>43.972792328292478</v>
      </c>
      <c r="I906">
        <v>16.183395313766329</v>
      </c>
      <c r="J906">
        <v>27.515763710177321</v>
      </c>
      <c r="K906">
        <v>1655.0360539683591</v>
      </c>
      <c r="L906">
        <v>1</v>
      </c>
      <c r="M906" t="s">
        <v>66</v>
      </c>
    </row>
    <row r="907" spans="1:13" x14ac:dyDescent="0.3">
      <c r="A907" t="s">
        <v>24</v>
      </c>
      <c r="B907" t="s">
        <v>61</v>
      </c>
      <c r="C907">
        <v>347.22716034989202</v>
      </c>
      <c r="D907">
        <v>18.497794566412981</v>
      </c>
      <c r="E907">
        <v>23.801876644294449</v>
      </c>
      <c r="F907">
        <v>39.804908750085723</v>
      </c>
      <c r="G907">
        <v>4.4999844175934678</v>
      </c>
      <c r="H907">
        <v>54.818858187361869</v>
      </c>
      <c r="I907">
        <v>29.939450555981121</v>
      </c>
      <c r="J907">
        <v>32.376873878548068</v>
      </c>
      <c r="K907">
        <v>14.097056578864789</v>
      </c>
      <c r="L907">
        <v>-1</v>
      </c>
      <c r="M907" t="s">
        <v>66</v>
      </c>
    </row>
    <row r="908" spans="1:13" x14ac:dyDescent="0.3">
      <c r="A908" t="s">
        <v>19</v>
      </c>
      <c r="B908" t="s">
        <v>44</v>
      </c>
      <c r="C908">
        <v>28.508213506821861</v>
      </c>
      <c r="D908">
        <v>1.014283243787883</v>
      </c>
      <c r="E908">
        <v>1.957080868514179</v>
      </c>
      <c r="F908">
        <v>3.8372508196188502</v>
      </c>
      <c r="G908">
        <v>5.8613816675433057</v>
      </c>
      <c r="H908">
        <v>20.67204114409849</v>
      </c>
      <c r="I908">
        <v>19.746255003208429</v>
      </c>
      <c r="J908">
        <v>19.218492165896251</v>
      </c>
      <c r="K908">
        <v>1872.1409037205319</v>
      </c>
      <c r="L908">
        <v>1</v>
      </c>
      <c r="M908" t="s">
        <v>66</v>
      </c>
    </row>
    <row r="909" spans="1:13" x14ac:dyDescent="0.3">
      <c r="A909" t="s">
        <v>15</v>
      </c>
      <c r="B909" t="s">
        <v>30</v>
      </c>
      <c r="C909">
        <v>97.397948805279384</v>
      </c>
      <c r="D909">
        <v>4.2416118186157803</v>
      </c>
      <c r="E909">
        <v>7.8720150792361103</v>
      </c>
      <c r="F909">
        <v>12.484186177888359</v>
      </c>
      <c r="G909">
        <v>6.0574468839091979</v>
      </c>
      <c r="H909">
        <v>27.008150577507731</v>
      </c>
      <c r="I909">
        <v>20.720343264012939</v>
      </c>
      <c r="J909">
        <v>29.17167750926756</v>
      </c>
      <c r="K909">
        <v>2050.5267283179692</v>
      </c>
      <c r="L909">
        <v>1</v>
      </c>
      <c r="M909" t="s">
        <v>66</v>
      </c>
    </row>
    <row r="910" spans="1:13" x14ac:dyDescent="0.3">
      <c r="A910" t="s">
        <v>22</v>
      </c>
      <c r="B910" t="s">
        <v>55</v>
      </c>
      <c r="C910">
        <v>7.393914724561327</v>
      </c>
      <c r="D910">
        <v>0</v>
      </c>
      <c r="E910">
        <v>0</v>
      </c>
      <c r="F910">
        <v>1.0372967249539351</v>
      </c>
      <c r="G910">
        <v>6.3946521971010961</v>
      </c>
      <c r="H910">
        <v>23.35704030293757</v>
      </c>
      <c r="I910">
        <v>18.463932170774569</v>
      </c>
      <c r="J910">
        <v>16</v>
      </c>
      <c r="K910">
        <v>1736.07853322803</v>
      </c>
      <c r="L910">
        <v>1</v>
      </c>
      <c r="M910" t="s">
        <v>66</v>
      </c>
    </row>
    <row r="911" spans="1:13" x14ac:dyDescent="0.3">
      <c r="A911" t="s">
        <v>15</v>
      </c>
      <c r="B911" t="s">
        <v>33</v>
      </c>
      <c r="C911">
        <v>81.945099810792001</v>
      </c>
      <c r="D911">
        <v>2.7000746500839541</v>
      </c>
      <c r="E911">
        <v>4.3757344297640559</v>
      </c>
      <c r="F911">
        <v>13.067137698587031</v>
      </c>
      <c r="G911">
        <v>5.3225517948720578</v>
      </c>
      <c r="H911">
        <v>24.992916012669561</v>
      </c>
      <c r="I911">
        <v>18.478300010701759</v>
      </c>
      <c r="J911">
        <v>17.540947637358531</v>
      </c>
      <c r="K911">
        <v>1934.0150022786461</v>
      </c>
      <c r="L911">
        <v>1</v>
      </c>
      <c r="M911" t="s">
        <v>66</v>
      </c>
    </row>
    <row r="912" spans="1:13" x14ac:dyDescent="0.3">
      <c r="A912" t="s">
        <v>19</v>
      </c>
      <c r="B912" t="s">
        <v>47</v>
      </c>
      <c r="C912">
        <v>74.38277145987476</v>
      </c>
      <c r="D912">
        <v>2.288803203974656</v>
      </c>
      <c r="E912">
        <v>4.7870369315128452</v>
      </c>
      <c r="F912">
        <v>12.014364680067271</v>
      </c>
      <c r="G912">
        <v>6.6161158059646246</v>
      </c>
      <c r="H912">
        <v>14.50129224295239</v>
      </c>
      <c r="I912">
        <v>27.162659519437909</v>
      </c>
      <c r="J912">
        <v>24.731776032464111</v>
      </c>
      <c r="K912">
        <v>679.95019324716338</v>
      </c>
      <c r="L912">
        <v>1</v>
      </c>
      <c r="M912" t="s">
        <v>66</v>
      </c>
    </row>
    <row r="913" spans="1:13" x14ac:dyDescent="0.3">
      <c r="A913" t="s">
        <v>18</v>
      </c>
      <c r="B913" t="s">
        <v>40</v>
      </c>
      <c r="C913">
        <v>121.5277202529663</v>
      </c>
      <c r="D913">
        <v>5.3133167055531896</v>
      </c>
      <c r="E913">
        <v>7.7509251041946756</v>
      </c>
      <c r="F913">
        <v>19.77793618447221</v>
      </c>
      <c r="G913">
        <v>4.9309852964356757</v>
      </c>
      <c r="H913">
        <v>52.924502540751241</v>
      </c>
      <c r="I913">
        <v>19.400022821923699</v>
      </c>
      <c r="J913">
        <v>19.763537196227499</v>
      </c>
      <c r="K913">
        <v>1691.263308695455</v>
      </c>
      <c r="L913">
        <v>1</v>
      </c>
      <c r="M913" t="s">
        <v>66</v>
      </c>
    </row>
    <row r="914" spans="1:13" x14ac:dyDescent="0.3">
      <c r="A914" t="s">
        <v>16</v>
      </c>
      <c r="B914" t="s">
        <v>38</v>
      </c>
      <c r="C914">
        <v>3.772253250309376</v>
      </c>
      <c r="D914">
        <v>0</v>
      </c>
      <c r="E914">
        <v>0</v>
      </c>
      <c r="F914">
        <v>-1.7763568394002501E-15</v>
      </c>
      <c r="G914">
        <v>6.3070512976184503</v>
      </c>
      <c r="H914">
        <v>22.79646087462104</v>
      </c>
      <c r="I914">
        <v>17.517161105141739</v>
      </c>
      <c r="J914">
        <v>23.660540087170219</v>
      </c>
      <c r="K914">
        <v>1432.331333180601</v>
      </c>
      <c r="L914">
        <v>1</v>
      </c>
      <c r="M914" t="s">
        <v>66</v>
      </c>
    </row>
    <row r="915" spans="1:13" x14ac:dyDescent="0.3">
      <c r="A915" t="s">
        <v>19</v>
      </c>
      <c r="B915" t="s">
        <v>44</v>
      </c>
      <c r="C915">
        <v>20.896140257109199</v>
      </c>
      <c r="D915">
        <v>0.98904662749513639</v>
      </c>
      <c r="E915">
        <v>1.1051214003955481</v>
      </c>
      <c r="F915">
        <v>2.8953297167460099</v>
      </c>
      <c r="G915">
        <v>6.1642168841891722</v>
      </c>
      <c r="H915">
        <v>15.64788650730908</v>
      </c>
      <c r="I915">
        <v>25.75723679930012</v>
      </c>
      <c r="J915">
        <v>24.168252840649501</v>
      </c>
      <c r="K915">
        <v>1327.3132808204491</v>
      </c>
      <c r="L915">
        <v>0</v>
      </c>
      <c r="M915" t="s">
        <v>66</v>
      </c>
    </row>
    <row r="916" spans="1:13" x14ac:dyDescent="0.3">
      <c r="A916" t="s">
        <v>18</v>
      </c>
      <c r="B916" t="s">
        <v>40</v>
      </c>
      <c r="C916">
        <v>138.36744073632849</v>
      </c>
      <c r="D916">
        <v>6.8689943691726851</v>
      </c>
      <c r="E916">
        <v>8.8123305662999147</v>
      </c>
      <c r="F916">
        <v>21.986611362858749</v>
      </c>
      <c r="G916">
        <v>6.1890280236458786</v>
      </c>
      <c r="H916">
        <v>26.838185818439602</v>
      </c>
      <c r="I916">
        <v>22.224344014723801</v>
      </c>
      <c r="J916">
        <v>21.240895883155009</v>
      </c>
      <c r="K916">
        <v>1684.0693014319149</v>
      </c>
      <c r="L916">
        <v>1</v>
      </c>
      <c r="M916" t="s">
        <v>66</v>
      </c>
    </row>
    <row r="917" spans="1:13" x14ac:dyDescent="0.3">
      <c r="A917" t="s">
        <v>25</v>
      </c>
      <c r="B917" t="s">
        <v>62</v>
      </c>
      <c r="C917">
        <v>88.644047345722996</v>
      </c>
      <c r="D917">
        <v>3.389773209794964</v>
      </c>
      <c r="E917">
        <v>6.1314458285644564</v>
      </c>
      <c r="F917">
        <v>13.862122159658851</v>
      </c>
      <c r="G917">
        <v>6.6399155497881734</v>
      </c>
      <c r="H917">
        <v>14.344332245469539</v>
      </c>
      <c r="I917">
        <v>36.076172577821758</v>
      </c>
      <c r="J917">
        <v>30.329582922841858</v>
      </c>
      <c r="K917">
        <v>48.184409877429289</v>
      </c>
      <c r="L917">
        <v>-1</v>
      </c>
      <c r="M917" t="s">
        <v>66</v>
      </c>
    </row>
    <row r="918" spans="1:13" x14ac:dyDescent="0.3">
      <c r="A918" t="s">
        <v>19</v>
      </c>
      <c r="B918" t="s">
        <v>44</v>
      </c>
      <c r="C918">
        <v>51.18409810267201</v>
      </c>
      <c r="D918">
        <v>2.0611540734202038</v>
      </c>
      <c r="E918">
        <v>2.8120657070384181</v>
      </c>
      <c r="F918">
        <v>7.3062868560666034</v>
      </c>
      <c r="G918">
        <v>6.0289321662420257</v>
      </c>
      <c r="H918">
        <v>26.633779979224489</v>
      </c>
      <c r="I918">
        <v>19.18540519229785</v>
      </c>
      <c r="J918">
        <v>30.109330577459421</v>
      </c>
      <c r="K918">
        <v>2213.332378837285</v>
      </c>
      <c r="L918">
        <v>1</v>
      </c>
      <c r="M918" t="s">
        <v>66</v>
      </c>
    </row>
    <row r="919" spans="1:13" x14ac:dyDescent="0.3">
      <c r="A919" t="s">
        <v>16</v>
      </c>
      <c r="B919" t="s">
        <v>35</v>
      </c>
      <c r="C919">
        <v>56.351802468046117</v>
      </c>
      <c r="D919">
        <v>2.957468157974589</v>
      </c>
      <c r="E919">
        <v>3.3682246244074379</v>
      </c>
      <c r="F919">
        <v>8.567237937362389</v>
      </c>
      <c r="G919">
        <v>6.0755121606459488</v>
      </c>
      <c r="H919">
        <v>32.349096893583187</v>
      </c>
      <c r="I919">
        <v>20.32754255602795</v>
      </c>
      <c r="J919">
        <v>28.694190458131821</v>
      </c>
      <c r="K919">
        <v>2097.8158536004898</v>
      </c>
      <c r="L919">
        <v>1</v>
      </c>
      <c r="M919" t="s">
        <v>66</v>
      </c>
    </row>
    <row r="920" spans="1:13" x14ac:dyDescent="0.3">
      <c r="A920" t="s">
        <v>18</v>
      </c>
      <c r="B920" t="s">
        <v>41</v>
      </c>
      <c r="C920">
        <v>123.00503782170431</v>
      </c>
      <c r="D920">
        <v>5.5057448966772542</v>
      </c>
      <c r="E920">
        <v>7.1489773365730924</v>
      </c>
      <c r="F920">
        <v>19.079370303302639</v>
      </c>
      <c r="G920">
        <v>4.3</v>
      </c>
      <c r="H920">
        <v>56.815396484331117</v>
      </c>
      <c r="I920">
        <v>19.91227484366852</v>
      </c>
      <c r="J920">
        <v>21.22001839745338</v>
      </c>
      <c r="K920">
        <v>1653.7689599391069</v>
      </c>
      <c r="L920">
        <v>1</v>
      </c>
      <c r="M920" t="s">
        <v>66</v>
      </c>
    </row>
    <row r="921" spans="1:13" x14ac:dyDescent="0.3">
      <c r="A921" t="s">
        <v>21</v>
      </c>
      <c r="B921" t="s">
        <v>52</v>
      </c>
      <c r="C921">
        <v>23.70953848197918</v>
      </c>
      <c r="D921">
        <v>1.150237537018922</v>
      </c>
      <c r="E921">
        <v>1.1738913094958581</v>
      </c>
      <c r="F921">
        <v>3.2452600275698109</v>
      </c>
      <c r="G921">
        <v>6.0198707648664982</v>
      </c>
      <c r="H921">
        <v>29.81211700117057</v>
      </c>
      <c r="I921">
        <v>22.305593614229348</v>
      </c>
      <c r="J921">
        <v>19.024676700822329</v>
      </c>
      <c r="K921">
        <v>1258.3159273866679</v>
      </c>
      <c r="L921">
        <v>1</v>
      </c>
      <c r="M921" t="s">
        <v>66</v>
      </c>
    </row>
    <row r="922" spans="1:13" x14ac:dyDescent="0.3">
      <c r="A922" t="s">
        <v>18</v>
      </c>
      <c r="B922" t="s">
        <v>42</v>
      </c>
      <c r="C922">
        <v>31.706922076345151</v>
      </c>
      <c r="D922">
        <v>1.043424070839408</v>
      </c>
      <c r="E922">
        <v>2.325112152407939</v>
      </c>
      <c r="F922">
        <v>5.7580626494519169</v>
      </c>
      <c r="G922">
        <v>5.3348705012499043</v>
      </c>
      <c r="H922">
        <v>26.90997335294994</v>
      </c>
      <c r="I922">
        <v>19.147469142388928</v>
      </c>
      <c r="J922">
        <v>26.75565514523301</v>
      </c>
      <c r="K922">
        <v>1896.5801071838589</v>
      </c>
      <c r="L922">
        <v>1</v>
      </c>
      <c r="M922" t="s">
        <v>66</v>
      </c>
    </row>
    <row r="923" spans="1:13" x14ac:dyDescent="0.3">
      <c r="A923" t="s">
        <v>19</v>
      </c>
      <c r="B923" t="s">
        <v>48</v>
      </c>
      <c r="C923">
        <v>41.558885069880461</v>
      </c>
      <c r="D923">
        <v>2.0552452111371</v>
      </c>
      <c r="E923">
        <v>2.720058722617952</v>
      </c>
      <c r="F923">
        <v>7.8016271824793053</v>
      </c>
      <c r="G923">
        <v>6.1157074231437898</v>
      </c>
      <c r="H923">
        <v>20.999384037769399</v>
      </c>
      <c r="I923">
        <v>32.910935175714407</v>
      </c>
      <c r="J923">
        <v>26.337808728779368</v>
      </c>
      <c r="K923">
        <v>1149.8745772809821</v>
      </c>
      <c r="L923">
        <v>0</v>
      </c>
      <c r="M923" t="s">
        <v>66</v>
      </c>
    </row>
    <row r="924" spans="1:13" x14ac:dyDescent="0.3">
      <c r="A924" t="s">
        <v>20</v>
      </c>
      <c r="B924" t="s">
        <v>51</v>
      </c>
      <c r="C924">
        <v>24.789805602938959</v>
      </c>
      <c r="D924">
        <v>0.98997725214793197</v>
      </c>
      <c r="E924">
        <v>0.90899130415698259</v>
      </c>
      <c r="F924">
        <v>3.914653009749522</v>
      </c>
      <c r="G924">
        <v>6.1840640935318492</v>
      </c>
      <c r="H924">
        <v>42.401386324741082</v>
      </c>
      <c r="I924">
        <v>23.49561232308228</v>
      </c>
      <c r="J924">
        <v>21.355858792502069</v>
      </c>
      <c r="K924">
        <v>1640.0170133858589</v>
      </c>
      <c r="L924">
        <v>1</v>
      </c>
      <c r="M924" t="s">
        <v>66</v>
      </c>
    </row>
    <row r="925" spans="1:13" x14ac:dyDescent="0.3">
      <c r="A925" t="s">
        <v>18</v>
      </c>
      <c r="B925" t="s">
        <v>43</v>
      </c>
      <c r="C925">
        <v>23.26583189568856</v>
      </c>
      <c r="D925">
        <v>1.045743523979592</v>
      </c>
      <c r="E925">
        <v>0.98011524666039751</v>
      </c>
      <c r="F925">
        <v>3.5887181978481908</v>
      </c>
      <c r="G925">
        <v>6.1398619615466057</v>
      </c>
      <c r="H925">
        <v>26.91927141778277</v>
      </c>
      <c r="I925">
        <v>24.50505437932415</v>
      </c>
      <c r="J925">
        <v>18.817167125918822</v>
      </c>
      <c r="K925">
        <v>1887.273112663265</v>
      </c>
      <c r="L925">
        <v>1</v>
      </c>
      <c r="M925" t="s">
        <v>66</v>
      </c>
    </row>
    <row r="926" spans="1:13" x14ac:dyDescent="0.3">
      <c r="A926" t="s">
        <v>18</v>
      </c>
      <c r="B926" t="s">
        <v>41</v>
      </c>
      <c r="C926">
        <v>50.097563661161701</v>
      </c>
      <c r="D926">
        <v>2.0091314265364431</v>
      </c>
      <c r="E926">
        <v>3.4019619435685171</v>
      </c>
      <c r="F926">
        <v>7.1058451525220114</v>
      </c>
      <c r="G926">
        <v>5.9575606979758291</v>
      </c>
      <c r="H926">
        <v>31.812678179698029</v>
      </c>
      <c r="I926">
        <v>19.221496911243921</v>
      </c>
      <c r="J926">
        <v>20.923412685161161</v>
      </c>
      <c r="K926">
        <v>1758.9028733434161</v>
      </c>
      <c r="L926">
        <v>1</v>
      </c>
      <c r="M926" t="s">
        <v>66</v>
      </c>
    </row>
    <row r="927" spans="1:13" x14ac:dyDescent="0.3">
      <c r="A927" t="s">
        <v>18</v>
      </c>
      <c r="B927" t="s">
        <v>43</v>
      </c>
      <c r="C927">
        <v>31.639584787853391</v>
      </c>
      <c r="D927">
        <v>1.025216274742841</v>
      </c>
      <c r="E927">
        <v>1.857818037118028</v>
      </c>
      <c r="F927">
        <v>4.1485889738001296</v>
      </c>
      <c r="G927">
        <v>5.8014348627008907</v>
      </c>
      <c r="H927">
        <v>30.604079940873941</v>
      </c>
      <c r="I927">
        <v>28.474623033649269</v>
      </c>
      <c r="J927">
        <v>18.516942417934519</v>
      </c>
      <c r="K927">
        <v>1810.9404116106341</v>
      </c>
      <c r="L927">
        <v>1</v>
      </c>
      <c r="M927" t="s">
        <v>66</v>
      </c>
    </row>
    <row r="928" spans="1:13" x14ac:dyDescent="0.3">
      <c r="A928" t="s">
        <v>19</v>
      </c>
      <c r="B928" t="s">
        <v>45</v>
      </c>
      <c r="C928">
        <v>20.679116563250702</v>
      </c>
      <c r="D928">
        <v>1.1029665349825051</v>
      </c>
      <c r="E928">
        <v>1.1492586441376651</v>
      </c>
      <c r="F928">
        <v>2.5936053240092209</v>
      </c>
      <c r="G928">
        <v>6.25351415471137</v>
      </c>
      <c r="H928">
        <v>19.166713148204749</v>
      </c>
      <c r="I928">
        <v>31.97089623894454</v>
      </c>
      <c r="J928">
        <v>23.954028516335789</v>
      </c>
      <c r="K928">
        <v>1321.838033088464</v>
      </c>
      <c r="L928">
        <v>0</v>
      </c>
      <c r="M928" t="s">
        <v>66</v>
      </c>
    </row>
    <row r="929" spans="1:13" x14ac:dyDescent="0.3">
      <c r="A929" t="s">
        <v>16</v>
      </c>
      <c r="B929" t="s">
        <v>35</v>
      </c>
      <c r="C929">
        <v>68.968181406002913</v>
      </c>
      <c r="D929">
        <v>2.9751431009884142</v>
      </c>
      <c r="E929">
        <v>4.3738488654291023</v>
      </c>
      <c r="F929">
        <v>12.728196341743701</v>
      </c>
      <c r="G929">
        <v>6.3278233988547496</v>
      </c>
      <c r="H929">
        <v>37.404086053962857</v>
      </c>
      <c r="I929">
        <v>20.323248086262151</v>
      </c>
      <c r="J929">
        <v>29.72855533974413</v>
      </c>
      <c r="K929">
        <v>2125.3103412432761</v>
      </c>
      <c r="L929">
        <v>1</v>
      </c>
      <c r="M929" t="s">
        <v>66</v>
      </c>
    </row>
    <row r="930" spans="1:13" x14ac:dyDescent="0.3">
      <c r="A930" t="s">
        <v>17</v>
      </c>
      <c r="B930" t="s">
        <v>39</v>
      </c>
      <c r="C930">
        <v>40.607866690302458</v>
      </c>
      <c r="D930">
        <v>0.93461495949236362</v>
      </c>
      <c r="E930">
        <v>1.92961286441707</v>
      </c>
      <c r="F930">
        <v>6.5140679029218269</v>
      </c>
      <c r="G930">
        <v>6.1442237184638993</v>
      </c>
      <c r="H930">
        <v>27.237012458919779</v>
      </c>
      <c r="I930">
        <v>17.487038717358089</v>
      </c>
      <c r="J930">
        <v>23.00069075565829</v>
      </c>
      <c r="K930">
        <v>1468.1793447868811</v>
      </c>
      <c r="L930">
        <v>1</v>
      </c>
      <c r="M930" t="s">
        <v>66</v>
      </c>
    </row>
    <row r="931" spans="1:13" x14ac:dyDescent="0.3">
      <c r="A931" t="s">
        <v>15</v>
      </c>
      <c r="B931" t="s">
        <v>30</v>
      </c>
      <c r="C931">
        <v>106.14403171471849</v>
      </c>
      <c r="D931">
        <v>4.2483232778859303</v>
      </c>
      <c r="E931">
        <v>6.0035376279501724</v>
      </c>
      <c r="F931">
        <v>15.87254740592271</v>
      </c>
      <c r="G931">
        <v>6.1866189629418109</v>
      </c>
      <c r="H931">
        <v>25.288336768531739</v>
      </c>
      <c r="I931">
        <v>19.896621545075341</v>
      </c>
      <c r="J931">
        <v>27.88427830470642</v>
      </c>
      <c r="K931">
        <v>2002.113343022367</v>
      </c>
      <c r="L931">
        <v>1</v>
      </c>
      <c r="M931" t="s">
        <v>66</v>
      </c>
    </row>
    <row r="932" spans="1:13" x14ac:dyDescent="0.3">
      <c r="A932" t="s">
        <v>15</v>
      </c>
      <c r="B932" t="s">
        <v>33</v>
      </c>
      <c r="C932">
        <v>41.113712351110699</v>
      </c>
      <c r="D932">
        <v>1.840366327038117</v>
      </c>
      <c r="E932">
        <v>2.051355207021492</v>
      </c>
      <c r="F932">
        <v>5.915764495414626</v>
      </c>
      <c r="G932">
        <v>6.0106643456966298</v>
      </c>
      <c r="H932">
        <v>36.223623402360928</v>
      </c>
      <c r="I932">
        <v>19.613307151468319</v>
      </c>
      <c r="J932">
        <v>18.544886259875199</v>
      </c>
      <c r="K932">
        <v>1849.422586735348</v>
      </c>
      <c r="L932">
        <v>1</v>
      </c>
      <c r="M932" t="s">
        <v>66</v>
      </c>
    </row>
    <row r="933" spans="1:13" x14ac:dyDescent="0.3">
      <c r="A933" t="s">
        <v>20</v>
      </c>
      <c r="B933" t="s">
        <v>51</v>
      </c>
      <c r="C933">
        <v>92.836422758591993</v>
      </c>
      <c r="D933">
        <v>4.1201091913871917</v>
      </c>
      <c r="E933">
        <v>6.3191104680251007</v>
      </c>
      <c r="F933">
        <v>12.624193915485369</v>
      </c>
      <c r="G933">
        <v>6.1010161090610753</v>
      </c>
      <c r="H933">
        <v>33.385914871459001</v>
      </c>
      <c r="I933">
        <v>22.05823771943756</v>
      </c>
      <c r="J933">
        <v>19.99916914536772</v>
      </c>
      <c r="K933">
        <v>1585.964135681045</v>
      </c>
      <c r="L933">
        <v>1</v>
      </c>
      <c r="M933" t="s">
        <v>66</v>
      </c>
    </row>
    <row r="934" spans="1:13" x14ac:dyDescent="0.3">
      <c r="A934" t="s">
        <v>20</v>
      </c>
      <c r="B934" t="s">
        <v>49</v>
      </c>
      <c r="C934">
        <v>41.095934699418962</v>
      </c>
      <c r="D934">
        <v>1.0373899054556399</v>
      </c>
      <c r="E934">
        <v>2.0073911997911988</v>
      </c>
      <c r="F934">
        <v>7.5890388616095557</v>
      </c>
      <c r="G934">
        <v>6.3737266385178231</v>
      </c>
      <c r="H934">
        <v>18.39598363903491</v>
      </c>
      <c r="I934">
        <v>30.888499944664261</v>
      </c>
      <c r="J934">
        <v>27.379493349997329</v>
      </c>
      <c r="K934">
        <v>1161.394144925046</v>
      </c>
      <c r="L934">
        <v>0</v>
      </c>
      <c r="M934" t="s">
        <v>66</v>
      </c>
    </row>
    <row r="935" spans="1:13" x14ac:dyDescent="0.3">
      <c r="A935" t="s">
        <v>18</v>
      </c>
      <c r="B935" t="s">
        <v>41</v>
      </c>
      <c r="C935">
        <v>128.9921327485261</v>
      </c>
      <c r="D935">
        <v>5.0164895722959102</v>
      </c>
      <c r="E935">
        <v>8.4091206927860949</v>
      </c>
      <c r="F935">
        <v>17.559448843609029</v>
      </c>
      <c r="G935">
        <v>4.4748865614960316</v>
      </c>
      <c r="H935">
        <v>54.966779511289033</v>
      </c>
      <c r="I935">
        <v>19.4473986977919</v>
      </c>
      <c r="J935">
        <v>19.783477156532779</v>
      </c>
      <c r="K935">
        <v>1670.785532706989</v>
      </c>
      <c r="L935">
        <v>1</v>
      </c>
      <c r="M935" t="s">
        <v>66</v>
      </c>
    </row>
    <row r="936" spans="1:13" x14ac:dyDescent="0.3">
      <c r="A936" t="s">
        <v>22</v>
      </c>
      <c r="B936" t="s">
        <v>53</v>
      </c>
      <c r="C936">
        <v>76.295079144932259</v>
      </c>
      <c r="D936">
        <v>2.8205084171729711</v>
      </c>
      <c r="E936">
        <v>5.2404048675321961</v>
      </c>
      <c r="F936">
        <v>12.683477812379611</v>
      </c>
      <c r="G936">
        <v>6.1246282730305532</v>
      </c>
      <c r="H936">
        <v>45.801489145766801</v>
      </c>
      <c r="I936">
        <v>23.720300392598151</v>
      </c>
      <c r="J936">
        <v>23.036982376549261</v>
      </c>
      <c r="K936">
        <v>1389.8276725729511</v>
      </c>
      <c r="L936">
        <v>1</v>
      </c>
      <c r="M936" t="s">
        <v>66</v>
      </c>
    </row>
    <row r="937" spans="1:13" x14ac:dyDescent="0.3">
      <c r="A937" t="s">
        <v>18</v>
      </c>
      <c r="B937" t="s">
        <v>42</v>
      </c>
      <c r="C937">
        <v>30.90020939099934</v>
      </c>
      <c r="D937">
        <v>1.133045299639915</v>
      </c>
      <c r="E937">
        <v>1.7457752067550529</v>
      </c>
      <c r="F937">
        <v>4.6310598533973319</v>
      </c>
      <c r="G937">
        <v>5.298684935316774</v>
      </c>
      <c r="H937">
        <v>24.52813794230854</v>
      </c>
      <c r="I937">
        <v>19.04933400428364</v>
      </c>
      <c r="J937">
        <v>25.81753787009653</v>
      </c>
      <c r="K937">
        <v>1794.115707356048</v>
      </c>
      <c r="L937">
        <v>1</v>
      </c>
      <c r="M937" t="s">
        <v>66</v>
      </c>
    </row>
    <row r="938" spans="1:13" x14ac:dyDescent="0.3">
      <c r="A938" t="s">
        <v>15</v>
      </c>
      <c r="B938" t="s">
        <v>33</v>
      </c>
      <c r="C938">
        <v>97.194963728069951</v>
      </c>
      <c r="D938">
        <v>2.9743658095270691</v>
      </c>
      <c r="E938">
        <v>3.1927121478643889</v>
      </c>
      <c r="F938">
        <v>8.5401033760891032</v>
      </c>
      <c r="G938">
        <v>5.9585952087843506</v>
      </c>
      <c r="H938">
        <v>35.100393738322452</v>
      </c>
      <c r="I938">
        <v>15.9</v>
      </c>
      <c r="J938">
        <v>19.567985793365558</v>
      </c>
      <c r="K938">
        <v>2171.0624860883959</v>
      </c>
      <c r="L938">
        <v>1</v>
      </c>
      <c r="M938" t="s">
        <v>66</v>
      </c>
    </row>
    <row r="939" spans="1:13" x14ac:dyDescent="0.3">
      <c r="A939" t="s">
        <v>16</v>
      </c>
      <c r="B939" t="s">
        <v>36</v>
      </c>
      <c r="C939">
        <v>52.007736468445707</v>
      </c>
      <c r="D939">
        <v>2.1857336759577248</v>
      </c>
      <c r="E939">
        <v>2.8057267993638879</v>
      </c>
      <c r="F939">
        <v>9.2005337275780104</v>
      </c>
      <c r="G939">
        <v>5.0384920648803391</v>
      </c>
      <c r="H939">
        <v>35.214581113827812</v>
      </c>
      <c r="I939">
        <v>23.599064121456621</v>
      </c>
      <c r="J939">
        <v>27.49722491471535</v>
      </c>
      <c r="K939">
        <v>1916.909463866423</v>
      </c>
      <c r="L939">
        <v>1</v>
      </c>
      <c r="M939" t="s">
        <v>66</v>
      </c>
    </row>
    <row r="940" spans="1:13" x14ac:dyDescent="0.3">
      <c r="A940" t="s">
        <v>19</v>
      </c>
      <c r="B940" t="s">
        <v>44</v>
      </c>
      <c r="C940">
        <v>19.473681961146031</v>
      </c>
      <c r="D940">
        <v>1.0556904078581251</v>
      </c>
      <c r="E940">
        <v>0.94131625986328959</v>
      </c>
      <c r="F940">
        <v>2.9561037696047729</v>
      </c>
      <c r="G940">
        <v>6.1001107796148109</v>
      </c>
      <c r="H940">
        <v>16.390692148646359</v>
      </c>
      <c r="I940">
        <v>25.366837369395721</v>
      </c>
      <c r="J940">
        <v>23.711714560948131</v>
      </c>
      <c r="K940">
        <v>1324.664799474989</v>
      </c>
      <c r="L940">
        <v>0</v>
      </c>
      <c r="M940" t="s">
        <v>66</v>
      </c>
    </row>
    <row r="941" spans="1:13" x14ac:dyDescent="0.3">
      <c r="A941" t="s">
        <v>22</v>
      </c>
      <c r="B941" t="s">
        <v>53</v>
      </c>
      <c r="C941">
        <v>74.630326299806782</v>
      </c>
      <c r="D941">
        <v>2.7734564705210052</v>
      </c>
      <c r="E941">
        <v>5.0893087496007663</v>
      </c>
      <c r="F941">
        <v>11.006888900920639</v>
      </c>
      <c r="G941">
        <v>6.2175537592811434</v>
      </c>
      <c r="H941">
        <v>35.711372594150824</v>
      </c>
      <c r="I941">
        <v>25.843272617510969</v>
      </c>
      <c r="J941">
        <v>21.726919270556401</v>
      </c>
      <c r="K941">
        <v>1345.521082533488</v>
      </c>
      <c r="L941">
        <v>1</v>
      </c>
      <c r="M941" t="s">
        <v>66</v>
      </c>
    </row>
    <row r="942" spans="1:13" x14ac:dyDescent="0.3">
      <c r="A942" t="s">
        <v>20</v>
      </c>
      <c r="B942" t="s">
        <v>51</v>
      </c>
      <c r="C942">
        <v>40.679370163329438</v>
      </c>
      <c r="D942">
        <v>1.701373989668878</v>
      </c>
      <c r="E942">
        <v>2.55963305437316</v>
      </c>
      <c r="F942">
        <v>7.7183999378681296</v>
      </c>
      <c r="G942">
        <v>5.8764854775818858</v>
      </c>
      <c r="H942">
        <v>21.875253136469819</v>
      </c>
      <c r="I942">
        <v>22.056220344143139</v>
      </c>
      <c r="J942">
        <v>20.65067892620479</v>
      </c>
      <c r="K942">
        <v>1505.1182499351321</v>
      </c>
      <c r="L942">
        <v>1</v>
      </c>
      <c r="M942" t="s">
        <v>66</v>
      </c>
    </row>
    <row r="943" spans="1:13" x14ac:dyDescent="0.3">
      <c r="A943" t="s">
        <v>25</v>
      </c>
      <c r="B943" t="s">
        <v>62</v>
      </c>
      <c r="C943">
        <v>91.2259535484542</v>
      </c>
      <c r="D943">
        <v>4.6061023072128524</v>
      </c>
      <c r="E943">
        <v>5.3154799536411481</v>
      </c>
      <c r="F943">
        <v>14.311358626783431</v>
      </c>
      <c r="G943">
        <v>6.6099010643856193</v>
      </c>
      <c r="H943">
        <v>13.9</v>
      </c>
      <c r="I943">
        <v>30.386037895919959</v>
      </c>
      <c r="J943">
        <v>29.607541452009571</v>
      </c>
      <c r="K943">
        <v>46.573515310554278</v>
      </c>
      <c r="L943">
        <v>-1</v>
      </c>
      <c r="M943" t="s">
        <v>66</v>
      </c>
    </row>
    <row r="944" spans="1:13" x14ac:dyDescent="0.3">
      <c r="A944" t="s">
        <v>15</v>
      </c>
      <c r="B944" t="s">
        <v>33</v>
      </c>
      <c r="C944">
        <v>100.38627812373829</v>
      </c>
      <c r="D944">
        <v>3.44257505301375</v>
      </c>
      <c r="E944">
        <v>3.7863292162249529</v>
      </c>
      <c r="F944">
        <v>9.2485216761007027</v>
      </c>
      <c r="G944">
        <v>5.9293505651321121</v>
      </c>
      <c r="H944">
        <v>31.89393679983003</v>
      </c>
      <c r="I944">
        <v>16.426423423477761</v>
      </c>
      <c r="J944">
        <v>18.02196324011863</v>
      </c>
      <c r="K944">
        <v>2191.1471499271852</v>
      </c>
      <c r="L944">
        <v>1</v>
      </c>
      <c r="M944" t="s">
        <v>66</v>
      </c>
    </row>
    <row r="945" spans="1:13" x14ac:dyDescent="0.3">
      <c r="A945" t="s">
        <v>18</v>
      </c>
      <c r="B945" t="s">
        <v>42</v>
      </c>
      <c r="C945">
        <v>31.340209900328201</v>
      </c>
      <c r="D945">
        <v>1.126161381717002</v>
      </c>
      <c r="E945">
        <v>2.1552407205018769</v>
      </c>
      <c r="F945">
        <v>5.1311969792818104</v>
      </c>
      <c r="G945">
        <v>5.3625176359510869</v>
      </c>
      <c r="H945">
        <v>24.413797042180821</v>
      </c>
      <c r="I945">
        <v>19.2424778367306</v>
      </c>
      <c r="J945">
        <v>26.7143024738902</v>
      </c>
      <c r="K945">
        <v>1871.4786597088239</v>
      </c>
      <c r="L945">
        <v>1</v>
      </c>
      <c r="M945" t="s">
        <v>66</v>
      </c>
    </row>
    <row r="946" spans="1:13" x14ac:dyDescent="0.3">
      <c r="A946" t="s">
        <v>21</v>
      </c>
      <c r="B946" t="s">
        <v>52</v>
      </c>
      <c r="C946">
        <v>66.955852585548996</v>
      </c>
      <c r="D946">
        <v>2.8832084517917451</v>
      </c>
      <c r="E946">
        <v>3.6280727545575031</v>
      </c>
      <c r="F946">
        <v>10.756630441973391</v>
      </c>
      <c r="G946">
        <v>5.6063018073328568</v>
      </c>
      <c r="H946">
        <v>33.140308593394543</v>
      </c>
      <c r="I946">
        <v>19.762942906457031</v>
      </c>
      <c r="J946">
        <v>19.519326353711879</v>
      </c>
      <c r="K946">
        <v>1507.2895148446371</v>
      </c>
      <c r="L946">
        <v>1</v>
      </c>
      <c r="M946" t="s">
        <v>66</v>
      </c>
    </row>
    <row r="947" spans="1:13" x14ac:dyDescent="0.3">
      <c r="A947" t="s">
        <v>15</v>
      </c>
      <c r="B947" t="s">
        <v>33</v>
      </c>
      <c r="C947">
        <v>76.837900343083774</v>
      </c>
      <c r="D947">
        <v>3.0397831077097179</v>
      </c>
      <c r="E947">
        <v>4.1220995814545409</v>
      </c>
      <c r="F947">
        <v>11.85963642968788</v>
      </c>
      <c r="G947">
        <v>5.4370131123390406</v>
      </c>
      <c r="H947">
        <v>38.714022574783968</v>
      </c>
      <c r="I947">
        <v>21.944522950108691</v>
      </c>
      <c r="J947">
        <v>17.627135552776771</v>
      </c>
      <c r="K947">
        <v>1910.5496960807491</v>
      </c>
      <c r="L947">
        <v>1</v>
      </c>
      <c r="M947" t="s">
        <v>66</v>
      </c>
    </row>
    <row r="948" spans="1:13" x14ac:dyDescent="0.3">
      <c r="A948" t="s">
        <v>15</v>
      </c>
      <c r="B948" t="s">
        <v>31</v>
      </c>
      <c r="C948">
        <v>119.4429281806254</v>
      </c>
      <c r="D948">
        <v>5.3858994078199807</v>
      </c>
      <c r="E948">
        <v>8.1339471930619549</v>
      </c>
      <c r="F948">
        <v>16.604424604394289</v>
      </c>
      <c r="G948">
        <v>5.4317185523851714</v>
      </c>
      <c r="H948">
        <v>43.326305533099749</v>
      </c>
      <c r="I948">
        <v>21.262880322738891</v>
      </c>
      <c r="J948">
        <v>27.21366319606112</v>
      </c>
      <c r="K948">
        <v>1880.4323270732</v>
      </c>
      <c r="L948">
        <v>1</v>
      </c>
      <c r="M948" t="s">
        <v>66</v>
      </c>
    </row>
    <row r="949" spans="1:13" x14ac:dyDescent="0.3">
      <c r="A949" t="s">
        <v>20</v>
      </c>
      <c r="B949" t="s">
        <v>51</v>
      </c>
      <c r="C949">
        <v>262.33405082560921</v>
      </c>
      <c r="D949">
        <v>12.76223889852073</v>
      </c>
      <c r="E949">
        <v>15.40458232851457</v>
      </c>
      <c r="F949">
        <v>39.72947399190712</v>
      </c>
      <c r="G949">
        <v>5.1805158444260986</v>
      </c>
      <c r="H949">
        <v>29.01207748763629</v>
      </c>
      <c r="I949">
        <v>20.173539695815421</v>
      </c>
      <c r="J949">
        <v>19.27699967568109</v>
      </c>
      <c r="K949">
        <v>1571.6283989257211</v>
      </c>
      <c r="L949">
        <v>1</v>
      </c>
      <c r="M949" t="s">
        <v>66</v>
      </c>
    </row>
    <row r="950" spans="1:13" x14ac:dyDescent="0.3">
      <c r="A950" t="s">
        <v>24</v>
      </c>
      <c r="B950" t="s">
        <v>61</v>
      </c>
      <c r="C950">
        <v>323.28769968423899</v>
      </c>
      <c r="D950">
        <v>16.886926280713219</v>
      </c>
      <c r="E950">
        <v>22.825966766153599</v>
      </c>
      <c r="F950">
        <v>66.514170162019312</v>
      </c>
      <c r="G950">
        <v>4.425659866144807</v>
      </c>
      <c r="H950">
        <v>57.653851887172088</v>
      </c>
      <c r="I950">
        <v>29.999442730204379</v>
      </c>
      <c r="J950">
        <v>31.35795587227587</v>
      </c>
      <c r="K950">
        <v>13.753905061902969</v>
      </c>
      <c r="L950">
        <v>-1</v>
      </c>
      <c r="M950" t="s">
        <v>66</v>
      </c>
    </row>
    <row r="951" spans="1:13" x14ac:dyDescent="0.3">
      <c r="A951" t="s">
        <v>20</v>
      </c>
      <c r="B951" t="s">
        <v>51</v>
      </c>
      <c r="C951">
        <v>24.779138715154431</v>
      </c>
      <c r="D951">
        <v>1.132757914695699</v>
      </c>
      <c r="E951">
        <v>1.062649106377235</v>
      </c>
      <c r="F951">
        <v>3.2804598089609698</v>
      </c>
      <c r="G951">
        <v>6.2987203688426234</v>
      </c>
      <c r="H951">
        <v>41.65002774772573</v>
      </c>
      <c r="I951">
        <v>23.691391844207342</v>
      </c>
      <c r="J951">
        <v>20.163785574355099</v>
      </c>
      <c r="K951">
        <v>1620.2632937922031</v>
      </c>
      <c r="L951">
        <v>1</v>
      </c>
      <c r="M951" t="s">
        <v>66</v>
      </c>
    </row>
    <row r="952" spans="1:13" x14ac:dyDescent="0.3">
      <c r="A952" t="s">
        <v>15</v>
      </c>
      <c r="B952" t="s">
        <v>34</v>
      </c>
      <c r="C952">
        <v>149.90695882160031</v>
      </c>
      <c r="D952">
        <v>6.3097821782044896</v>
      </c>
      <c r="E952">
        <v>8.6049884091785689</v>
      </c>
      <c r="F952">
        <v>26.02756491739089</v>
      </c>
      <c r="G952">
        <v>5.9019457594460096</v>
      </c>
      <c r="H952">
        <v>26.752997183425151</v>
      </c>
      <c r="I952">
        <v>23.630807429946231</v>
      </c>
      <c r="J952">
        <v>18.432452632511861</v>
      </c>
      <c r="K952">
        <v>2091.1510435010532</v>
      </c>
      <c r="L952">
        <v>1</v>
      </c>
      <c r="M952" t="s">
        <v>66</v>
      </c>
    </row>
    <row r="953" spans="1:13" x14ac:dyDescent="0.3">
      <c r="A953" t="s">
        <v>17</v>
      </c>
      <c r="B953" t="s">
        <v>39</v>
      </c>
      <c r="C953">
        <v>26.310852003513631</v>
      </c>
      <c r="D953">
        <v>1.148860431301896</v>
      </c>
      <c r="E953">
        <v>1.0445739322849199</v>
      </c>
      <c r="F953">
        <v>5.4237163268164927</v>
      </c>
      <c r="G953">
        <v>5.9615748581783414</v>
      </c>
      <c r="H953">
        <v>19.658870644965688</v>
      </c>
      <c r="I953">
        <v>20.722653094900831</v>
      </c>
      <c r="J953">
        <v>27.795873156008049</v>
      </c>
      <c r="K953">
        <v>2154.2381485909668</v>
      </c>
      <c r="L953">
        <v>1</v>
      </c>
      <c r="M953" t="s">
        <v>66</v>
      </c>
    </row>
    <row r="954" spans="1:13" x14ac:dyDescent="0.3">
      <c r="A954" t="s">
        <v>21</v>
      </c>
      <c r="B954" t="s">
        <v>52</v>
      </c>
      <c r="C954">
        <v>63.896337132284671</v>
      </c>
      <c r="D954">
        <v>3.6300148590198069</v>
      </c>
      <c r="E954">
        <v>4.0374352221582548</v>
      </c>
      <c r="F954">
        <v>10.28852913033155</v>
      </c>
      <c r="G954">
        <v>6.006346505690364</v>
      </c>
      <c r="H954">
        <v>31.834323905843711</v>
      </c>
      <c r="I954">
        <v>19.345649800835929</v>
      </c>
      <c r="J954">
        <v>19.573869828234109</v>
      </c>
      <c r="K954">
        <v>1541.3090069706529</v>
      </c>
      <c r="L954">
        <v>1</v>
      </c>
      <c r="M954" t="s">
        <v>66</v>
      </c>
    </row>
    <row r="955" spans="1:13" x14ac:dyDescent="0.3">
      <c r="A955" t="s">
        <v>15</v>
      </c>
      <c r="B955" t="s">
        <v>34</v>
      </c>
      <c r="C955">
        <v>63.827071108141382</v>
      </c>
      <c r="D955">
        <v>3.2534384044064781</v>
      </c>
      <c r="E955">
        <v>3.4506048270535121</v>
      </c>
      <c r="F955">
        <v>9.386109032168827</v>
      </c>
      <c r="G955">
        <v>6.2981460733708374</v>
      </c>
      <c r="H955">
        <v>36.989348164302299</v>
      </c>
      <c r="I955">
        <v>17.445767038058889</v>
      </c>
      <c r="J955">
        <v>18.975721171353879</v>
      </c>
      <c r="K955">
        <v>2057.8731591538608</v>
      </c>
      <c r="L955">
        <v>1</v>
      </c>
      <c r="M955" t="s">
        <v>66</v>
      </c>
    </row>
    <row r="956" spans="1:13" x14ac:dyDescent="0.3">
      <c r="A956" t="s">
        <v>21</v>
      </c>
      <c r="B956" t="s">
        <v>52</v>
      </c>
      <c r="C956">
        <v>23.39280468697206</v>
      </c>
      <c r="D956">
        <v>0.87413937324362312</v>
      </c>
      <c r="E956">
        <v>0.92306214674589437</v>
      </c>
      <c r="F956">
        <v>3.428826101761103</v>
      </c>
      <c r="G956">
        <v>6.5046677648245801</v>
      </c>
      <c r="H956">
        <v>25.58001914462745</v>
      </c>
      <c r="I956">
        <v>26.4053502281972</v>
      </c>
      <c r="J956">
        <v>22.08434597787577</v>
      </c>
      <c r="K956">
        <v>1172.0377357323789</v>
      </c>
      <c r="L956">
        <v>1</v>
      </c>
      <c r="M956" t="s">
        <v>66</v>
      </c>
    </row>
    <row r="957" spans="1:13" x14ac:dyDescent="0.3">
      <c r="A957" t="s">
        <v>16</v>
      </c>
      <c r="B957" t="s">
        <v>36</v>
      </c>
      <c r="C957">
        <v>59.819633901738342</v>
      </c>
      <c r="D957">
        <v>2.2481703400349149</v>
      </c>
      <c r="E957">
        <v>3.0650855145792719</v>
      </c>
      <c r="F957">
        <v>7.9903054468788612</v>
      </c>
      <c r="G957">
        <v>4.8416374858684046</v>
      </c>
      <c r="H957">
        <v>33.198239801784553</v>
      </c>
      <c r="I957">
        <v>24.484596941564849</v>
      </c>
      <c r="J957">
        <v>26.752057709416938</v>
      </c>
      <c r="K957">
        <v>1959.9686896255171</v>
      </c>
      <c r="L957">
        <v>1</v>
      </c>
      <c r="M957" t="s">
        <v>66</v>
      </c>
    </row>
    <row r="958" spans="1:13" x14ac:dyDescent="0.3">
      <c r="A958" t="s">
        <v>17</v>
      </c>
      <c r="B958" t="s">
        <v>39</v>
      </c>
      <c r="C958">
        <v>12.02871904037305</v>
      </c>
      <c r="D958">
        <v>0</v>
      </c>
      <c r="E958">
        <v>0</v>
      </c>
      <c r="F958">
        <v>1.677757368014257</v>
      </c>
      <c r="G958">
        <v>5.5327152647787328</v>
      </c>
      <c r="H958">
        <v>28.02709380978385</v>
      </c>
      <c r="I958">
        <v>19.792384371050009</v>
      </c>
      <c r="J958">
        <v>26.15175366544592</v>
      </c>
      <c r="K958">
        <v>2226.3309325674541</v>
      </c>
      <c r="L958">
        <v>1</v>
      </c>
      <c r="M958" t="s">
        <v>66</v>
      </c>
    </row>
    <row r="959" spans="1:13" x14ac:dyDescent="0.3">
      <c r="A959" t="s">
        <v>15</v>
      </c>
      <c r="B959" t="s">
        <v>34</v>
      </c>
      <c r="C959">
        <v>112.4693317496758</v>
      </c>
      <c r="D959">
        <v>5.5213013387120933</v>
      </c>
      <c r="E959">
        <v>6.0829063744624214</v>
      </c>
      <c r="F959">
        <v>15.98340653582328</v>
      </c>
      <c r="G959">
        <v>5.6265191462351636</v>
      </c>
      <c r="H959">
        <v>42.344805025329713</v>
      </c>
      <c r="I959">
        <v>24.43793426808104</v>
      </c>
      <c r="J959">
        <v>18.3724262212837</v>
      </c>
      <c r="K959">
        <v>2090.8410189949982</v>
      </c>
      <c r="L959">
        <v>1</v>
      </c>
      <c r="M959" t="s">
        <v>66</v>
      </c>
    </row>
    <row r="960" spans="1:13" x14ac:dyDescent="0.3">
      <c r="A960" t="s">
        <v>19</v>
      </c>
      <c r="B960" t="s">
        <v>46</v>
      </c>
      <c r="C960">
        <v>24.757385514801911</v>
      </c>
      <c r="D960">
        <v>1.0125175453888411</v>
      </c>
      <c r="E960">
        <v>1.0345298163286949</v>
      </c>
      <c r="F960">
        <v>3.041400561870137</v>
      </c>
      <c r="G960">
        <v>6.134462877248021</v>
      </c>
      <c r="H960">
        <v>27.808223020806651</v>
      </c>
      <c r="I960">
        <v>23.53345803865389</v>
      </c>
      <c r="J960">
        <v>25.960080878875232</v>
      </c>
      <c r="K960">
        <v>1399.147867271962</v>
      </c>
      <c r="L960">
        <v>1</v>
      </c>
      <c r="M960" t="s">
        <v>66</v>
      </c>
    </row>
    <row r="961" spans="1:13" x14ac:dyDescent="0.3">
      <c r="A961" t="s">
        <v>22</v>
      </c>
      <c r="B961" t="s">
        <v>53</v>
      </c>
      <c r="C961">
        <v>51.342747788292748</v>
      </c>
      <c r="D961">
        <v>2.1276582275016871</v>
      </c>
      <c r="E961">
        <v>2.958308933474445</v>
      </c>
      <c r="F961">
        <v>8.1599365969772037</v>
      </c>
      <c r="G961">
        <v>5.9323936075546513</v>
      </c>
      <c r="H961">
        <v>26.677774499663698</v>
      </c>
      <c r="I961">
        <v>25.518184996916169</v>
      </c>
      <c r="J961">
        <v>23.56625473758168</v>
      </c>
      <c r="K961">
        <v>1518.99515317131</v>
      </c>
      <c r="L961">
        <v>1</v>
      </c>
      <c r="M961" t="s">
        <v>66</v>
      </c>
    </row>
    <row r="962" spans="1:13" x14ac:dyDescent="0.3">
      <c r="A962" t="s">
        <v>18</v>
      </c>
      <c r="B962" t="s">
        <v>40</v>
      </c>
      <c r="C962">
        <v>119.8670715165247</v>
      </c>
      <c r="D962">
        <v>5.5576273853471303</v>
      </c>
      <c r="E962">
        <v>8.5718500950691503</v>
      </c>
      <c r="F962">
        <v>17.808395998265141</v>
      </c>
      <c r="G962">
        <v>5.9786760417414078</v>
      </c>
      <c r="H962">
        <v>31.688752223247079</v>
      </c>
      <c r="I962">
        <v>20.730429985785609</v>
      </c>
      <c r="J962">
        <v>21.232354250153751</v>
      </c>
      <c r="K962">
        <v>1644.563349382207</v>
      </c>
      <c r="L962">
        <v>1</v>
      </c>
      <c r="M962" t="s">
        <v>66</v>
      </c>
    </row>
    <row r="963" spans="1:13" x14ac:dyDescent="0.3">
      <c r="A963" t="s">
        <v>16</v>
      </c>
      <c r="B963" t="s">
        <v>35</v>
      </c>
      <c r="C963">
        <v>86.324265910647284</v>
      </c>
      <c r="D963">
        <v>4.8531255713500014</v>
      </c>
      <c r="E963">
        <v>5.5842600978175527</v>
      </c>
      <c r="F963">
        <v>13.55049484570044</v>
      </c>
      <c r="G963">
        <v>6.279264422602072</v>
      </c>
      <c r="H963">
        <v>35.330674438475917</v>
      </c>
      <c r="I963">
        <v>20.403816039332909</v>
      </c>
      <c r="J963">
        <v>28.452755576074189</v>
      </c>
      <c r="K963">
        <v>2067.4336410616879</v>
      </c>
      <c r="L963">
        <v>1</v>
      </c>
      <c r="M963" t="s">
        <v>66</v>
      </c>
    </row>
    <row r="964" spans="1:13" x14ac:dyDescent="0.3">
      <c r="A964" t="s">
        <v>24</v>
      </c>
      <c r="B964" t="s">
        <v>59</v>
      </c>
      <c r="C964">
        <v>351.06421555747289</v>
      </c>
      <c r="D964">
        <v>18.57058614125344</v>
      </c>
      <c r="E964">
        <v>23.742135291168712</v>
      </c>
      <c r="F964">
        <v>55.365639665570967</v>
      </c>
      <c r="G964">
        <v>5.344436815032747</v>
      </c>
      <c r="H964">
        <v>69.592246240748722</v>
      </c>
      <c r="I964">
        <v>30.172386509468328</v>
      </c>
      <c r="J964">
        <v>30.94846001998275</v>
      </c>
      <c r="K964">
        <v>11.119653961194221</v>
      </c>
      <c r="L964">
        <v>-1</v>
      </c>
      <c r="M964" t="s">
        <v>66</v>
      </c>
    </row>
    <row r="965" spans="1:13" x14ac:dyDescent="0.3">
      <c r="A965" t="s">
        <v>15</v>
      </c>
      <c r="B965" t="s">
        <v>33</v>
      </c>
      <c r="C965">
        <v>97.33052357186105</v>
      </c>
      <c r="D965">
        <v>4.3026542498964258</v>
      </c>
      <c r="E965">
        <v>5.464077036912296</v>
      </c>
      <c r="F965">
        <v>14.111663837334831</v>
      </c>
      <c r="G965">
        <v>6.1170833138261358</v>
      </c>
      <c r="H965">
        <v>35.292865236891799</v>
      </c>
      <c r="I965">
        <v>19.84460645280442</v>
      </c>
      <c r="J965">
        <v>18.479844066915739</v>
      </c>
      <c r="K965">
        <v>2130.2049847942799</v>
      </c>
      <c r="L965">
        <v>1</v>
      </c>
      <c r="M965" t="s">
        <v>66</v>
      </c>
    </row>
    <row r="966" spans="1:13" x14ac:dyDescent="0.3">
      <c r="A966" t="s">
        <v>16</v>
      </c>
      <c r="B966" t="s">
        <v>35</v>
      </c>
      <c r="C966">
        <v>81.463743698405281</v>
      </c>
      <c r="D966">
        <v>3.7746447484543548</v>
      </c>
      <c r="E966">
        <v>5.5279504792295233</v>
      </c>
      <c r="F966">
        <v>13.33460068999055</v>
      </c>
      <c r="G966">
        <v>6.6258007429780106</v>
      </c>
      <c r="H966">
        <v>36.435578638047083</v>
      </c>
      <c r="I966">
        <v>20.284050156050309</v>
      </c>
      <c r="J966">
        <v>28.12098350683711</v>
      </c>
      <c r="K966">
        <v>2140.4201667148059</v>
      </c>
      <c r="L966">
        <v>1</v>
      </c>
      <c r="M966" t="s">
        <v>66</v>
      </c>
    </row>
    <row r="967" spans="1:13" x14ac:dyDescent="0.3">
      <c r="A967" t="s">
        <v>19</v>
      </c>
      <c r="B967" t="s">
        <v>44</v>
      </c>
      <c r="C967">
        <v>41.368963598357269</v>
      </c>
      <c r="D967">
        <v>1.165716746882854</v>
      </c>
      <c r="E967">
        <v>1.931312493649602</v>
      </c>
      <c r="F967">
        <v>6.786920004393366</v>
      </c>
      <c r="G967">
        <v>5.9547065738725333</v>
      </c>
      <c r="H967">
        <v>28.33300630522718</v>
      </c>
      <c r="I967">
        <v>20.187488539924519</v>
      </c>
      <c r="J967">
        <v>19.457511568226781</v>
      </c>
      <c r="K967">
        <v>2010.3756620264171</v>
      </c>
      <c r="L967">
        <v>1</v>
      </c>
      <c r="M967" t="s">
        <v>66</v>
      </c>
    </row>
    <row r="968" spans="1:13" x14ac:dyDescent="0.3">
      <c r="A968" t="s">
        <v>24</v>
      </c>
      <c r="B968" t="s">
        <v>57</v>
      </c>
      <c r="C968">
        <v>7.0909391949816296</v>
      </c>
      <c r="D968">
        <v>0</v>
      </c>
      <c r="E968">
        <v>0</v>
      </c>
      <c r="F968">
        <v>1.0393701570951599</v>
      </c>
      <c r="G968">
        <v>5.953226986018354</v>
      </c>
      <c r="H968">
        <v>38.658358620016713</v>
      </c>
      <c r="I968">
        <v>23.1394908986235</v>
      </c>
      <c r="J968">
        <v>22.87952051555396</v>
      </c>
      <c r="K968">
        <v>744.10809319411396</v>
      </c>
      <c r="L968">
        <v>0</v>
      </c>
      <c r="M968" t="s">
        <v>66</v>
      </c>
    </row>
    <row r="969" spans="1:13" x14ac:dyDescent="0.3">
      <c r="A969" t="s">
        <v>19</v>
      </c>
      <c r="B969" t="s">
        <v>44</v>
      </c>
      <c r="C969">
        <v>44.533637604701831</v>
      </c>
      <c r="D969">
        <v>1.881243771671379</v>
      </c>
      <c r="E969">
        <v>1.8735812028882139</v>
      </c>
      <c r="F969">
        <v>6.3544655310145117</v>
      </c>
      <c r="G969">
        <v>4.7241214072412543</v>
      </c>
      <c r="H969">
        <v>32.485917477242111</v>
      </c>
      <c r="I969">
        <v>18.189929922559159</v>
      </c>
      <c r="J969">
        <v>19.098287927366751</v>
      </c>
      <c r="K969">
        <v>1925.7689573900709</v>
      </c>
      <c r="L969">
        <v>1</v>
      </c>
      <c r="M969" t="s">
        <v>66</v>
      </c>
    </row>
    <row r="970" spans="1:13" x14ac:dyDescent="0.3">
      <c r="A970" t="s">
        <v>20</v>
      </c>
      <c r="B970" t="s">
        <v>51</v>
      </c>
      <c r="C970">
        <v>43.880363595828037</v>
      </c>
      <c r="D970">
        <v>2.0423400218464738</v>
      </c>
      <c r="E970">
        <v>3.190998420521086</v>
      </c>
      <c r="F970">
        <v>6.4140538035996517</v>
      </c>
      <c r="G970">
        <v>6.1559024224676948</v>
      </c>
      <c r="H970">
        <v>21.939100294368099</v>
      </c>
      <c r="I970">
        <v>21.008389967874589</v>
      </c>
      <c r="J970">
        <v>21.162954546191031</v>
      </c>
      <c r="K970">
        <v>1531.497799287833</v>
      </c>
      <c r="L970">
        <v>1</v>
      </c>
      <c r="M970" t="s">
        <v>66</v>
      </c>
    </row>
    <row r="971" spans="1:13" x14ac:dyDescent="0.3">
      <c r="A971" t="s">
        <v>24</v>
      </c>
      <c r="B971" t="s">
        <v>60</v>
      </c>
      <c r="C971">
        <v>534.2395388226945</v>
      </c>
      <c r="D971">
        <v>24.345552680648389</v>
      </c>
      <c r="E971">
        <v>43.633281236628093</v>
      </c>
      <c r="F971">
        <v>92.734568268446736</v>
      </c>
      <c r="G971">
        <v>6.25420455520426</v>
      </c>
      <c r="H971">
        <v>88.189350906667215</v>
      </c>
      <c r="I971">
        <v>30.33635520461506</v>
      </c>
      <c r="J971">
        <v>31.90060112182006</v>
      </c>
      <c r="K971">
        <v>11.31581111429796</v>
      </c>
      <c r="L971">
        <v>-1</v>
      </c>
      <c r="M971" t="s">
        <v>66</v>
      </c>
    </row>
    <row r="972" spans="1:13" x14ac:dyDescent="0.3">
      <c r="A972" t="s">
        <v>20</v>
      </c>
      <c r="B972" t="s">
        <v>51</v>
      </c>
      <c r="C972">
        <v>267.76989971257308</v>
      </c>
      <c r="D972">
        <v>11.810935474419949</v>
      </c>
      <c r="E972">
        <v>15.439562467120099</v>
      </c>
      <c r="F972">
        <v>39.717353499442567</v>
      </c>
      <c r="G972">
        <v>5.16383207133957</v>
      </c>
      <c r="H972">
        <v>29.001570172209231</v>
      </c>
      <c r="I972">
        <v>19.929348106438511</v>
      </c>
      <c r="J972">
        <v>18.281159442929539</v>
      </c>
      <c r="K972">
        <v>1546.948570474415</v>
      </c>
      <c r="L972">
        <v>1</v>
      </c>
      <c r="M972" t="s">
        <v>66</v>
      </c>
    </row>
    <row r="973" spans="1:13" x14ac:dyDescent="0.3">
      <c r="A973" t="s">
        <v>20</v>
      </c>
      <c r="B973" t="s">
        <v>51</v>
      </c>
      <c r="C973">
        <v>225.21877343114099</v>
      </c>
      <c r="D973">
        <v>11.44616410516632</v>
      </c>
      <c r="E973">
        <v>17.42742648516068</v>
      </c>
      <c r="F973">
        <v>37.824900468001232</v>
      </c>
      <c r="G973">
        <v>5.2103009085358911</v>
      </c>
      <c r="H973">
        <v>29.14697591845627</v>
      </c>
      <c r="I973">
        <v>19.686892063031738</v>
      </c>
      <c r="J973">
        <v>19.12897842602348</v>
      </c>
      <c r="K973">
        <v>1622.2122175576069</v>
      </c>
      <c r="L973">
        <v>1</v>
      </c>
      <c r="M973" t="s">
        <v>66</v>
      </c>
    </row>
    <row r="974" spans="1:13" x14ac:dyDescent="0.3">
      <c r="A974" t="s">
        <v>16</v>
      </c>
      <c r="B974" t="s">
        <v>38</v>
      </c>
      <c r="C974">
        <v>4.054516816254349</v>
      </c>
      <c r="D974">
        <v>0</v>
      </c>
      <c r="E974">
        <v>0</v>
      </c>
      <c r="F974">
        <v>-1.7763568394002501E-15</v>
      </c>
      <c r="G974">
        <v>6.1566772261181919</v>
      </c>
      <c r="H974">
        <v>22.95998869525982</v>
      </c>
      <c r="I974">
        <v>18.322109847591829</v>
      </c>
      <c r="J974">
        <v>24.526330291849689</v>
      </c>
      <c r="K974">
        <v>1434.4422784186561</v>
      </c>
      <c r="L974">
        <v>1</v>
      </c>
      <c r="M974" t="s">
        <v>66</v>
      </c>
    </row>
    <row r="975" spans="1:13" x14ac:dyDescent="0.3">
      <c r="A975" t="s">
        <v>20</v>
      </c>
      <c r="B975" t="s">
        <v>51</v>
      </c>
      <c r="C975">
        <v>267.18456742924587</v>
      </c>
      <c r="D975">
        <v>12.87594370367761</v>
      </c>
      <c r="E975">
        <v>20.319357278612991</v>
      </c>
      <c r="F975">
        <v>41.75728671949868</v>
      </c>
      <c r="G975">
        <v>5.2316642139739056</v>
      </c>
      <c r="H975">
        <v>26.206270809440269</v>
      </c>
      <c r="I975">
        <v>19.680860337629561</v>
      </c>
      <c r="J975">
        <v>17.672720323678849</v>
      </c>
      <c r="K975">
        <v>1550.8594068951711</v>
      </c>
      <c r="L975">
        <v>1</v>
      </c>
      <c r="M975" t="s">
        <v>66</v>
      </c>
    </row>
    <row r="976" spans="1:13" x14ac:dyDescent="0.3">
      <c r="A976" t="s">
        <v>15</v>
      </c>
      <c r="B976" t="s">
        <v>33</v>
      </c>
      <c r="C976">
        <v>44.721787397360373</v>
      </c>
      <c r="D976">
        <v>1.6198275329848839</v>
      </c>
      <c r="E976">
        <v>2.042516974300304</v>
      </c>
      <c r="F976">
        <v>5.3928214048132368</v>
      </c>
      <c r="G976">
        <v>6.2648839123026976</v>
      </c>
      <c r="H976">
        <v>38.804862401478438</v>
      </c>
      <c r="I976">
        <v>19.71651205235198</v>
      </c>
      <c r="J976">
        <v>18.200381912610421</v>
      </c>
      <c r="K976">
        <v>1888.6110271085549</v>
      </c>
      <c r="L976">
        <v>1</v>
      </c>
      <c r="M976" t="s">
        <v>66</v>
      </c>
    </row>
    <row r="977" spans="1:13" x14ac:dyDescent="0.3">
      <c r="A977" t="s">
        <v>20</v>
      </c>
      <c r="B977" t="s">
        <v>51</v>
      </c>
      <c r="C977">
        <v>93.884790884629098</v>
      </c>
      <c r="D977">
        <v>4.4152778446286742</v>
      </c>
      <c r="E977">
        <v>5.197591431190407</v>
      </c>
      <c r="F977">
        <v>13.12672230918144</v>
      </c>
      <c r="G977">
        <v>6.2469390625953292</v>
      </c>
      <c r="H977">
        <v>37.73020107316281</v>
      </c>
      <c r="I977">
        <v>21.822360257022751</v>
      </c>
      <c r="J977">
        <v>19.843703025354198</v>
      </c>
      <c r="K977">
        <v>1606.5057541391179</v>
      </c>
      <c r="L977">
        <v>1</v>
      </c>
      <c r="M977" t="s">
        <v>66</v>
      </c>
    </row>
    <row r="978" spans="1:13" x14ac:dyDescent="0.3">
      <c r="A978" t="s">
        <v>19</v>
      </c>
      <c r="B978" t="s">
        <v>45</v>
      </c>
      <c r="C978">
        <v>15.79566585689933</v>
      </c>
      <c r="D978">
        <v>0</v>
      </c>
      <c r="E978">
        <v>0.91514707718164878</v>
      </c>
      <c r="F978">
        <v>2.0422418150351618</v>
      </c>
      <c r="G978">
        <v>6.0233924901181766</v>
      </c>
      <c r="H978">
        <v>36.241618259716383</v>
      </c>
      <c r="I978">
        <v>23.79366500361343</v>
      </c>
      <c r="J978">
        <v>27.044258633242261</v>
      </c>
      <c r="K978">
        <v>1478.7333757961851</v>
      </c>
      <c r="L978">
        <v>1</v>
      </c>
      <c r="M978" t="s">
        <v>66</v>
      </c>
    </row>
    <row r="979" spans="1:13" x14ac:dyDescent="0.3">
      <c r="A979" t="s">
        <v>17</v>
      </c>
      <c r="B979" t="s">
        <v>39</v>
      </c>
      <c r="C979">
        <v>130.9023786965889</v>
      </c>
      <c r="D979">
        <v>6.1234289969762514</v>
      </c>
      <c r="E979">
        <v>8.9274253181453371</v>
      </c>
      <c r="F979">
        <v>23.143862388462029</v>
      </c>
      <c r="G979">
        <v>4.9075771384599873</v>
      </c>
      <c r="H979">
        <v>20.21044348850317</v>
      </c>
      <c r="I979">
        <v>19.292679164762621</v>
      </c>
      <c r="J979">
        <v>20.668423768269481</v>
      </c>
      <c r="K979">
        <v>1857.0827897958191</v>
      </c>
      <c r="L979">
        <v>1</v>
      </c>
      <c r="M979" t="s">
        <v>66</v>
      </c>
    </row>
    <row r="980" spans="1:13" x14ac:dyDescent="0.3">
      <c r="A980" t="s">
        <v>20</v>
      </c>
      <c r="B980" t="s">
        <v>49</v>
      </c>
      <c r="C980">
        <v>98.855836391212165</v>
      </c>
      <c r="D980">
        <v>4.0513189602995521</v>
      </c>
      <c r="E980">
        <v>5.6806199526798533</v>
      </c>
      <c r="F980">
        <v>14.84950920009029</v>
      </c>
      <c r="G980">
        <v>5.4447355974195144</v>
      </c>
      <c r="H980">
        <v>29.080688724219339</v>
      </c>
      <c r="I980">
        <v>20.63788057103061</v>
      </c>
      <c r="J980">
        <v>21.053188486153331</v>
      </c>
      <c r="K980">
        <v>1736.5732563919901</v>
      </c>
      <c r="L980">
        <v>1</v>
      </c>
      <c r="M980" t="s">
        <v>66</v>
      </c>
    </row>
    <row r="981" spans="1:13" x14ac:dyDescent="0.3">
      <c r="A981" t="s">
        <v>15</v>
      </c>
      <c r="B981" t="s">
        <v>32</v>
      </c>
      <c r="C981">
        <v>46.37974833026837</v>
      </c>
      <c r="D981">
        <v>2.092902075565362</v>
      </c>
      <c r="E981">
        <v>3.3837669478882821</v>
      </c>
      <c r="F981">
        <v>6.614992731711606</v>
      </c>
      <c r="G981">
        <v>6.4455047584432439</v>
      </c>
      <c r="H981">
        <v>32.237206207539543</v>
      </c>
      <c r="I981">
        <v>19.94582960667007</v>
      </c>
      <c r="J981">
        <v>17.784575166361339</v>
      </c>
      <c r="K981">
        <v>1858.76846171753</v>
      </c>
      <c r="L981">
        <v>1</v>
      </c>
      <c r="M981" t="s">
        <v>66</v>
      </c>
    </row>
    <row r="982" spans="1:13" x14ac:dyDescent="0.3">
      <c r="A982" t="s">
        <v>16</v>
      </c>
      <c r="B982" t="s">
        <v>35</v>
      </c>
      <c r="C982">
        <v>62.074981730604343</v>
      </c>
      <c r="D982">
        <v>3.2440801535213142</v>
      </c>
      <c r="E982">
        <v>3.796321672763399</v>
      </c>
      <c r="F982">
        <v>9.2643389464544583</v>
      </c>
      <c r="G982">
        <v>6.1171059268495593</v>
      </c>
      <c r="H982">
        <v>36.681519260760453</v>
      </c>
      <c r="I982">
        <v>20.739974850535951</v>
      </c>
      <c r="J982">
        <v>29.36165919526001</v>
      </c>
      <c r="K982">
        <v>2019.7521445131649</v>
      </c>
      <c r="L982">
        <v>1</v>
      </c>
      <c r="M982" t="s">
        <v>66</v>
      </c>
    </row>
    <row r="983" spans="1:13" x14ac:dyDescent="0.3">
      <c r="A983" t="s">
        <v>18</v>
      </c>
      <c r="B983" t="s">
        <v>43</v>
      </c>
      <c r="C983">
        <v>55.100654660397282</v>
      </c>
      <c r="D983">
        <v>1.9286787505873131</v>
      </c>
      <c r="E983">
        <v>3.0369808651880938</v>
      </c>
      <c r="F983">
        <v>7.213229130012814</v>
      </c>
      <c r="G983">
        <v>5.7068864527298837</v>
      </c>
      <c r="H983">
        <v>55.895210652850807</v>
      </c>
      <c r="I983">
        <v>21.954574067592819</v>
      </c>
      <c r="J983">
        <v>18.711108146203969</v>
      </c>
      <c r="K983">
        <v>1900.8149535398991</v>
      </c>
      <c r="L983">
        <v>1</v>
      </c>
      <c r="M983" t="s">
        <v>66</v>
      </c>
    </row>
    <row r="984" spans="1:13" x14ac:dyDescent="0.3">
      <c r="A984" t="s">
        <v>18</v>
      </c>
      <c r="B984" t="s">
        <v>41</v>
      </c>
      <c r="C984">
        <v>6.1624785084431863</v>
      </c>
      <c r="D984">
        <v>0</v>
      </c>
      <c r="E984">
        <v>0</v>
      </c>
      <c r="F984">
        <v>-1.7763568394002501E-15</v>
      </c>
      <c r="G984">
        <v>6.4131519339453007</v>
      </c>
      <c r="H984">
        <v>24.473933822671089</v>
      </c>
      <c r="I984">
        <v>29.12381031434716</v>
      </c>
      <c r="J984">
        <v>34.220976676188158</v>
      </c>
      <c r="K984">
        <v>1749.679423298355</v>
      </c>
      <c r="L984">
        <v>1</v>
      </c>
      <c r="M984" t="s">
        <v>66</v>
      </c>
    </row>
    <row r="985" spans="1:13" x14ac:dyDescent="0.3">
      <c r="A985" t="s">
        <v>20</v>
      </c>
      <c r="B985" t="s">
        <v>51</v>
      </c>
      <c r="C985">
        <v>43.38993578630312</v>
      </c>
      <c r="D985">
        <v>2.0216438830591872</v>
      </c>
      <c r="E985">
        <v>2.814381222468084</v>
      </c>
      <c r="F985">
        <v>7.2540464316924327</v>
      </c>
      <c r="G985">
        <v>6.0136649518845333</v>
      </c>
      <c r="H985">
        <v>23.005565707084472</v>
      </c>
      <c r="I985">
        <v>20.726186706554788</v>
      </c>
      <c r="J985">
        <v>20.27779171444471</v>
      </c>
      <c r="K985">
        <v>1524.3181465452101</v>
      </c>
      <c r="L985">
        <v>1</v>
      </c>
      <c r="M985" t="s">
        <v>66</v>
      </c>
    </row>
    <row r="986" spans="1:13" x14ac:dyDescent="0.3">
      <c r="A986" t="s">
        <v>21</v>
      </c>
      <c r="B986" t="s">
        <v>52</v>
      </c>
      <c r="C986">
        <v>22.098805939965828</v>
      </c>
      <c r="D986">
        <v>0.83790153445460991</v>
      </c>
      <c r="E986">
        <v>0.96677056544350659</v>
      </c>
      <c r="F986">
        <v>3.1358535336229032</v>
      </c>
      <c r="G986">
        <v>6.2438842817236218</v>
      </c>
      <c r="H986">
        <v>29.98292733160228</v>
      </c>
      <c r="I986">
        <v>20.742857142710211</v>
      </c>
      <c r="J986">
        <v>20.25279551862981</v>
      </c>
      <c r="K986">
        <v>1261.331034720848</v>
      </c>
      <c r="L986">
        <v>1</v>
      </c>
      <c r="M986" t="s">
        <v>66</v>
      </c>
    </row>
    <row r="987" spans="1:13" x14ac:dyDescent="0.3">
      <c r="A987" t="s">
        <v>16</v>
      </c>
      <c r="B987" t="s">
        <v>38</v>
      </c>
      <c r="C987">
        <v>960</v>
      </c>
      <c r="D987">
        <v>42.013900459772998</v>
      </c>
      <c r="E987">
        <v>67</v>
      </c>
      <c r="F987">
        <v>144.58695967912209</v>
      </c>
      <c r="G987">
        <v>5.3494955715678296</v>
      </c>
      <c r="H987">
        <v>25.281691459425481</v>
      </c>
      <c r="I987">
        <v>20.56987427530192</v>
      </c>
      <c r="J987">
        <v>21.374012980844039</v>
      </c>
      <c r="K987">
        <v>1510.4626725372921</v>
      </c>
      <c r="L987">
        <v>1</v>
      </c>
      <c r="M987" t="s">
        <v>66</v>
      </c>
    </row>
    <row r="988" spans="1:13" x14ac:dyDescent="0.3">
      <c r="A988" t="s">
        <v>24</v>
      </c>
      <c r="B988" t="s">
        <v>61</v>
      </c>
      <c r="C988">
        <v>190.23542774138599</v>
      </c>
      <c r="D988">
        <v>8.4015455866773046</v>
      </c>
      <c r="E988">
        <v>12.34827610665941</v>
      </c>
      <c r="F988">
        <v>28.952403950303431</v>
      </c>
      <c r="G988">
        <v>6.0707732598064208</v>
      </c>
      <c r="H988">
        <v>23.708339942835661</v>
      </c>
      <c r="I988">
        <v>29.268301426695729</v>
      </c>
      <c r="J988">
        <v>32.813730490317717</v>
      </c>
      <c r="K988">
        <v>13.937631616657431</v>
      </c>
      <c r="L988">
        <v>-1</v>
      </c>
      <c r="M988" t="s">
        <v>66</v>
      </c>
    </row>
    <row r="989" spans="1:13" x14ac:dyDescent="0.3">
      <c r="A989" t="s">
        <v>15</v>
      </c>
      <c r="B989" t="s">
        <v>34</v>
      </c>
      <c r="C989">
        <v>29.002236095509371</v>
      </c>
      <c r="D989">
        <v>1.014355922164758</v>
      </c>
      <c r="E989">
        <v>2.020580151826624</v>
      </c>
      <c r="F989">
        <v>3.6763344857479581</v>
      </c>
      <c r="G989">
        <v>6.4624600334294229</v>
      </c>
      <c r="H989">
        <v>24.479732422102241</v>
      </c>
      <c r="I989">
        <v>15.9</v>
      </c>
      <c r="J989">
        <v>26.914840476404471</v>
      </c>
      <c r="K989">
        <v>1650.1297515675251</v>
      </c>
      <c r="L989">
        <v>1</v>
      </c>
      <c r="M989" t="s">
        <v>66</v>
      </c>
    </row>
    <row r="990" spans="1:13" x14ac:dyDescent="0.3">
      <c r="A990" t="s">
        <v>19</v>
      </c>
      <c r="B990" t="s">
        <v>44</v>
      </c>
      <c r="C990">
        <v>30.113104119463468</v>
      </c>
      <c r="D990">
        <v>0.94282271065872747</v>
      </c>
      <c r="E990">
        <v>2.149002315024485</v>
      </c>
      <c r="F990">
        <v>3.7523662685134132</v>
      </c>
      <c r="G990">
        <v>6.0831648507074263</v>
      </c>
      <c r="H990">
        <v>20.146351535289</v>
      </c>
      <c r="I990">
        <v>19.594909456293099</v>
      </c>
      <c r="J990">
        <v>19.20147281154572</v>
      </c>
      <c r="K990">
        <v>2021.2186251465971</v>
      </c>
      <c r="L990">
        <v>1</v>
      </c>
      <c r="M990" t="s">
        <v>66</v>
      </c>
    </row>
    <row r="991" spans="1:13" x14ac:dyDescent="0.3">
      <c r="A991" t="s">
        <v>20</v>
      </c>
      <c r="B991" t="s">
        <v>51</v>
      </c>
      <c r="C991">
        <v>390.70464030911393</v>
      </c>
      <c r="D991">
        <v>19.123926781090649</v>
      </c>
      <c r="E991">
        <v>26.25019429714353</v>
      </c>
      <c r="F991">
        <v>61.958335735887971</v>
      </c>
      <c r="G991">
        <v>4.6770644548496509</v>
      </c>
      <c r="H991">
        <v>45.237408044211499</v>
      </c>
      <c r="I991">
        <v>20.127642095388339</v>
      </c>
      <c r="J991">
        <v>20.82547189738812</v>
      </c>
      <c r="K991">
        <v>1602.7821804153309</v>
      </c>
      <c r="L991">
        <v>1</v>
      </c>
      <c r="M991" t="s">
        <v>66</v>
      </c>
    </row>
    <row r="992" spans="1:13" x14ac:dyDescent="0.3">
      <c r="A992" t="s">
        <v>15</v>
      </c>
      <c r="B992" t="s">
        <v>31</v>
      </c>
      <c r="C992">
        <v>22.488034470516201</v>
      </c>
      <c r="D992">
        <v>1.1107236352490919</v>
      </c>
      <c r="E992">
        <v>0.92704748054038166</v>
      </c>
      <c r="F992">
        <v>2.871245434592089</v>
      </c>
      <c r="G992">
        <v>6.5544251752599507</v>
      </c>
      <c r="H992">
        <v>37.653477547138728</v>
      </c>
      <c r="I992">
        <v>25.535079649801929</v>
      </c>
      <c r="J992">
        <v>20.042715057457041</v>
      </c>
      <c r="K992">
        <v>1629.784707289019</v>
      </c>
      <c r="L992">
        <v>1</v>
      </c>
      <c r="M992" t="s">
        <v>66</v>
      </c>
    </row>
    <row r="993" spans="1:13" x14ac:dyDescent="0.3">
      <c r="A993" t="s">
        <v>19</v>
      </c>
      <c r="B993" t="s">
        <v>48</v>
      </c>
      <c r="C993">
        <v>42.863570041115203</v>
      </c>
      <c r="D993">
        <v>1.6383136100549021</v>
      </c>
      <c r="E993">
        <v>3.4664963804808981</v>
      </c>
      <c r="F993">
        <v>8.0480215889721052</v>
      </c>
      <c r="G993">
        <v>6.1943323438358631</v>
      </c>
      <c r="H993">
        <v>20.973550315874188</v>
      </c>
      <c r="I993">
        <v>31.363054115643951</v>
      </c>
      <c r="J993">
        <v>25.980253710494019</v>
      </c>
      <c r="K993">
        <v>1177.28874356236</v>
      </c>
      <c r="L993">
        <v>0</v>
      </c>
      <c r="M993" t="s">
        <v>66</v>
      </c>
    </row>
    <row r="994" spans="1:13" x14ac:dyDescent="0.3">
      <c r="A994" t="s">
        <v>19</v>
      </c>
      <c r="B994" t="s">
        <v>44</v>
      </c>
      <c r="C994">
        <v>33.777422989728898</v>
      </c>
      <c r="D994">
        <v>0.84604679662359228</v>
      </c>
      <c r="E994">
        <v>1.9783430729661879</v>
      </c>
      <c r="F994">
        <v>4.215335292852247</v>
      </c>
      <c r="G994">
        <v>5.7717448786347054</v>
      </c>
      <c r="H994">
        <v>22.348846214946722</v>
      </c>
      <c r="I994">
        <v>17.409868491641848</v>
      </c>
      <c r="J994">
        <v>20.650262500091081</v>
      </c>
      <c r="K994">
        <v>1726.5633047851049</v>
      </c>
      <c r="L994">
        <v>1</v>
      </c>
      <c r="M994" t="s">
        <v>66</v>
      </c>
    </row>
    <row r="995" spans="1:13" x14ac:dyDescent="0.3">
      <c r="A995" t="s">
        <v>18</v>
      </c>
      <c r="B995" t="s">
        <v>43</v>
      </c>
      <c r="C995">
        <v>29.111589046482749</v>
      </c>
      <c r="D995">
        <v>1.0073879396719021</v>
      </c>
      <c r="E995">
        <v>2.020360299399341</v>
      </c>
      <c r="F995">
        <v>4.1740704587238264</v>
      </c>
      <c r="G995">
        <v>6.011599493651377</v>
      </c>
      <c r="H995">
        <v>24.14369435273905</v>
      </c>
      <c r="I995">
        <v>22.68206582862771</v>
      </c>
      <c r="J995">
        <v>18.830567437503301</v>
      </c>
      <c r="K995">
        <v>1831.4983637780961</v>
      </c>
      <c r="L995">
        <v>1</v>
      </c>
      <c r="M995" t="s">
        <v>66</v>
      </c>
    </row>
    <row r="996" spans="1:13" x14ac:dyDescent="0.3">
      <c r="A996" t="s">
        <v>19</v>
      </c>
      <c r="B996" t="s">
        <v>48</v>
      </c>
      <c r="C996">
        <v>45.054109868627307</v>
      </c>
      <c r="D996">
        <v>1.637479489417804</v>
      </c>
      <c r="E996">
        <v>3.2161214364364938</v>
      </c>
      <c r="F996">
        <v>7.134948862535353</v>
      </c>
      <c r="G996">
        <v>6.0559054982091336</v>
      </c>
      <c r="H996">
        <v>19.753857928716531</v>
      </c>
      <c r="I996">
        <v>32.095490485540758</v>
      </c>
      <c r="J996">
        <v>24.9955733405911</v>
      </c>
      <c r="K996">
        <v>1138.648555071622</v>
      </c>
      <c r="L996">
        <v>0</v>
      </c>
      <c r="M996" t="s">
        <v>66</v>
      </c>
    </row>
    <row r="997" spans="1:13" x14ac:dyDescent="0.3">
      <c r="A997" t="s">
        <v>19</v>
      </c>
      <c r="B997" t="s">
        <v>48</v>
      </c>
      <c r="C997">
        <v>30.803647211706512</v>
      </c>
      <c r="D997">
        <v>1.1480999672636809</v>
      </c>
      <c r="E997">
        <v>1.8197796658828831</v>
      </c>
      <c r="F997">
        <v>5.1580399727682433</v>
      </c>
      <c r="G997">
        <v>5.9779305469231616</v>
      </c>
      <c r="H997">
        <v>23.945368146787711</v>
      </c>
      <c r="I997">
        <v>31.920850381668721</v>
      </c>
      <c r="J997">
        <v>25.513213403180892</v>
      </c>
      <c r="K997">
        <v>1109.0706905883101</v>
      </c>
      <c r="L997">
        <v>0</v>
      </c>
      <c r="M997" t="s">
        <v>66</v>
      </c>
    </row>
    <row r="998" spans="1:13" x14ac:dyDescent="0.3">
      <c r="A998" t="s">
        <v>24</v>
      </c>
      <c r="B998" t="s">
        <v>61</v>
      </c>
      <c r="C998">
        <v>79.680546685520753</v>
      </c>
      <c r="D998">
        <v>3.9990474097443891</v>
      </c>
      <c r="E998">
        <v>5.3117871286460163</v>
      </c>
      <c r="F998">
        <v>13.22190332657379</v>
      </c>
      <c r="G998">
        <v>6.2464083356134044</v>
      </c>
      <c r="H998">
        <v>14.769117034782861</v>
      </c>
      <c r="I998">
        <v>34.858127692196391</v>
      </c>
      <c r="J998">
        <v>31.298029578877038</v>
      </c>
      <c r="K998">
        <v>47.415136928780839</v>
      </c>
      <c r="L998">
        <v>-1</v>
      </c>
      <c r="M998" t="s">
        <v>66</v>
      </c>
    </row>
    <row r="999" spans="1:13" x14ac:dyDescent="0.3">
      <c r="A999" t="s">
        <v>18</v>
      </c>
      <c r="B999" t="s">
        <v>42</v>
      </c>
      <c r="C999">
        <v>25.832595029191751</v>
      </c>
      <c r="D999">
        <v>1.0762191912855421</v>
      </c>
      <c r="E999">
        <v>1.150411202289807</v>
      </c>
      <c r="F999">
        <v>4.7208159997200081</v>
      </c>
      <c r="G999">
        <v>5.4850725238327724</v>
      </c>
      <c r="H999">
        <v>30.244896973983028</v>
      </c>
      <c r="I999">
        <v>18.658633824445431</v>
      </c>
      <c r="J999">
        <v>27.263704643592579</v>
      </c>
      <c r="K999">
        <v>1876.033076619254</v>
      </c>
      <c r="L999">
        <v>1</v>
      </c>
      <c r="M999" t="s">
        <v>66</v>
      </c>
    </row>
    <row r="1000" spans="1:13" x14ac:dyDescent="0.3">
      <c r="A1000" t="s">
        <v>24</v>
      </c>
      <c r="B1000" t="s">
        <v>57</v>
      </c>
      <c r="C1000">
        <v>58.979908968528363</v>
      </c>
      <c r="D1000">
        <v>3.3609423059101831</v>
      </c>
      <c r="E1000">
        <v>4.6897335352645309</v>
      </c>
      <c r="F1000">
        <v>9.3431693842457086</v>
      </c>
      <c r="G1000">
        <v>6.1553442839729664</v>
      </c>
      <c r="H1000">
        <v>19.88814596452416</v>
      </c>
      <c r="I1000">
        <v>21.925279051567621</v>
      </c>
      <c r="J1000">
        <v>20.365059907886881</v>
      </c>
      <c r="K1000">
        <v>1544.4436868746029</v>
      </c>
      <c r="L1000">
        <v>1</v>
      </c>
      <c r="M1000" t="s">
        <v>66</v>
      </c>
    </row>
    <row r="1001" spans="1:13" x14ac:dyDescent="0.3">
      <c r="A1001" t="s">
        <v>22</v>
      </c>
      <c r="B1001" t="s">
        <v>54</v>
      </c>
      <c r="C1001">
        <v>45.396543444907273</v>
      </c>
      <c r="D1001">
        <v>1.37576884225125</v>
      </c>
      <c r="E1001">
        <v>2.622715297827193</v>
      </c>
      <c r="F1001">
        <v>5.1794457386368684</v>
      </c>
      <c r="G1001">
        <v>7.5</v>
      </c>
      <c r="H1001">
        <v>46.136949651091463</v>
      </c>
      <c r="I1001">
        <v>27.53823049428787</v>
      </c>
      <c r="J1001">
        <v>20.840503009052991</v>
      </c>
      <c r="K1001">
        <v>1306.3925831146109</v>
      </c>
      <c r="L1001">
        <v>1</v>
      </c>
      <c r="M1001" t="s">
        <v>66</v>
      </c>
    </row>
    <row r="1002" spans="1:13" x14ac:dyDescent="0.3">
      <c r="A1002" t="s">
        <v>16</v>
      </c>
      <c r="B1002" t="s">
        <v>37</v>
      </c>
      <c r="C1002">
        <v>4.5926500671601929</v>
      </c>
      <c r="D1002">
        <v>0</v>
      </c>
      <c r="E1002">
        <v>0</v>
      </c>
      <c r="F1002">
        <v>-1.7763568394002501E-15</v>
      </c>
      <c r="G1002">
        <v>6.4480030557555672</v>
      </c>
      <c r="H1002">
        <v>21.668247695844471</v>
      </c>
      <c r="I1002">
        <v>17.66503860772006</v>
      </c>
      <c r="J1002">
        <v>22.12653014001798</v>
      </c>
      <c r="K1002">
        <v>1480.8292324226641</v>
      </c>
      <c r="L1002">
        <v>1</v>
      </c>
      <c r="M1002" t="s">
        <v>66</v>
      </c>
    </row>
    <row r="1003" spans="1:13" x14ac:dyDescent="0.3">
      <c r="A1003" t="s">
        <v>17</v>
      </c>
      <c r="B1003" t="s">
        <v>39</v>
      </c>
      <c r="C1003">
        <v>21.353779454722272</v>
      </c>
      <c r="D1003">
        <v>0</v>
      </c>
      <c r="E1003">
        <v>1.156079989086868</v>
      </c>
      <c r="F1003">
        <v>3.2059696231189849</v>
      </c>
      <c r="G1003">
        <v>5.3928008042233024</v>
      </c>
      <c r="H1003">
        <v>25.774862186153221</v>
      </c>
      <c r="I1003">
        <v>19.671978665167039</v>
      </c>
      <c r="J1003">
        <v>22.425479417153671</v>
      </c>
      <c r="K1003">
        <v>2087.6223506514111</v>
      </c>
      <c r="L1003">
        <v>1</v>
      </c>
      <c r="M1003" t="s">
        <v>66</v>
      </c>
    </row>
    <row r="1004" spans="1:13" x14ac:dyDescent="0.3">
      <c r="A1004" t="s">
        <v>17</v>
      </c>
      <c r="B1004" t="s">
        <v>39</v>
      </c>
      <c r="C1004">
        <v>38.945777231478921</v>
      </c>
      <c r="D1004">
        <v>1.163984795972586</v>
      </c>
      <c r="E1004">
        <v>2.0251558662975699</v>
      </c>
      <c r="F1004">
        <v>5.5351821872475178</v>
      </c>
      <c r="G1004">
        <v>6.117478790284764</v>
      </c>
      <c r="H1004">
        <v>25.717152991108399</v>
      </c>
      <c r="I1004">
        <v>18.128473134431331</v>
      </c>
      <c r="J1004">
        <v>24.213850252406989</v>
      </c>
      <c r="K1004">
        <v>1419.373037577426</v>
      </c>
      <c r="L1004">
        <v>1</v>
      </c>
      <c r="M1004" t="s">
        <v>66</v>
      </c>
    </row>
    <row r="1005" spans="1:13" x14ac:dyDescent="0.3">
      <c r="A1005" t="s">
        <v>24</v>
      </c>
      <c r="B1005" t="s">
        <v>61</v>
      </c>
      <c r="C1005">
        <v>86.378217903305242</v>
      </c>
      <c r="D1005">
        <v>3.9496579097127071</v>
      </c>
      <c r="E1005">
        <v>4.7850305599308252</v>
      </c>
      <c r="F1005">
        <v>11.10657680875843</v>
      </c>
      <c r="G1005">
        <v>6.1742406238328451</v>
      </c>
      <c r="H1005">
        <v>15.24735104691421</v>
      </c>
      <c r="I1005">
        <v>34.791812624004592</v>
      </c>
      <c r="J1005">
        <v>30.140629344697292</v>
      </c>
      <c r="K1005">
        <v>48.601357954021978</v>
      </c>
      <c r="L1005">
        <v>-1</v>
      </c>
      <c r="M1005" t="s">
        <v>66</v>
      </c>
    </row>
    <row r="1006" spans="1:13" x14ac:dyDescent="0.3">
      <c r="A1006" t="s">
        <v>15</v>
      </c>
      <c r="B1006" t="s">
        <v>32</v>
      </c>
      <c r="C1006">
        <v>50.539123450089363</v>
      </c>
      <c r="D1006">
        <v>2.326134456650844</v>
      </c>
      <c r="E1006">
        <v>3.1432291001190649</v>
      </c>
      <c r="F1006">
        <v>8.4244223415029857</v>
      </c>
      <c r="G1006">
        <v>6.2490959062546327</v>
      </c>
      <c r="H1006">
        <v>31.129761758520839</v>
      </c>
      <c r="I1006">
        <v>18.49512298531301</v>
      </c>
      <c r="J1006">
        <v>18.54370678355847</v>
      </c>
      <c r="K1006">
        <v>1940.883930650517</v>
      </c>
      <c r="L1006">
        <v>1</v>
      </c>
      <c r="M1006" t="s">
        <v>66</v>
      </c>
    </row>
    <row r="1007" spans="1:13" x14ac:dyDescent="0.3">
      <c r="A1007" t="s">
        <v>19</v>
      </c>
      <c r="B1007" t="s">
        <v>44</v>
      </c>
      <c r="C1007">
        <v>15.552270585952559</v>
      </c>
      <c r="D1007">
        <v>0</v>
      </c>
      <c r="E1007">
        <v>1.031468858348493</v>
      </c>
      <c r="F1007">
        <v>2.1507736071005179</v>
      </c>
      <c r="G1007">
        <v>5.8199707119504591</v>
      </c>
      <c r="H1007">
        <v>40.593212999585717</v>
      </c>
      <c r="I1007">
        <v>20.277533097007471</v>
      </c>
      <c r="J1007">
        <v>19.233144290869149</v>
      </c>
      <c r="K1007">
        <v>1936.344964076947</v>
      </c>
      <c r="L1007">
        <v>1</v>
      </c>
      <c r="M1007" t="s">
        <v>66</v>
      </c>
    </row>
    <row r="1008" spans="1:13" x14ac:dyDescent="0.3">
      <c r="A1008" t="s">
        <v>19</v>
      </c>
      <c r="B1008" t="s">
        <v>44</v>
      </c>
      <c r="C1008">
        <v>30.691689368833408</v>
      </c>
      <c r="D1008">
        <v>1.0290173511031531</v>
      </c>
      <c r="E1008">
        <v>1.8571841092720629</v>
      </c>
      <c r="F1008">
        <v>4.303025823209321</v>
      </c>
      <c r="G1008">
        <v>5.6555821753691129</v>
      </c>
      <c r="H1008">
        <v>23.026921953274261</v>
      </c>
      <c r="I1008">
        <v>16.918918626607152</v>
      </c>
      <c r="J1008">
        <v>22.69608646537473</v>
      </c>
      <c r="K1008">
        <v>1721.259740173434</v>
      </c>
      <c r="L1008">
        <v>1</v>
      </c>
      <c r="M1008" t="s">
        <v>66</v>
      </c>
    </row>
    <row r="1009" spans="1:13" x14ac:dyDescent="0.3">
      <c r="A1009" t="s">
        <v>15</v>
      </c>
      <c r="B1009" t="s">
        <v>31</v>
      </c>
      <c r="C1009">
        <v>22.483011424774549</v>
      </c>
      <c r="D1009">
        <v>1.006003841963425</v>
      </c>
      <c r="E1009">
        <v>1.0205950820242979</v>
      </c>
      <c r="F1009">
        <v>2.8615013822812529</v>
      </c>
      <c r="G1009">
        <v>6.4336860625656973</v>
      </c>
      <c r="H1009">
        <v>41.033693950199194</v>
      </c>
      <c r="I1009">
        <v>27.003308093359848</v>
      </c>
      <c r="J1009">
        <v>19.73688154855412</v>
      </c>
      <c r="K1009">
        <v>1620.620371381727</v>
      </c>
      <c r="L1009">
        <v>1</v>
      </c>
      <c r="M1009" t="s">
        <v>66</v>
      </c>
    </row>
    <row r="1010" spans="1:13" x14ac:dyDescent="0.3">
      <c r="A1010" t="s">
        <v>19</v>
      </c>
      <c r="B1010" t="s">
        <v>44</v>
      </c>
      <c r="C1010">
        <v>22.798793354896869</v>
      </c>
      <c r="D1010">
        <v>0.99637001790023705</v>
      </c>
      <c r="E1010">
        <v>0.97000172490553993</v>
      </c>
      <c r="F1010">
        <v>2.9163352819510511</v>
      </c>
      <c r="G1010">
        <v>6.4209391652010526</v>
      </c>
      <c r="H1010">
        <v>19.323081421422799</v>
      </c>
      <c r="I1010">
        <v>27.168933276255199</v>
      </c>
      <c r="J1010">
        <v>23.164188000359339</v>
      </c>
      <c r="K1010">
        <v>1303.0892517666559</v>
      </c>
      <c r="L1010">
        <v>0</v>
      </c>
      <c r="M1010" t="s">
        <v>66</v>
      </c>
    </row>
    <row r="1011" spans="1:13" x14ac:dyDescent="0.3">
      <c r="A1011" t="s">
        <v>23</v>
      </c>
      <c r="B1011" t="s">
        <v>56</v>
      </c>
      <c r="C1011">
        <v>86.502062538926452</v>
      </c>
      <c r="D1011">
        <v>4.0223642314130537</v>
      </c>
      <c r="E1011">
        <v>4.939634188125205</v>
      </c>
      <c r="F1011">
        <v>13.20285502527809</v>
      </c>
      <c r="G1011">
        <v>6.1009800654285566</v>
      </c>
      <c r="H1011">
        <v>24.047037559070841</v>
      </c>
      <c r="I1011">
        <v>19.678286726146869</v>
      </c>
      <c r="J1011">
        <v>18.616027817271942</v>
      </c>
      <c r="K1011">
        <v>1671.246422088959</v>
      </c>
      <c r="L1011">
        <v>1</v>
      </c>
      <c r="M1011" t="s">
        <v>66</v>
      </c>
    </row>
    <row r="1012" spans="1:13" x14ac:dyDescent="0.3">
      <c r="A1012" t="s">
        <v>21</v>
      </c>
      <c r="B1012" t="s">
        <v>52</v>
      </c>
      <c r="C1012">
        <v>32.339455826793653</v>
      </c>
      <c r="D1012">
        <v>1.012351815281844</v>
      </c>
      <c r="E1012">
        <v>2.0831683603403599</v>
      </c>
      <c r="F1012">
        <v>4.6256036264679246</v>
      </c>
      <c r="G1012">
        <v>5.9605555879007346</v>
      </c>
      <c r="H1012">
        <v>29.858656371347319</v>
      </c>
      <c r="I1012">
        <v>27.004322280499569</v>
      </c>
      <c r="J1012">
        <v>21.72619936049372</v>
      </c>
      <c r="K1012">
        <v>1193.413239784313</v>
      </c>
      <c r="L1012">
        <v>1</v>
      </c>
      <c r="M1012" t="s">
        <v>66</v>
      </c>
    </row>
    <row r="1013" spans="1:13" x14ac:dyDescent="0.3">
      <c r="A1013" t="s">
        <v>20</v>
      </c>
      <c r="B1013" t="s">
        <v>51</v>
      </c>
      <c r="C1013">
        <v>100.2248070579675</v>
      </c>
      <c r="D1013">
        <v>4.4928416086617062</v>
      </c>
      <c r="E1013">
        <v>4.7202726036171949</v>
      </c>
      <c r="F1013">
        <v>12.98641442746502</v>
      </c>
      <c r="G1013">
        <v>6.0523862080506214</v>
      </c>
      <c r="H1013">
        <v>33.399503890676158</v>
      </c>
      <c r="I1013">
        <v>21.863590061267431</v>
      </c>
      <c r="J1013">
        <v>20.128124513185352</v>
      </c>
      <c r="K1013">
        <v>1544.2816396815911</v>
      </c>
      <c r="L1013">
        <v>1</v>
      </c>
      <c r="M1013" t="s">
        <v>66</v>
      </c>
    </row>
    <row r="1014" spans="1:13" x14ac:dyDescent="0.3">
      <c r="A1014" t="s">
        <v>19</v>
      </c>
      <c r="B1014" t="s">
        <v>48</v>
      </c>
      <c r="C1014">
        <v>41.928399017476707</v>
      </c>
      <c r="D1014">
        <v>2.013218594338229</v>
      </c>
      <c r="E1014">
        <v>3.0032690542905782</v>
      </c>
      <c r="F1014">
        <v>6.5022893851056889</v>
      </c>
      <c r="G1014">
        <v>6.0766630351676696</v>
      </c>
      <c r="H1014">
        <v>20.177502625123381</v>
      </c>
      <c r="I1014">
        <v>31.881025638717642</v>
      </c>
      <c r="J1014">
        <v>25.33602858807825</v>
      </c>
      <c r="K1014">
        <v>1200.9963353558319</v>
      </c>
      <c r="L1014">
        <v>0</v>
      </c>
      <c r="M1014" t="s">
        <v>66</v>
      </c>
    </row>
    <row r="1015" spans="1:13" x14ac:dyDescent="0.3">
      <c r="A1015" t="s">
        <v>18</v>
      </c>
      <c r="B1015" t="s">
        <v>43</v>
      </c>
      <c r="C1015">
        <v>30.746807343441329</v>
      </c>
      <c r="D1015">
        <v>0.89405464656763423</v>
      </c>
      <c r="E1015">
        <v>2.109251712770829</v>
      </c>
      <c r="F1015">
        <v>4.1990905871032354</v>
      </c>
      <c r="G1015">
        <v>6.1112745268181223</v>
      </c>
      <c r="H1015">
        <v>21.25546384297332</v>
      </c>
      <c r="I1015">
        <v>23.819538699043392</v>
      </c>
      <c r="J1015">
        <v>19.23395581425379</v>
      </c>
      <c r="K1015">
        <v>1909.79474575876</v>
      </c>
      <c r="L1015">
        <v>1</v>
      </c>
      <c r="M1015" t="s">
        <v>66</v>
      </c>
    </row>
    <row r="1016" spans="1:13" x14ac:dyDescent="0.3">
      <c r="A1016" t="s">
        <v>19</v>
      </c>
      <c r="B1016" t="s">
        <v>44</v>
      </c>
      <c r="C1016">
        <v>22.2789480401849</v>
      </c>
      <c r="D1016">
        <v>1.0654102386040241</v>
      </c>
      <c r="E1016">
        <v>1.1486019739454549</v>
      </c>
      <c r="F1016">
        <v>2.5506923593325972</v>
      </c>
      <c r="G1016">
        <v>6.3200295788966878</v>
      </c>
      <c r="H1016">
        <v>20.074064106683739</v>
      </c>
      <c r="I1016">
        <v>26.641094860030758</v>
      </c>
      <c r="J1016">
        <v>24.258337476574109</v>
      </c>
      <c r="K1016">
        <v>1303.1280141376269</v>
      </c>
      <c r="L1016">
        <v>0</v>
      </c>
      <c r="M1016" t="s">
        <v>66</v>
      </c>
    </row>
    <row r="1017" spans="1:13" x14ac:dyDescent="0.3">
      <c r="A1017" t="s">
        <v>24</v>
      </c>
      <c r="B1017" t="s">
        <v>57</v>
      </c>
      <c r="C1017">
        <v>11.349791591320569</v>
      </c>
      <c r="D1017">
        <v>0</v>
      </c>
      <c r="E1017">
        <v>0</v>
      </c>
      <c r="F1017">
        <v>1.0234124021839011</v>
      </c>
      <c r="G1017">
        <v>6.5758482261986577</v>
      </c>
      <c r="H1017">
        <v>15.81492700458236</v>
      </c>
      <c r="I1017">
        <v>22.636094918994971</v>
      </c>
      <c r="J1017">
        <v>21.68118458883275</v>
      </c>
      <c r="K1017">
        <v>1579.8590851360041</v>
      </c>
      <c r="L1017">
        <v>1</v>
      </c>
      <c r="M1017" t="s">
        <v>66</v>
      </c>
    </row>
    <row r="1018" spans="1:13" x14ac:dyDescent="0.3">
      <c r="A1018" t="s">
        <v>16</v>
      </c>
      <c r="B1018" t="s">
        <v>35</v>
      </c>
      <c r="C1018">
        <v>65.653442570156429</v>
      </c>
      <c r="D1018">
        <v>2.912699783941711</v>
      </c>
      <c r="E1018">
        <v>3.9601169877676412</v>
      </c>
      <c r="F1018">
        <v>8.5122978646963894</v>
      </c>
      <c r="G1018">
        <v>6.130017193042848</v>
      </c>
      <c r="H1018">
        <v>40.035791552802323</v>
      </c>
      <c r="I1018">
        <v>20.19560997409112</v>
      </c>
      <c r="J1018">
        <v>27.9928513957259</v>
      </c>
      <c r="K1018">
        <v>2138.8437619286542</v>
      </c>
      <c r="L1018">
        <v>1</v>
      </c>
      <c r="M1018" t="s">
        <v>66</v>
      </c>
    </row>
    <row r="1019" spans="1:13" x14ac:dyDescent="0.3">
      <c r="A1019" t="s">
        <v>18</v>
      </c>
      <c r="B1019" t="s">
        <v>40</v>
      </c>
      <c r="C1019">
        <v>118.4127548039196</v>
      </c>
      <c r="D1019">
        <v>5.4909013005318208</v>
      </c>
      <c r="E1019">
        <v>7.8440800860529372</v>
      </c>
      <c r="F1019">
        <v>19.302713648947421</v>
      </c>
      <c r="G1019">
        <v>6.3520539104991496</v>
      </c>
      <c r="H1019">
        <v>32.491827702076122</v>
      </c>
      <c r="I1019">
        <v>21.65931839358802</v>
      </c>
      <c r="J1019">
        <v>21.56841610987496</v>
      </c>
      <c r="K1019">
        <v>1620.292796691243</v>
      </c>
      <c r="L1019">
        <v>1</v>
      </c>
      <c r="M1019" t="s">
        <v>66</v>
      </c>
    </row>
    <row r="1020" spans="1:13" x14ac:dyDescent="0.3">
      <c r="A1020" t="s">
        <v>22</v>
      </c>
      <c r="B1020" t="s">
        <v>55</v>
      </c>
      <c r="C1020">
        <v>7.039385089271903</v>
      </c>
      <c r="D1020">
        <v>0</v>
      </c>
      <c r="E1020">
        <v>0</v>
      </c>
      <c r="F1020">
        <v>0.94498530238126222</v>
      </c>
      <c r="G1020">
        <v>6.2866748211173213</v>
      </c>
      <c r="H1020">
        <v>23.162269742438919</v>
      </c>
      <c r="I1020">
        <v>19.014226304964321</v>
      </c>
      <c r="J1020">
        <v>16.26218102508593</v>
      </c>
      <c r="K1020">
        <v>1736.7361490380649</v>
      </c>
      <c r="L1020">
        <v>1</v>
      </c>
      <c r="M1020" t="s">
        <v>66</v>
      </c>
    </row>
    <row r="1021" spans="1:13" x14ac:dyDescent="0.3">
      <c r="A1021" t="s">
        <v>19</v>
      </c>
      <c r="B1021" t="s">
        <v>44</v>
      </c>
      <c r="C1021">
        <v>28.67930572196936</v>
      </c>
      <c r="D1021">
        <v>0.90346053003431503</v>
      </c>
      <c r="E1021">
        <v>1.906805679258337</v>
      </c>
      <c r="F1021">
        <v>5.0175449647705062</v>
      </c>
      <c r="G1021">
        <v>5.9036162503098524</v>
      </c>
      <c r="H1021">
        <v>20.058987104473729</v>
      </c>
      <c r="I1021">
        <v>20.5412616729555</v>
      </c>
      <c r="J1021">
        <v>19.667345326263568</v>
      </c>
      <c r="K1021">
        <v>1959.7513111329019</v>
      </c>
      <c r="L1021">
        <v>1</v>
      </c>
      <c r="M1021" t="s">
        <v>66</v>
      </c>
    </row>
    <row r="1022" spans="1:13" x14ac:dyDescent="0.3">
      <c r="A1022" t="s">
        <v>25</v>
      </c>
      <c r="B1022" t="s">
        <v>62</v>
      </c>
      <c r="C1022">
        <v>90.976665949975654</v>
      </c>
      <c r="D1022">
        <v>4.0530883346946487</v>
      </c>
      <c r="E1022">
        <v>6.3291672295035681</v>
      </c>
      <c r="F1022">
        <v>11.8783229233916</v>
      </c>
      <c r="G1022">
        <v>6.8763734857260133</v>
      </c>
      <c r="H1022">
        <v>13.9</v>
      </c>
      <c r="I1022">
        <v>33.138722412396362</v>
      </c>
      <c r="J1022">
        <v>30.34392417454438</v>
      </c>
      <c r="K1022">
        <v>47.208629890066277</v>
      </c>
      <c r="L1022">
        <v>-1</v>
      </c>
      <c r="M1022" t="s">
        <v>66</v>
      </c>
    </row>
    <row r="1023" spans="1:13" x14ac:dyDescent="0.3">
      <c r="A1023" t="s">
        <v>21</v>
      </c>
      <c r="B1023" t="s">
        <v>52</v>
      </c>
      <c r="C1023">
        <v>31.34215887315256</v>
      </c>
      <c r="D1023">
        <v>1.0752687228713309</v>
      </c>
      <c r="E1023">
        <v>1.6218303594745309</v>
      </c>
      <c r="F1023">
        <v>5.4208268875216667</v>
      </c>
      <c r="G1023">
        <v>6.1352165542698307</v>
      </c>
      <c r="H1023">
        <v>26.927180420003172</v>
      </c>
      <c r="I1023">
        <v>26.211771565304641</v>
      </c>
      <c r="J1023">
        <v>21.79679986504074</v>
      </c>
      <c r="K1023">
        <v>1219.5180303659281</v>
      </c>
      <c r="L1023">
        <v>1</v>
      </c>
      <c r="M1023" t="s">
        <v>66</v>
      </c>
    </row>
    <row r="1024" spans="1:13" x14ac:dyDescent="0.3">
      <c r="A1024" t="s">
        <v>19</v>
      </c>
      <c r="B1024" t="s">
        <v>44</v>
      </c>
      <c r="C1024">
        <v>40.592234451972992</v>
      </c>
      <c r="D1024">
        <v>1.085035270909958</v>
      </c>
      <c r="E1024">
        <v>1.562492130680315</v>
      </c>
      <c r="F1024">
        <v>6.421782817827836</v>
      </c>
      <c r="G1024">
        <v>5.9552289423263316</v>
      </c>
      <c r="H1024">
        <v>26.473724174996249</v>
      </c>
      <c r="I1024">
        <v>20.225035748803151</v>
      </c>
      <c r="J1024">
        <v>19.597700351149459</v>
      </c>
      <c r="K1024">
        <v>1934.633614800912</v>
      </c>
      <c r="L1024">
        <v>1</v>
      </c>
      <c r="M1024" t="s">
        <v>66</v>
      </c>
    </row>
    <row r="1025" spans="1:13" x14ac:dyDescent="0.3">
      <c r="A1025" t="s">
        <v>15</v>
      </c>
      <c r="B1025" t="s">
        <v>34</v>
      </c>
      <c r="C1025">
        <v>201.98099332624639</v>
      </c>
      <c r="D1025">
        <v>8.8778670422840378</v>
      </c>
      <c r="E1025">
        <v>12.84595276394645</v>
      </c>
      <c r="F1025">
        <v>32.183951834011701</v>
      </c>
      <c r="G1025">
        <v>5.8763028447969976</v>
      </c>
      <c r="H1025">
        <v>36.34424909756946</v>
      </c>
      <c r="I1025">
        <v>24.990709929634509</v>
      </c>
      <c r="J1025">
        <v>18.75621652883779</v>
      </c>
      <c r="K1025">
        <v>2109.523428576264</v>
      </c>
      <c r="L1025">
        <v>1</v>
      </c>
      <c r="M1025" t="s">
        <v>66</v>
      </c>
    </row>
    <row r="1026" spans="1:13" x14ac:dyDescent="0.3">
      <c r="A1026" t="s">
        <v>15</v>
      </c>
      <c r="B1026" t="s">
        <v>34</v>
      </c>
      <c r="C1026">
        <v>112.59752189500691</v>
      </c>
      <c r="D1026">
        <v>5.4848989888774842</v>
      </c>
      <c r="E1026">
        <v>9.8893853168038284</v>
      </c>
      <c r="F1026">
        <v>19.496558037336388</v>
      </c>
      <c r="G1026">
        <v>6.1782051691171072</v>
      </c>
      <c r="H1026">
        <v>26.889071955204951</v>
      </c>
      <c r="I1026">
        <v>24.44201691856852</v>
      </c>
      <c r="J1026">
        <v>19.35279070366278</v>
      </c>
      <c r="K1026">
        <v>2100.2289671187491</v>
      </c>
      <c r="L1026">
        <v>1</v>
      </c>
      <c r="M1026" t="s">
        <v>66</v>
      </c>
    </row>
    <row r="1027" spans="1:13" x14ac:dyDescent="0.3">
      <c r="A1027" t="s">
        <v>20</v>
      </c>
      <c r="B1027" t="s">
        <v>51</v>
      </c>
      <c r="C1027">
        <v>87.761787951941784</v>
      </c>
      <c r="D1027">
        <v>4.8049239112548499</v>
      </c>
      <c r="E1027">
        <v>5.6331664895500371</v>
      </c>
      <c r="F1027">
        <v>11.253752452897359</v>
      </c>
      <c r="G1027">
        <v>6.1965312857250492</v>
      </c>
      <c r="H1027">
        <v>36.732459722355202</v>
      </c>
      <c r="I1027">
        <v>21.103541696446069</v>
      </c>
      <c r="J1027">
        <v>18.794471927970111</v>
      </c>
      <c r="K1027">
        <v>1573.5622786417191</v>
      </c>
      <c r="L1027">
        <v>1</v>
      </c>
      <c r="M1027" t="s">
        <v>66</v>
      </c>
    </row>
    <row r="1028" spans="1:13" x14ac:dyDescent="0.3">
      <c r="A1028" t="s">
        <v>24</v>
      </c>
      <c r="B1028" t="s">
        <v>58</v>
      </c>
      <c r="C1028">
        <v>28.195990073030771</v>
      </c>
      <c r="D1028">
        <v>1.033883827904863</v>
      </c>
      <c r="E1028">
        <v>2.4570481088779492</v>
      </c>
      <c r="F1028">
        <v>4.3120498431384284</v>
      </c>
      <c r="G1028">
        <v>6.2463107321808637</v>
      </c>
      <c r="H1028">
        <v>37.67180047437872</v>
      </c>
      <c r="I1028">
        <v>23.11552642851878</v>
      </c>
      <c r="J1028">
        <v>22.773867696900219</v>
      </c>
      <c r="K1028">
        <v>730.69447336823373</v>
      </c>
      <c r="L1028">
        <v>0</v>
      </c>
      <c r="M1028" t="s">
        <v>66</v>
      </c>
    </row>
    <row r="1029" spans="1:13" x14ac:dyDescent="0.3">
      <c r="A1029" t="s">
        <v>18</v>
      </c>
      <c r="B1029" t="s">
        <v>41</v>
      </c>
      <c r="C1029">
        <v>116.3860487817238</v>
      </c>
      <c r="D1029">
        <v>5.5503824007676368</v>
      </c>
      <c r="E1029">
        <v>6.0235690157273272</v>
      </c>
      <c r="F1029">
        <v>19.839056670643629</v>
      </c>
      <c r="G1029">
        <v>4.3</v>
      </c>
      <c r="H1029">
        <v>55.071518414740147</v>
      </c>
      <c r="I1029">
        <v>19.342463322661629</v>
      </c>
      <c r="J1029">
        <v>19.723152326549549</v>
      </c>
      <c r="K1029">
        <v>1718.610767320135</v>
      </c>
      <c r="L1029">
        <v>1</v>
      </c>
      <c r="M1029" t="s">
        <v>66</v>
      </c>
    </row>
    <row r="1030" spans="1:13" x14ac:dyDescent="0.3">
      <c r="A1030" t="s">
        <v>15</v>
      </c>
      <c r="B1030" t="s">
        <v>30</v>
      </c>
      <c r="C1030">
        <v>109.60561029850921</v>
      </c>
      <c r="D1030">
        <v>4.6153592885157204</v>
      </c>
      <c r="E1030">
        <v>7.9177650312825474</v>
      </c>
      <c r="F1030">
        <v>12.62129642549869</v>
      </c>
      <c r="G1030">
        <v>6.0955310025292633</v>
      </c>
      <c r="H1030">
        <v>27.570628452433908</v>
      </c>
      <c r="I1030">
        <v>21.519050914292709</v>
      </c>
      <c r="J1030">
        <v>27.911765416934319</v>
      </c>
      <c r="K1030">
        <v>1968.0378186182199</v>
      </c>
      <c r="L1030">
        <v>1</v>
      </c>
      <c r="M1030" t="s">
        <v>66</v>
      </c>
    </row>
    <row r="1031" spans="1:13" x14ac:dyDescent="0.3">
      <c r="A1031" t="s">
        <v>19</v>
      </c>
      <c r="B1031" t="s">
        <v>47</v>
      </c>
      <c r="C1031">
        <v>70.588762396954095</v>
      </c>
      <c r="D1031">
        <v>3.4774883280698359</v>
      </c>
      <c r="E1031">
        <v>5.2081181602502369</v>
      </c>
      <c r="F1031">
        <v>13.568650311467479</v>
      </c>
      <c r="G1031">
        <v>6.4443496885756364</v>
      </c>
      <c r="H1031">
        <v>16.493923558770359</v>
      </c>
      <c r="I1031">
        <v>25.063371200009961</v>
      </c>
      <c r="J1031">
        <v>23.727239302065339</v>
      </c>
      <c r="K1031">
        <v>671.39214723276302</v>
      </c>
      <c r="L1031">
        <v>1</v>
      </c>
      <c r="M1031" t="s">
        <v>66</v>
      </c>
    </row>
    <row r="1032" spans="1:13" x14ac:dyDescent="0.3">
      <c r="A1032" t="s">
        <v>24</v>
      </c>
      <c r="B1032" t="s">
        <v>58</v>
      </c>
      <c r="C1032">
        <v>30.015508868274299</v>
      </c>
      <c r="D1032">
        <v>0.90428872765970514</v>
      </c>
      <c r="E1032">
        <v>2.0838225231439309</v>
      </c>
      <c r="F1032">
        <v>4.1009844115750704</v>
      </c>
      <c r="G1032">
        <v>6.8759492693150737</v>
      </c>
      <c r="H1032">
        <v>33.269487234009901</v>
      </c>
      <c r="I1032">
        <v>25.733371549537988</v>
      </c>
      <c r="J1032">
        <v>23.10611337374991</v>
      </c>
      <c r="K1032">
        <v>753.85447640835332</v>
      </c>
      <c r="L1032">
        <v>0</v>
      </c>
      <c r="M1032" t="s">
        <v>66</v>
      </c>
    </row>
    <row r="1033" spans="1:13" x14ac:dyDescent="0.3">
      <c r="A1033" t="s">
        <v>18</v>
      </c>
      <c r="B1033" t="s">
        <v>43</v>
      </c>
      <c r="C1033">
        <v>63.558421895562553</v>
      </c>
      <c r="D1033">
        <v>2.047483954538122</v>
      </c>
      <c r="E1033">
        <v>2.7987319057000248</v>
      </c>
      <c r="F1033">
        <v>6.7018831416483557</v>
      </c>
      <c r="G1033">
        <v>6.0513232373972929</v>
      </c>
      <c r="H1033">
        <v>56.822281493255879</v>
      </c>
      <c r="I1033">
        <v>22.725330577773171</v>
      </c>
      <c r="J1033">
        <v>19.015076971225941</v>
      </c>
      <c r="K1033">
        <v>1917.917715363591</v>
      </c>
      <c r="L1033">
        <v>1</v>
      </c>
      <c r="M1033" t="s">
        <v>66</v>
      </c>
    </row>
    <row r="1034" spans="1:13" x14ac:dyDescent="0.3">
      <c r="A1034" t="s">
        <v>17</v>
      </c>
      <c r="B1034" t="s">
        <v>39</v>
      </c>
      <c r="C1034">
        <v>26.49095921483908</v>
      </c>
      <c r="D1034">
        <v>0.98332047494021113</v>
      </c>
      <c r="E1034">
        <v>0.96562921658291145</v>
      </c>
      <c r="F1034">
        <v>5.8387629157950727</v>
      </c>
      <c r="G1034">
        <v>5.7314466342259216</v>
      </c>
      <c r="H1034">
        <v>20.504725898554561</v>
      </c>
      <c r="I1034">
        <v>20.406021030012841</v>
      </c>
      <c r="J1034">
        <v>25.564339688339949</v>
      </c>
      <c r="K1034">
        <v>2159.1408477368659</v>
      </c>
      <c r="L1034">
        <v>1</v>
      </c>
      <c r="M1034" t="s">
        <v>66</v>
      </c>
    </row>
    <row r="1035" spans="1:13" x14ac:dyDescent="0.3">
      <c r="A1035" t="s">
        <v>17</v>
      </c>
      <c r="B1035" t="s">
        <v>39</v>
      </c>
      <c r="C1035">
        <v>19.136739118396701</v>
      </c>
      <c r="D1035">
        <v>0</v>
      </c>
      <c r="E1035">
        <v>0.95025831407273564</v>
      </c>
      <c r="F1035">
        <v>2.0278280984095018</v>
      </c>
      <c r="G1035">
        <v>5.4355617034750523</v>
      </c>
      <c r="H1035">
        <v>22.73150094843006</v>
      </c>
      <c r="I1035">
        <v>21.22921884277654</v>
      </c>
      <c r="J1035">
        <v>26.898577473129158</v>
      </c>
      <c r="K1035">
        <v>2189.5597107288472</v>
      </c>
      <c r="L1035">
        <v>1</v>
      </c>
      <c r="M1035" t="s">
        <v>66</v>
      </c>
    </row>
    <row r="1036" spans="1:13" x14ac:dyDescent="0.3">
      <c r="A1036" t="s">
        <v>22</v>
      </c>
      <c r="B1036" t="s">
        <v>53</v>
      </c>
      <c r="C1036">
        <v>53.029897777437348</v>
      </c>
      <c r="D1036">
        <v>2.118403856276438</v>
      </c>
      <c r="E1036">
        <v>3.1487316412557078</v>
      </c>
      <c r="F1036">
        <v>7.4380486630030234</v>
      </c>
      <c r="G1036">
        <v>5.8973784058286736</v>
      </c>
      <c r="H1036">
        <v>24.28779974175594</v>
      </c>
      <c r="I1036">
        <v>25.2202487966272</v>
      </c>
      <c r="J1036">
        <v>21.955441305089529</v>
      </c>
      <c r="K1036">
        <v>1467.578515413177</v>
      </c>
      <c r="L1036">
        <v>1</v>
      </c>
      <c r="M1036" t="s">
        <v>66</v>
      </c>
    </row>
    <row r="1037" spans="1:13" x14ac:dyDescent="0.3">
      <c r="A1037" t="s">
        <v>24</v>
      </c>
      <c r="B1037" t="s">
        <v>57</v>
      </c>
      <c r="C1037">
        <v>53.685489054974667</v>
      </c>
      <c r="D1037">
        <v>1.853261262099632</v>
      </c>
      <c r="E1037">
        <v>2.8540370430284958</v>
      </c>
      <c r="F1037">
        <v>7.7500754451159768</v>
      </c>
      <c r="G1037">
        <v>5.6102503709345122</v>
      </c>
      <c r="H1037">
        <v>49.192499877472819</v>
      </c>
      <c r="I1037">
        <v>23.21339947801777</v>
      </c>
      <c r="J1037">
        <v>23.148788933985621</v>
      </c>
      <c r="K1037">
        <v>753.861238486753</v>
      </c>
      <c r="L1037">
        <v>0</v>
      </c>
      <c r="M1037" t="s">
        <v>66</v>
      </c>
    </row>
    <row r="1038" spans="1:13" x14ac:dyDescent="0.3">
      <c r="A1038" t="s">
        <v>20</v>
      </c>
      <c r="B1038" t="s">
        <v>49</v>
      </c>
      <c r="C1038">
        <v>44.184885893074593</v>
      </c>
      <c r="D1038">
        <v>1.3288972524247411</v>
      </c>
      <c r="E1038">
        <v>3.2920392542157431</v>
      </c>
      <c r="F1038">
        <v>5.2040326047640733</v>
      </c>
      <c r="G1038">
        <v>5.590265435017006</v>
      </c>
      <c r="H1038">
        <v>19.112433703637041</v>
      </c>
      <c r="I1038">
        <v>32.597232924511808</v>
      </c>
      <c r="J1038">
        <v>27.610391776588681</v>
      </c>
      <c r="K1038">
        <v>1168.386542729568</v>
      </c>
      <c r="L1038">
        <v>0</v>
      </c>
      <c r="M1038" t="s">
        <v>66</v>
      </c>
    </row>
    <row r="1039" spans="1:13" x14ac:dyDescent="0.3">
      <c r="A1039" t="s">
        <v>19</v>
      </c>
      <c r="B1039" t="s">
        <v>44</v>
      </c>
      <c r="C1039">
        <v>29.64874245541553</v>
      </c>
      <c r="D1039">
        <v>1.044468088831521</v>
      </c>
      <c r="E1039">
        <v>1.8907192752124351</v>
      </c>
      <c r="F1039">
        <v>4.0043843910711132</v>
      </c>
      <c r="G1039">
        <v>5.311038318726431</v>
      </c>
      <c r="H1039">
        <v>32.590296760221293</v>
      </c>
      <c r="I1039">
        <v>16.75391792151386</v>
      </c>
      <c r="J1039">
        <v>21.526429304328602</v>
      </c>
      <c r="K1039">
        <v>1688.793318239394</v>
      </c>
      <c r="L1039">
        <v>1</v>
      </c>
      <c r="M1039" t="s">
        <v>66</v>
      </c>
    </row>
    <row r="1040" spans="1:13" x14ac:dyDescent="0.3">
      <c r="A1040" t="s">
        <v>15</v>
      </c>
      <c r="B1040" t="s">
        <v>31</v>
      </c>
      <c r="C1040">
        <v>113.1584067931619</v>
      </c>
      <c r="D1040">
        <v>4.9605913893272273</v>
      </c>
      <c r="E1040">
        <v>8.0473818952572014</v>
      </c>
      <c r="F1040">
        <v>18.016189197664541</v>
      </c>
      <c r="G1040">
        <v>5.5609013579311606</v>
      </c>
      <c r="H1040">
        <v>44.409381943834482</v>
      </c>
      <c r="I1040">
        <v>21.740698066244491</v>
      </c>
      <c r="J1040">
        <v>27.881467361992581</v>
      </c>
      <c r="K1040">
        <v>1780.307090333409</v>
      </c>
      <c r="L1040">
        <v>1</v>
      </c>
      <c r="M1040" t="s">
        <v>66</v>
      </c>
    </row>
    <row r="1041" spans="1:13" x14ac:dyDescent="0.3">
      <c r="A1041" t="s">
        <v>25</v>
      </c>
      <c r="B1041" t="s">
        <v>62</v>
      </c>
      <c r="C1041">
        <v>277.93846315408041</v>
      </c>
      <c r="D1041">
        <v>21.22829781473996</v>
      </c>
      <c r="E1041">
        <v>29.736467500940108</v>
      </c>
      <c r="F1041">
        <v>60.430243126170552</v>
      </c>
      <c r="G1041">
        <v>4.399747116697065</v>
      </c>
      <c r="H1041">
        <v>73.261001620937748</v>
      </c>
      <c r="I1041">
        <v>28.558009276139451</v>
      </c>
      <c r="J1041">
        <v>24.921728877949342</v>
      </c>
      <c r="K1041">
        <v>709.02360245713214</v>
      </c>
      <c r="L1041">
        <v>0</v>
      </c>
      <c r="M1041" t="s">
        <v>66</v>
      </c>
    </row>
    <row r="1042" spans="1:13" x14ac:dyDescent="0.3">
      <c r="A1042" t="s">
        <v>23</v>
      </c>
      <c r="B1042" t="s">
        <v>56</v>
      </c>
      <c r="C1042">
        <v>82.310390159277446</v>
      </c>
      <c r="D1042">
        <v>3.4215360578858109</v>
      </c>
      <c r="E1042">
        <v>4.8537277974044546</v>
      </c>
      <c r="F1042">
        <v>12.1809366897586</v>
      </c>
      <c r="G1042">
        <v>6.1888924530177194</v>
      </c>
      <c r="H1042">
        <v>22.740029393352518</v>
      </c>
      <c r="I1042">
        <v>20.117954942008438</v>
      </c>
      <c r="J1042">
        <v>18.375739713992971</v>
      </c>
      <c r="K1042">
        <v>1578.914891371264</v>
      </c>
      <c r="L1042">
        <v>1</v>
      </c>
      <c r="M1042" t="s">
        <v>66</v>
      </c>
    </row>
    <row r="1043" spans="1:13" x14ac:dyDescent="0.3">
      <c r="A1043" t="s">
        <v>15</v>
      </c>
      <c r="B1043" t="s">
        <v>33</v>
      </c>
      <c r="C1043">
        <v>97.51521026263346</v>
      </c>
      <c r="D1043">
        <v>4.6368741227896262</v>
      </c>
      <c r="E1043">
        <v>5.8062928673638616</v>
      </c>
      <c r="F1043">
        <v>15.9205641756713</v>
      </c>
      <c r="G1043">
        <v>6.9590443386696226</v>
      </c>
      <c r="H1043">
        <v>36.513560299272449</v>
      </c>
      <c r="I1043">
        <v>17.78914219644113</v>
      </c>
      <c r="J1043">
        <v>18.196252129024259</v>
      </c>
      <c r="K1043">
        <v>1865.7421207139071</v>
      </c>
      <c r="L1043">
        <v>1</v>
      </c>
      <c r="M1043" t="s">
        <v>66</v>
      </c>
    </row>
    <row r="1044" spans="1:13" x14ac:dyDescent="0.3">
      <c r="A1044" t="s">
        <v>15</v>
      </c>
      <c r="B1044" t="s">
        <v>32</v>
      </c>
      <c r="C1044">
        <v>6.7769466765017086</v>
      </c>
      <c r="D1044">
        <v>0</v>
      </c>
      <c r="E1044">
        <v>0</v>
      </c>
      <c r="F1044">
        <v>0.93683490805787173</v>
      </c>
      <c r="G1044">
        <v>6.6549486423128839</v>
      </c>
      <c r="H1044">
        <v>27.4623406459887</v>
      </c>
      <c r="I1044">
        <v>23.093516194128611</v>
      </c>
      <c r="J1044">
        <v>19.149656535114069</v>
      </c>
      <c r="K1044">
        <v>1641.464193131975</v>
      </c>
      <c r="L1044">
        <v>1</v>
      </c>
      <c r="M1044" t="s">
        <v>66</v>
      </c>
    </row>
    <row r="1045" spans="1:13" x14ac:dyDescent="0.3">
      <c r="A1045" t="s">
        <v>24</v>
      </c>
      <c r="B1045" t="s">
        <v>61</v>
      </c>
      <c r="C1045">
        <v>333.78304374675429</v>
      </c>
      <c r="D1045">
        <v>18.184011634526971</v>
      </c>
      <c r="E1045">
        <v>20.99636483108176</v>
      </c>
      <c r="F1045">
        <v>52.256414273376123</v>
      </c>
      <c r="G1045">
        <v>4.4626825004842914</v>
      </c>
      <c r="H1045">
        <v>56.256370241414601</v>
      </c>
      <c r="I1045">
        <v>28.327072702881441</v>
      </c>
      <c r="J1045">
        <v>32.34299311141605</v>
      </c>
      <c r="K1045">
        <v>14.134141348170941</v>
      </c>
      <c r="L1045">
        <v>-1</v>
      </c>
      <c r="M1045" t="s">
        <v>66</v>
      </c>
    </row>
    <row r="1046" spans="1:13" x14ac:dyDescent="0.3">
      <c r="A1046" t="s">
        <v>24</v>
      </c>
      <c r="B1046" t="s">
        <v>57</v>
      </c>
      <c r="C1046">
        <v>7.9575908208284858</v>
      </c>
      <c r="D1046">
        <v>0</v>
      </c>
      <c r="E1046">
        <v>0</v>
      </c>
      <c r="F1046">
        <v>1.105926750119437</v>
      </c>
      <c r="G1046">
        <v>6.1474145232393012</v>
      </c>
      <c r="H1046">
        <v>35.752177714133197</v>
      </c>
      <c r="I1046">
        <v>23.779474729085351</v>
      </c>
      <c r="J1046">
        <v>24.608913352098611</v>
      </c>
      <c r="K1046">
        <v>731.16534029406932</v>
      </c>
      <c r="L1046">
        <v>0</v>
      </c>
      <c r="M1046" t="s">
        <v>66</v>
      </c>
    </row>
    <row r="1047" spans="1:13" x14ac:dyDescent="0.3">
      <c r="A1047" t="s">
        <v>22</v>
      </c>
      <c r="B1047" t="s">
        <v>53</v>
      </c>
      <c r="C1047">
        <v>81.200383666111293</v>
      </c>
      <c r="D1047">
        <v>3.0296597061683919</v>
      </c>
      <c r="E1047">
        <v>5.9047727651789019</v>
      </c>
      <c r="F1047">
        <v>12.77643709287671</v>
      </c>
      <c r="G1047">
        <v>6.1882021014229824</v>
      </c>
      <c r="H1047">
        <v>30.504640067106941</v>
      </c>
      <c r="I1047">
        <v>26.278743163975491</v>
      </c>
      <c r="J1047">
        <v>22.438945827261289</v>
      </c>
      <c r="K1047">
        <v>1308.7994241255419</v>
      </c>
      <c r="L1047">
        <v>1</v>
      </c>
      <c r="M1047" t="s">
        <v>66</v>
      </c>
    </row>
    <row r="1048" spans="1:13" x14ac:dyDescent="0.3">
      <c r="A1048" t="s">
        <v>15</v>
      </c>
      <c r="B1048" t="s">
        <v>33</v>
      </c>
      <c r="C1048">
        <v>96.498338458672023</v>
      </c>
      <c r="D1048">
        <v>3.59703499961687</v>
      </c>
      <c r="E1048">
        <v>6.7994623492356059</v>
      </c>
      <c r="F1048">
        <v>13.74436487691791</v>
      </c>
      <c r="G1048">
        <v>6.1177874761969653</v>
      </c>
      <c r="H1048">
        <v>31.291272698438451</v>
      </c>
      <c r="I1048">
        <v>20.078962174435571</v>
      </c>
      <c r="J1048">
        <v>19.512335736057519</v>
      </c>
      <c r="K1048">
        <v>2131.506881054177</v>
      </c>
      <c r="L1048">
        <v>1</v>
      </c>
      <c r="M1048" t="s">
        <v>66</v>
      </c>
    </row>
    <row r="1049" spans="1:13" x14ac:dyDescent="0.3">
      <c r="A1049" t="s">
        <v>22</v>
      </c>
      <c r="B1049" t="s">
        <v>53</v>
      </c>
      <c r="C1049">
        <v>75.458414585963354</v>
      </c>
      <c r="D1049">
        <v>2.930028152306837</v>
      </c>
      <c r="E1049">
        <v>4.930931910212303</v>
      </c>
      <c r="F1049">
        <v>11.27410424557827</v>
      </c>
      <c r="G1049">
        <v>6.3685372088865124</v>
      </c>
      <c r="H1049">
        <v>33.549124812326824</v>
      </c>
      <c r="I1049">
        <v>25.768376643478259</v>
      </c>
      <c r="J1049">
        <v>21.855971407952921</v>
      </c>
      <c r="K1049">
        <v>1326.793861199661</v>
      </c>
      <c r="L1049">
        <v>1</v>
      </c>
      <c r="M1049" t="s">
        <v>66</v>
      </c>
    </row>
    <row r="1050" spans="1:13" x14ac:dyDescent="0.3">
      <c r="A1050" t="s">
        <v>19</v>
      </c>
      <c r="B1050" t="s">
        <v>45</v>
      </c>
      <c r="C1050">
        <v>42.896907929035443</v>
      </c>
      <c r="D1050">
        <v>1.872149957755477</v>
      </c>
      <c r="E1050">
        <v>2.6655517372330579</v>
      </c>
      <c r="F1050">
        <v>6.3789364142570184</v>
      </c>
      <c r="G1050">
        <v>6.3134159645774988</v>
      </c>
      <c r="H1050">
        <v>30.083341719454769</v>
      </c>
      <c r="I1050">
        <v>22.366625264847819</v>
      </c>
      <c r="J1050">
        <v>26.638163030001689</v>
      </c>
      <c r="K1050">
        <v>1412.8103413661941</v>
      </c>
      <c r="L1050">
        <v>1</v>
      </c>
      <c r="M1050" t="s">
        <v>66</v>
      </c>
    </row>
    <row r="1051" spans="1:13" x14ac:dyDescent="0.3">
      <c r="A1051" t="s">
        <v>19</v>
      </c>
      <c r="B1051" t="s">
        <v>44</v>
      </c>
      <c r="C1051">
        <v>40.866656720983322</v>
      </c>
      <c r="D1051">
        <v>0.98757323699017396</v>
      </c>
      <c r="E1051">
        <v>2.0320311894313332</v>
      </c>
      <c r="F1051">
        <v>4.8380829736440214</v>
      </c>
      <c r="G1051">
        <v>5.36954200495284</v>
      </c>
      <c r="H1051">
        <v>37.475427495059577</v>
      </c>
      <c r="I1051">
        <v>26.338708888772722</v>
      </c>
      <c r="J1051">
        <v>19.82188364705657</v>
      </c>
      <c r="K1051">
        <v>1916.5873069024899</v>
      </c>
      <c r="L1051">
        <v>1</v>
      </c>
      <c r="M1051" t="s">
        <v>66</v>
      </c>
    </row>
    <row r="1052" spans="1:13" x14ac:dyDescent="0.3">
      <c r="A1052" t="s">
        <v>18</v>
      </c>
      <c r="B1052" t="s">
        <v>43</v>
      </c>
      <c r="C1052">
        <v>24.637243327649841</v>
      </c>
      <c r="D1052">
        <v>0.97226213790624261</v>
      </c>
      <c r="E1052">
        <v>1.160817042548786</v>
      </c>
      <c r="F1052">
        <v>4.0927687973747453</v>
      </c>
      <c r="G1052">
        <v>6.2811110354163544</v>
      </c>
      <c r="H1052">
        <v>26.020794116915631</v>
      </c>
      <c r="I1052">
        <v>26.033261799847661</v>
      </c>
      <c r="J1052">
        <v>19.406876607221939</v>
      </c>
      <c r="K1052">
        <v>1830.9427455964051</v>
      </c>
      <c r="L1052">
        <v>1</v>
      </c>
      <c r="M1052" t="s">
        <v>66</v>
      </c>
    </row>
    <row r="1053" spans="1:13" x14ac:dyDescent="0.3">
      <c r="A1053" t="s">
        <v>20</v>
      </c>
      <c r="B1053" t="s">
        <v>49</v>
      </c>
      <c r="C1053">
        <v>93.608100767226958</v>
      </c>
      <c r="D1053">
        <v>3.2333623153828102</v>
      </c>
      <c r="E1053">
        <v>5.2630049246681274</v>
      </c>
      <c r="F1053">
        <v>11.82295393434806</v>
      </c>
      <c r="G1053">
        <v>5.3619170875544162</v>
      </c>
      <c r="H1053">
        <v>27.714602915803209</v>
      </c>
      <c r="I1053">
        <v>21.52424681006595</v>
      </c>
      <c r="J1053">
        <v>20.06737384326194</v>
      </c>
      <c r="K1053">
        <v>1756.203531270244</v>
      </c>
      <c r="L1053">
        <v>1</v>
      </c>
      <c r="M1053" t="s">
        <v>66</v>
      </c>
    </row>
    <row r="1054" spans="1:13" x14ac:dyDescent="0.3">
      <c r="A1054" t="s">
        <v>19</v>
      </c>
      <c r="B1054" t="s">
        <v>44</v>
      </c>
      <c r="C1054">
        <v>55.854723676748947</v>
      </c>
      <c r="D1054">
        <v>1.497518031886734</v>
      </c>
      <c r="E1054">
        <v>2.726087441187977</v>
      </c>
      <c r="F1054">
        <v>8.1224701938387334</v>
      </c>
      <c r="G1054">
        <v>6.2868414093285594</v>
      </c>
      <c r="H1054">
        <v>23.61519403381039</v>
      </c>
      <c r="I1054">
        <v>17.909561088362199</v>
      </c>
      <c r="J1054">
        <v>30.215672204957212</v>
      </c>
      <c r="K1054">
        <v>2231.4171576883841</v>
      </c>
      <c r="L1054">
        <v>1</v>
      </c>
      <c r="M1054" t="s">
        <v>66</v>
      </c>
    </row>
    <row r="1055" spans="1:13" x14ac:dyDescent="0.3">
      <c r="A1055" t="s">
        <v>15</v>
      </c>
      <c r="B1055" t="s">
        <v>34</v>
      </c>
      <c r="C1055">
        <v>102.2401128537244</v>
      </c>
      <c r="D1055">
        <v>4.086831567359039</v>
      </c>
      <c r="E1055">
        <v>6.9846834696883544</v>
      </c>
      <c r="F1055">
        <v>17.933771176219789</v>
      </c>
      <c r="G1055">
        <v>5.9158493079341499</v>
      </c>
      <c r="H1055">
        <v>45.436494394936098</v>
      </c>
      <c r="I1055">
        <v>25.126789447871271</v>
      </c>
      <c r="J1055">
        <v>19.159196109886039</v>
      </c>
      <c r="K1055">
        <v>2048.315008457751</v>
      </c>
      <c r="L1055">
        <v>1</v>
      </c>
      <c r="M1055" t="s">
        <v>66</v>
      </c>
    </row>
    <row r="1056" spans="1:13" x14ac:dyDescent="0.3">
      <c r="A1056" t="s">
        <v>15</v>
      </c>
      <c r="B1056" t="s">
        <v>33</v>
      </c>
      <c r="C1056">
        <v>63.949589733806683</v>
      </c>
      <c r="D1056">
        <v>2.7350209288374159</v>
      </c>
      <c r="E1056">
        <v>3.9738879126037259</v>
      </c>
      <c r="F1056">
        <v>12.56226394299085</v>
      </c>
      <c r="G1056">
        <v>5.9184356063876233</v>
      </c>
      <c r="H1056">
        <v>35.376734808789273</v>
      </c>
      <c r="I1056">
        <v>21.36683702298566</v>
      </c>
      <c r="J1056">
        <v>18.76995337301851</v>
      </c>
      <c r="K1056">
        <v>1833.2465064714461</v>
      </c>
      <c r="L1056">
        <v>1</v>
      </c>
      <c r="M1056" t="s">
        <v>66</v>
      </c>
    </row>
    <row r="1057" spans="1:13" x14ac:dyDescent="0.3">
      <c r="A1057" t="s">
        <v>24</v>
      </c>
      <c r="B1057" t="s">
        <v>58</v>
      </c>
      <c r="C1057">
        <v>13.224894448239681</v>
      </c>
      <c r="D1057">
        <v>0</v>
      </c>
      <c r="E1057">
        <v>0</v>
      </c>
      <c r="F1057">
        <v>1.920822760548399</v>
      </c>
      <c r="G1057">
        <v>6.5906233484480667</v>
      </c>
      <c r="H1057">
        <v>42.220354192897403</v>
      </c>
      <c r="I1057">
        <v>25.10781507460176</v>
      </c>
      <c r="J1057">
        <v>23.673448692198299</v>
      </c>
      <c r="K1057">
        <v>752.37786374655082</v>
      </c>
      <c r="L1057">
        <v>0</v>
      </c>
      <c r="M1057" t="s">
        <v>66</v>
      </c>
    </row>
    <row r="1058" spans="1:13" x14ac:dyDescent="0.3">
      <c r="A1058" t="s">
        <v>24</v>
      </c>
      <c r="B1058" t="s">
        <v>61</v>
      </c>
      <c r="C1058">
        <v>75.320019512215396</v>
      </c>
      <c r="D1058">
        <v>4.2231096105908366</v>
      </c>
      <c r="E1058">
        <v>4.9120119985214936</v>
      </c>
      <c r="F1058">
        <v>12.34575651421062</v>
      </c>
      <c r="G1058">
        <v>6.1178496015812884</v>
      </c>
      <c r="H1058">
        <v>14.79957642210249</v>
      </c>
      <c r="I1058">
        <v>34.133589733817843</v>
      </c>
      <c r="J1058">
        <v>31.353694913607189</v>
      </c>
      <c r="K1058">
        <v>46.38891360222442</v>
      </c>
      <c r="L1058">
        <v>-1</v>
      </c>
      <c r="M1058" t="s">
        <v>66</v>
      </c>
    </row>
    <row r="1059" spans="1:13" x14ac:dyDescent="0.3">
      <c r="A1059" t="s">
        <v>17</v>
      </c>
      <c r="B1059" t="s">
        <v>39</v>
      </c>
      <c r="C1059">
        <v>24.2148280744433</v>
      </c>
      <c r="D1059">
        <v>1.0535857495112999</v>
      </c>
      <c r="E1059">
        <v>1.137869183173819</v>
      </c>
      <c r="F1059">
        <v>4.1188323984417128</v>
      </c>
      <c r="G1059">
        <v>5.7123334129894774</v>
      </c>
      <c r="H1059">
        <v>18.570001636242399</v>
      </c>
      <c r="I1059">
        <v>21.0187740951562</v>
      </c>
      <c r="J1059">
        <v>26.93032715705462</v>
      </c>
      <c r="K1059">
        <v>2194.635953629122</v>
      </c>
      <c r="L1059">
        <v>1</v>
      </c>
      <c r="M1059" t="s">
        <v>66</v>
      </c>
    </row>
    <row r="1060" spans="1:13" x14ac:dyDescent="0.3">
      <c r="A1060" t="s">
        <v>19</v>
      </c>
      <c r="B1060" t="s">
        <v>48</v>
      </c>
      <c r="C1060">
        <v>44.442625867910508</v>
      </c>
      <c r="D1060">
        <v>1.6748866878659581</v>
      </c>
      <c r="E1060">
        <v>3.2865462998957429</v>
      </c>
      <c r="F1060">
        <v>6.3697498954304406</v>
      </c>
      <c r="G1060">
        <v>6.1186277467592411</v>
      </c>
      <c r="H1060">
        <v>20.533458652488019</v>
      </c>
      <c r="I1060">
        <v>32.195533476777968</v>
      </c>
      <c r="J1060">
        <v>26.628575614651439</v>
      </c>
      <c r="K1060">
        <v>1146.756813875659</v>
      </c>
      <c r="L1060">
        <v>0</v>
      </c>
      <c r="M1060" t="s">
        <v>66</v>
      </c>
    </row>
    <row r="1061" spans="1:13" x14ac:dyDescent="0.3">
      <c r="A1061" t="s">
        <v>19</v>
      </c>
      <c r="B1061" t="s">
        <v>48</v>
      </c>
      <c r="C1061">
        <v>26.755954527437879</v>
      </c>
      <c r="D1061">
        <v>0.81017061755185615</v>
      </c>
      <c r="E1061">
        <v>2.1919513289818191</v>
      </c>
      <c r="F1061">
        <v>5.9067031456270236</v>
      </c>
      <c r="G1061">
        <v>6.1752684519310739</v>
      </c>
      <c r="H1061">
        <v>21.400910130207091</v>
      </c>
      <c r="I1061">
        <v>31.131737061908922</v>
      </c>
      <c r="J1061">
        <v>25.441110889107851</v>
      </c>
      <c r="K1061">
        <v>1159.0085089162351</v>
      </c>
      <c r="L1061">
        <v>0</v>
      </c>
      <c r="M1061" t="s">
        <v>66</v>
      </c>
    </row>
    <row r="1062" spans="1:13" x14ac:dyDescent="0.3">
      <c r="A1062" t="s">
        <v>18</v>
      </c>
      <c r="B1062" t="s">
        <v>42</v>
      </c>
      <c r="C1062">
        <v>68.231456132682098</v>
      </c>
      <c r="D1062">
        <v>3.0149010633857052</v>
      </c>
      <c r="E1062">
        <v>3.9385346691530709</v>
      </c>
      <c r="F1062">
        <v>7.7023149921456033</v>
      </c>
      <c r="G1062">
        <v>5.6729939384988031</v>
      </c>
      <c r="H1062">
        <v>48.177510890800427</v>
      </c>
      <c r="I1062">
        <v>19.445866889930421</v>
      </c>
      <c r="J1062">
        <v>20.022506209741209</v>
      </c>
      <c r="K1062">
        <v>1732.608066922515</v>
      </c>
      <c r="L1062">
        <v>1</v>
      </c>
      <c r="M1062" t="s">
        <v>66</v>
      </c>
    </row>
    <row r="1063" spans="1:13" x14ac:dyDescent="0.3">
      <c r="A1063" t="s">
        <v>19</v>
      </c>
      <c r="B1063" t="s">
        <v>44</v>
      </c>
      <c r="C1063">
        <v>21.703171419815799</v>
      </c>
      <c r="D1063">
        <v>0.98838289214208563</v>
      </c>
      <c r="E1063">
        <v>1.1028095667535589</v>
      </c>
      <c r="F1063">
        <v>2.4853018989515578</v>
      </c>
      <c r="G1063">
        <v>6.0131494821553142</v>
      </c>
      <c r="H1063">
        <v>19.2266126175526</v>
      </c>
      <c r="I1063">
        <v>21.434738318413721</v>
      </c>
      <c r="J1063">
        <v>19.777794076654398</v>
      </c>
      <c r="K1063">
        <v>1986.754655034865</v>
      </c>
      <c r="L1063">
        <v>1</v>
      </c>
      <c r="M1063" t="s">
        <v>66</v>
      </c>
    </row>
    <row r="1064" spans="1:13" x14ac:dyDescent="0.3">
      <c r="A1064" t="s">
        <v>18</v>
      </c>
      <c r="B1064" t="s">
        <v>43</v>
      </c>
      <c r="C1064">
        <v>32.406960392388036</v>
      </c>
      <c r="D1064">
        <v>0.93301715925022632</v>
      </c>
      <c r="E1064">
        <v>1.8564273037050041</v>
      </c>
      <c r="F1064">
        <v>3.2038913401424818</v>
      </c>
      <c r="G1064">
        <v>6.1578729858889627</v>
      </c>
      <c r="H1064">
        <v>24.290084449512829</v>
      </c>
      <c r="I1064">
        <v>22.911838056123081</v>
      </c>
      <c r="J1064">
        <v>19.26183937288706</v>
      </c>
      <c r="K1064">
        <v>1866.8904089185901</v>
      </c>
      <c r="L1064">
        <v>1</v>
      </c>
      <c r="M1064" t="s">
        <v>66</v>
      </c>
    </row>
    <row r="1065" spans="1:13" x14ac:dyDescent="0.3">
      <c r="A1065" t="s">
        <v>19</v>
      </c>
      <c r="B1065" t="s">
        <v>44</v>
      </c>
      <c r="C1065">
        <v>20.128810958895439</v>
      </c>
      <c r="D1065">
        <v>0.93957290681420558</v>
      </c>
      <c r="E1065">
        <v>0.94330927145127319</v>
      </c>
      <c r="F1065">
        <v>2.444916754310368</v>
      </c>
      <c r="G1065">
        <v>6.165893904469792</v>
      </c>
      <c r="H1065">
        <v>16.551797017772561</v>
      </c>
      <c r="I1065">
        <v>25.935673058088419</v>
      </c>
      <c r="J1065">
        <v>24.56214203933612</v>
      </c>
      <c r="K1065">
        <v>1301.7852852702219</v>
      </c>
      <c r="L1065">
        <v>0</v>
      </c>
      <c r="M1065" t="s">
        <v>66</v>
      </c>
    </row>
    <row r="1066" spans="1:13" x14ac:dyDescent="0.3">
      <c r="A1066" t="s">
        <v>21</v>
      </c>
      <c r="B1066" t="s">
        <v>52</v>
      </c>
      <c r="C1066">
        <v>132.2576063294479</v>
      </c>
      <c r="D1066">
        <v>6.0023869897251174</v>
      </c>
      <c r="E1066">
        <v>9.8034176588296056</v>
      </c>
      <c r="F1066">
        <v>21.29459798690954</v>
      </c>
      <c r="G1066">
        <v>5.4557093654651796</v>
      </c>
      <c r="H1066">
        <v>57.723461608010169</v>
      </c>
      <c r="I1066">
        <v>28.87155550309037</v>
      </c>
      <c r="J1066">
        <v>24.105086126706599</v>
      </c>
      <c r="K1066">
        <v>737.77345941972544</v>
      </c>
      <c r="L1066">
        <v>0</v>
      </c>
      <c r="M1066" t="s">
        <v>66</v>
      </c>
    </row>
    <row r="1067" spans="1:13" x14ac:dyDescent="0.3">
      <c r="A1067" t="s">
        <v>21</v>
      </c>
      <c r="B1067" t="s">
        <v>52</v>
      </c>
      <c r="C1067">
        <v>51.695522305424227</v>
      </c>
      <c r="D1067">
        <v>2.1659627781127928</v>
      </c>
      <c r="E1067">
        <v>3.3937840703345659</v>
      </c>
      <c r="F1067">
        <v>7.332631935033719</v>
      </c>
      <c r="G1067">
        <v>6.6664532748727119</v>
      </c>
      <c r="H1067">
        <v>35.909271776486563</v>
      </c>
      <c r="I1067">
        <v>23.016182052309709</v>
      </c>
      <c r="J1067">
        <v>20.183895497469859</v>
      </c>
      <c r="K1067">
        <v>1219.833489097028</v>
      </c>
      <c r="L1067">
        <v>1</v>
      </c>
      <c r="M1067" t="s">
        <v>66</v>
      </c>
    </row>
    <row r="1068" spans="1:13" x14ac:dyDescent="0.3">
      <c r="A1068" t="s">
        <v>24</v>
      </c>
      <c r="B1068" t="s">
        <v>57</v>
      </c>
      <c r="C1068">
        <v>62.60173324643155</v>
      </c>
      <c r="D1068">
        <v>2.9015967884465979</v>
      </c>
      <c r="E1068">
        <v>4.539233216986319</v>
      </c>
      <c r="F1068">
        <v>11.245784209232349</v>
      </c>
      <c r="G1068">
        <v>6.321641681239317</v>
      </c>
      <c r="H1068">
        <v>18.171284957790039</v>
      </c>
      <c r="I1068">
        <v>22.46807297989093</v>
      </c>
      <c r="J1068">
        <v>22.242122547673311</v>
      </c>
      <c r="K1068">
        <v>1560.4260831535159</v>
      </c>
      <c r="L1068">
        <v>1</v>
      </c>
      <c r="M1068" t="s">
        <v>66</v>
      </c>
    </row>
    <row r="1069" spans="1:13" x14ac:dyDescent="0.3">
      <c r="A1069" t="s">
        <v>19</v>
      </c>
      <c r="B1069" t="s">
        <v>44</v>
      </c>
      <c r="C1069">
        <v>36.671151804122331</v>
      </c>
      <c r="D1069">
        <v>1.1659067004221291</v>
      </c>
      <c r="E1069">
        <v>2.0659209428586869</v>
      </c>
      <c r="F1069">
        <v>5.8552514280340606</v>
      </c>
      <c r="G1069">
        <v>5.4091622181077668</v>
      </c>
      <c r="H1069">
        <v>30.21210178615349</v>
      </c>
      <c r="I1069">
        <v>17.437221001069918</v>
      </c>
      <c r="J1069">
        <v>20.966514005370051</v>
      </c>
      <c r="K1069">
        <v>1762.7457508912539</v>
      </c>
      <c r="L1069">
        <v>1</v>
      </c>
      <c r="M1069" t="s">
        <v>66</v>
      </c>
    </row>
    <row r="1070" spans="1:13" x14ac:dyDescent="0.3">
      <c r="A1070" t="s">
        <v>17</v>
      </c>
      <c r="B1070" t="s">
        <v>39</v>
      </c>
      <c r="C1070">
        <v>812.99354614990307</v>
      </c>
      <c r="D1070">
        <v>45.543705417936309</v>
      </c>
      <c r="E1070">
        <v>61.243997961791322</v>
      </c>
      <c r="F1070">
        <v>146.3404784416781</v>
      </c>
      <c r="G1070">
        <v>5.2482119905894908</v>
      </c>
      <c r="H1070">
        <v>43.437340637117003</v>
      </c>
      <c r="I1070">
        <v>18.908757122838789</v>
      </c>
      <c r="J1070">
        <v>22.44802546616889</v>
      </c>
      <c r="K1070">
        <v>1493.411955626641</v>
      </c>
      <c r="L1070">
        <v>1</v>
      </c>
      <c r="M1070" t="s">
        <v>66</v>
      </c>
    </row>
    <row r="1071" spans="1:13" x14ac:dyDescent="0.3">
      <c r="A1071" t="s">
        <v>15</v>
      </c>
      <c r="B1071" t="s">
        <v>30</v>
      </c>
      <c r="C1071">
        <v>100.16809538716031</v>
      </c>
      <c r="D1071">
        <v>5.4903333632371378</v>
      </c>
      <c r="E1071">
        <v>7.3998615094947624</v>
      </c>
      <c r="F1071">
        <v>16.38246230472069</v>
      </c>
      <c r="G1071">
        <v>6.335660982299185</v>
      </c>
      <c r="H1071">
        <v>26.084787957020929</v>
      </c>
      <c r="I1071">
        <v>19.84995836572595</v>
      </c>
      <c r="J1071">
        <v>27.966793291666139</v>
      </c>
      <c r="K1071">
        <v>2010.5526952468749</v>
      </c>
      <c r="L1071">
        <v>1</v>
      </c>
      <c r="M1071" t="s">
        <v>66</v>
      </c>
    </row>
    <row r="1072" spans="1:13" x14ac:dyDescent="0.3">
      <c r="A1072" t="s">
        <v>17</v>
      </c>
      <c r="B1072" t="s">
        <v>39</v>
      </c>
      <c r="C1072">
        <v>19.07747127037597</v>
      </c>
      <c r="D1072">
        <v>0</v>
      </c>
      <c r="E1072">
        <v>0.98429170271748756</v>
      </c>
      <c r="F1072">
        <v>2.6133605586095641</v>
      </c>
      <c r="G1072">
        <v>5.5020315289973256</v>
      </c>
      <c r="H1072">
        <v>26.358991958407529</v>
      </c>
      <c r="I1072">
        <v>20.02054967064797</v>
      </c>
      <c r="J1072">
        <v>21.524026593149522</v>
      </c>
      <c r="K1072">
        <v>2102.2936627380782</v>
      </c>
      <c r="L1072">
        <v>1</v>
      </c>
      <c r="M1072" t="s">
        <v>66</v>
      </c>
    </row>
    <row r="1073" spans="1:13" x14ac:dyDescent="0.3">
      <c r="A1073" t="s">
        <v>18</v>
      </c>
      <c r="B1073" t="s">
        <v>43</v>
      </c>
      <c r="C1073">
        <v>53.975143979077068</v>
      </c>
      <c r="D1073">
        <v>1.773776680755218</v>
      </c>
      <c r="E1073">
        <v>3.4345097549376158</v>
      </c>
      <c r="F1073">
        <v>6.9824108525219826</v>
      </c>
      <c r="G1073">
        <v>5.8168142569753423</v>
      </c>
      <c r="H1073">
        <v>56.271728807959548</v>
      </c>
      <c r="I1073">
        <v>21.42818459272172</v>
      </c>
      <c r="J1073">
        <v>18.906772008821711</v>
      </c>
      <c r="K1073">
        <v>1873.7940224009531</v>
      </c>
      <c r="L1073">
        <v>1</v>
      </c>
      <c r="M1073" t="s">
        <v>66</v>
      </c>
    </row>
    <row r="1074" spans="1:13" x14ac:dyDescent="0.3">
      <c r="A1074" t="s">
        <v>24</v>
      </c>
      <c r="B1074" t="s">
        <v>61</v>
      </c>
      <c r="C1074">
        <v>163.49708690663419</v>
      </c>
      <c r="D1074">
        <v>9.9994813420627686</v>
      </c>
      <c r="E1074">
        <v>10.1980043399296</v>
      </c>
      <c r="F1074">
        <v>30.501729508483411</v>
      </c>
      <c r="G1074">
        <v>5.9297307213460488</v>
      </c>
      <c r="H1074">
        <v>27.48831262499862</v>
      </c>
      <c r="I1074">
        <v>30.169583579972571</v>
      </c>
      <c r="J1074">
        <v>31.543504606692451</v>
      </c>
      <c r="K1074">
        <v>14.36517671007914</v>
      </c>
      <c r="L1074">
        <v>-1</v>
      </c>
      <c r="M1074" t="s">
        <v>66</v>
      </c>
    </row>
    <row r="1075" spans="1:13" x14ac:dyDescent="0.3">
      <c r="A1075" t="s">
        <v>18</v>
      </c>
      <c r="B1075" t="s">
        <v>41</v>
      </c>
      <c r="C1075">
        <v>11.15756451500808</v>
      </c>
      <c r="D1075">
        <v>0</v>
      </c>
      <c r="E1075">
        <v>0</v>
      </c>
      <c r="F1075">
        <v>0.96904551776355241</v>
      </c>
      <c r="G1075">
        <v>6.0323694176467004</v>
      </c>
      <c r="H1075">
        <v>18.947976895790632</v>
      </c>
      <c r="I1075">
        <v>19.41909453004283</v>
      </c>
      <c r="J1075">
        <v>18.545981194465291</v>
      </c>
      <c r="K1075">
        <v>1911.534099000042</v>
      </c>
      <c r="L1075">
        <v>1</v>
      </c>
      <c r="M1075" t="s">
        <v>66</v>
      </c>
    </row>
    <row r="1076" spans="1:13" x14ac:dyDescent="0.3">
      <c r="A1076" t="s">
        <v>18</v>
      </c>
      <c r="B1076" t="s">
        <v>43</v>
      </c>
      <c r="C1076">
        <v>56.998556492679533</v>
      </c>
      <c r="D1076">
        <v>1.9258382706124411</v>
      </c>
      <c r="E1076">
        <v>3.3033386028799958</v>
      </c>
      <c r="F1076">
        <v>8.4868500318744147</v>
      </c>
      <c r="G1076">
        <v>5.8127150374944572</v>
      </c>
      <c r="H1076">
        <v>61.708790559612439</v>
      </c>
      <c r="I1076">
        <v>21.93157885712905</v>
      </c>
      <c r="J1076">
        <v>19.031060142093761</v>
      </c>
      <c r="K1076">
        <v>1940.3011441284291</v>
      </c>
      <c r="L1076">
        <v>1</v>
      </c>
      <c r="M1076" t="s">
        <v>66</v>
      </c>
    </row>
    <row r="1077" spans="1:13" x14ac:dyDescent="0.3">
      <c r="A1077" t="s">
        <v>19</v>
      </c>
      <c r="B1077" t="s">
        <v>48</v>
      </c>
      <c r="C1077">
        <v>103.267512559019</v>
      </c>
      <c r="D1077">
        <v>4.1351739900898794</v>
      </c>
      <c r="E1077">
        <v>6.1459730008447826</v>
      </c>
      <c r="F1077">
        <v>16.217369721160569</v>
      </c>
      <c r="G1077">
        <v>5.8600776246957826</v>
      </c>
      <c r="H1077">
        <v>34.173535088320882</v>
      </c>
      <c r="I1077">
        <v>24.610179753728332</v>
      </c>
      <c r="J1077">
        <v>25.39202135496226</v>
      </c>
      <c r="K1077">
        <v>685.79541750889337</v>
      </c>
      <c r="L1077">
        <v>1</v>
      </c>
      <c r="M1077" t="s">
        <v>66</v>
      </c>
    </row>
    <row r="1078" spans="1:13" x14ac:dyDescent="0.3">
      <c r="A1078" t="s">
        <v>19</v>
      </c>
      <c r="B1078" t="s">
        <v>44</v>
      </c>
      <c r="C1078">
        <v>11.588718599113831</v>
      </c>
      <c r="D1078">
        <v>0</v>
      </c>
      <c r="E1078">
        <v>0</v>
      </c>
      <c r="F1078">
        <v>1.1131654642852931</v>
      </c>
      <c r="G1078">
        <v>6.6788808830482136</v>
      </c>
      <c r="H1078">
        <v>25.349535083243179</v>
      </c>
      <c r="I1078">
        <v>18.09058984617495</v>
      </c>
      <c r="J1078">
        <v>29.163620628983239</v>
      </c>
      <c r="K1078">
        <v>2257</v>
      </c>
      <c r="L1078">
        <v>1</v>
      </c>
      <c r="M1078" t="s">
        <v>66</v>
      </c>
    </row>
    <row r="1079" spans="1:13" x14ac:dyDescent="0.3">
      <c r="A1079" t="s">
        <v>15</v>
      </c>
      <c r="B1079" t="s">
        <v>33</v>
      </c>
      <c r="C1079">
        <v>83.307496969164063</v>
      </c>
      <c r="D1079">
        <v>3.079617692349494</v>
      </c>
      <c r="E1079">
        <v>5.34276788140492</v>
      </c>
      <c r="F1079">
        <v>12.554474499248609</v>
      </c>
      <c r="G1079">
        <v>5.2086710518142967</v>
      </c>
      <c r="H1079">
        <v>33.240790246273392</v>
      </c>
      <c r="I1079">
        <v>17.868564062321429</v>
      </c>
      <c r="J1079">
        <v>17.693451364833319</v>
      </c>
      <c r="K1079">
        <v>1843.358373849911</v>
      </c>
      <c r="L1079">
        <v>1</v>
      </c>
      <c r="M1079" t="s">
        <v>66</v>
      </c>
    </row>
    <row r="1080" spans="1:13" x14ac:dyDescent="0.3">
      <c r="A1080" t="s">
        <v>20</v>
      </c>
      <c r="B1080" t="s">
        <v>50</v>
      </c>
      <c r="C1080">
        <v>44.496589723945497</v>
      </c>
      <c r="D1080">
        <v>1.5961093374565689</v>
      </c>
      <c r="E1080">
        <v>3.2684580662793699</v>
      </c>
      <c r="F1080">
        <v>8.2667338283381895</v>
      </c>
      <c r="G1080">
        <v>6.0560243266613663</v>
      </c>
      <c r="H1080">
        <v>36.119426750851233</v>
      </c>
      <c r="I1080">
        <v>24.670473218833699</v>
      </c>
      <c r="J1080">
        <v>21.08953787547415</v>
      </c>
      <c r="K1080">
        <v>1625.4366879783479</v>
      </c>
      <c r="L1080">
        <v>1</v>
      </c>
      <c r="M1080" t="s">
        <v>66</v>
      </c>
    </row>
    <row r="1081" spans="1:13" x14ac:dyDescent="0.3">
      <c r="A1081" t="s">
        <v>15</v>
      </c>
      <c r="B1081" t="s">
        <v>33</v>
      </c>
      <c r="C1081">
        <v>88.742512053680798</v>
      </c>
      <c r="D1081">
        <v>3.589799420331965</v>
      </c>
      <c r="E1081">
        <v>3.8080019713539932</v>
      </c>
      <c r="F1081">
        <v>8.8139756694332654</v>
      </c>
      <c r="G1081">
        <v>6.0494832072051192</v>
      </c>
      <c r="H1081">
        <v>31.784213938630661</v>
      </c>
      <c r="I1081">
        <v>16.758741136243291</v>
      </c>
      <c r="J1081">
        <v>19.65299788717034</v>
      </c>
      <c r="K1081">
        <v>2162.185261294921</v>
      </c>
      <c r="L1081">
        <v>1</v>
      </c>
      <c r="M1081" t="s">
        <v>66</v>
      </c>
    </row>
    <row r="1082" spans="1:13" x14ac:dyDescent="0.3">
      <c r="A1082" t="s">
        <v>18</v>
      </c>
      <c r="B1082" t="s">
        <v>41</v>
      </c>
      <c r="C1082">
        <v>11.641667479727531</v>
      </c>
      <c r="D1082">
        <v>0</v>
      </c>
      <c r="E1082">
        <v>0</v>
      </c>
      <c r="F1082">
        <v>0.8374832313709355</v>
      </c>
      <c r="G1082">
        <v>5.8502040421969133</v>
      </c>
      <c r="H1082">
        <v>18.897046786922719</v>
      </c>
      <c r="I1082">
        <v>18.692480855528409</v>
      </c>
      <c r="J1082">
        <v>18.473312792770969</v>
      </c>
      <c r="K1082">
        <v>1791.3712908317241</v>
      </c>
      <c r="L1082">
        <v>1</v>
      </c>
      <c r="M1082" t="s">
        <v>66</v>
      </c>
    </row>
    <row r="1083" spans="1:13" x14ac:dyDescent="0.3">
      <c r="A1083" t="s">
        <v>16</v>
      </c>
      <c r="B1083" t="s">
        <v>36</v>
      </c>
      <c r="C1083">
        <v>10.628752618695129</v>
      </c>
      <c r="D1083">
        <v>0</v>
      </c>
      <c r="E1083">
        <v>0</v>
      </c>
      <c r="F1083">
        <v>1.0348336673553651</v>
      </c>
      <c r="G1083">
        <v>6.3456921561187682</v>
      </c>
      <c r="H1083">
        <v>27.1795243420768</v>
      </c>
      <c r="I1083">
        <v>16.37746014569527</v>
      </c>
      <c r="J1083">
        <v>22.596747342303459</v>
      </c>
      <c r="K1083">
        <v>1495.110371404133</v>
      </c>
      <c r="L1083">
        <v>1</v>
      </c>
      <c r="M1083" t="s">
        <v>66</v>
      </c>
    </row>
    <row r="1084" spans="1:13" x14ac:dyDescent="0.3">
      <c r="A1084" t="s">
        <v>17</v>
      </c>
      <c r="B1084" t="s">
        <v>39</v>
      </c>
      <c r="C1084">
        <v>811.47850255079788</v>
      </c>
      <c r="D1084">
        <v>37.464561952938531</v>
      </c>
      <c r="E1084">
        <v>57.582082269696983</v>
      </c>
      <c r="F1084">
        <v>127.2883274418552</v>
      </c>
      <c r="G1084">
        <v>5.6134016087504657</v>
      </c>
      <c r="H1084">
        <v>45.188161188008003</v>
      </c>
      <c r="I1084">
        <v>19.374086036241859</v>
      </c>
      <c r="J1084">
        <v>23.435648167829591</v>
      </c>
      <c r="K1084">
        <v>1494.6549736423451</v>
      </c>
      <c r="L1084">
        <v>1</v>
      </c>
      <c r="M1084" t="s">
        <v>66</v>
      </c>
    </row>
    <row r="1085" spans="1:13" x14ac:dyDescent="0.3">
      <c r="A1085" t="s">
        <v>15</v>
      </c>
      <c r="B1085" t="s">
        <v>32</v>
      </c>
      <c r="C1085">
        <v>7.2157915737501384</v>
      </c>
      <c r="D1085">
        <v>0</v>
      </c>
      <c r="E1085">
        <v>0</v>
      </c>
      <c r="F1085">
        <v>1.085979061382806</v>
      </c>
      <c r="G1085">
        <v>6.662654441402287</v>
      </c>
      <c r="H1085">
        <v>29.553955866201839</v>
      </c>
      <c r="I1085">
        <v>23.483112646440699</v>
      </c>
      <c r="J1085">
        <v>19.0718700336962</v>
      </c>
      <c r="K1085">
        <v>1587.9244142602331</v>
      </c>
      <c r="L1085">
        <v>1</v>
      </c>
      <c r="M1085" t="s">
        <v>66</v>
      </c>
    </row>
    <row r="1086" spans="1:13" x14ac:dyDescent="0.3">
      <c r="A1086" t="s">
        <v>19</v>
      </c>
      <c r="B1086" t="s">
        <v>45</v>
      </c>
      <c r="C1086">
        <v>14.07382672981541</v>
      </c>
      <c r="D1086">
        <v>0</v>
      </c>
      <c r="E1086">
        <v>0.99276948675012822</v>
      </c>
      <c r="F1086">
        <v>1.8351153613250459</v>
      </c>
      <c r="G1086">
        <v>6.34377521579672</v>
      </c>
      <c r="H1086">
        <v>36.343576153457548</v>
      </c>
      <c r="I1086">
        <v>24.36689612405981</v>
      </c>
      <c r="J1086">
        <v>27.47003923999668</v>
      </c>
      <c r="K1086">
        <v>1505.4251318533379</v>
      </c>
      <c r="L1086">
        <v>1</v>
      </c>
      <c r="M1086" t="s">
        <v>66</v>
      </c>
    </row>
    <row r="1087" spans="1:13" x14ac:dyDescent="0.3">
      <c r="A1087" t="s">
        <v>22</v>
      </c>
      <c r="B1087" t="s">
        <v>53</v>
      </c>
      <c r="C1087">
        <v>25.212631641470271</v>
      </c>
      <c r="D1087">
        <v>0.93186443174508549</v>
      </c>
      <c r="E1087">
        <v>0.85484561233534162</v>
      </c>
      <c r="F1087">
        <v>3.4766935692238832</v>
      </c>
      <c r="G1087">
        <v>6.7290656032832157</v>
      </c>
      <c r="H1087">
        <v>54.391979677316399</v>
      </c>
      <c r="I1087">
        <v>21.717944577422418</v>
      </c>
      <c r="J1087">
        <v>21.893990630761429</v>
      </c>
      <c r="K1087">
        <v>1288.2838392260981</v>
      </c>
      <c r="L1087">
        <v>1</v>
      </c>
      <c r="M1087" t="s">
        <v>66</v>
      </c>
    </row>
    <row r="1088" spans="1:13" x14ac:dyDescent="0.3">
      <c r="A1088" t="s">
        <v>19</v>
      </c>
      <c r="B1088" t="s">
        <v>44</v>
      </c>
      <c r="C1088">
        <v>17.970000769317</v>
      </c>
      <c r="D1088">
        <v>1.024290965841377</v>
      </c>
      <c r="E1088">
        <v>0.95578186077260607</v>
      </c>
      <c r="F1088">
        <v>3.4706134669385542</v>
      </c>
      <c r="G1088">
        <v>6.2163824495162521</v>
      </c>
      <c r="H1088">
        <v>13.9</v>
      </c>
      <c r="I1088">
        <v>25.52902482500469</v>
      </c>
      <c r="J1088">
        <v>23.918997792255681</v>
      </c>
      <c r="K1088">
        <v>1327.983924220164</v>
      </c>
      <c r="L1088">
        <v>0</v>
      </c>
      <c r="M1088" t="s">
        <v>66</v>
      </c>
    </row>
    <row r="1089" spans="1:13" x14ac:dyDescent="0.3">
      <c r="A1089" t="s">
        <v>25</v>
      </c>
      <c r="B1089" t="s">
        <v>62</v>
      </c>
      <c r="C1089">
        <v>82.337058038255265</v>
      </c>
      <c r="D1089">
        <v>4.2279772988442748</v>
      </c>
      <c r="E1089">
        <v>5.4769159566797576</v>
      </c>
      <c r="F1089">
        <v>14.3438525747117</v>
      </c>
      <c r="G1089">
        <v>6.5786063022143342</v>
      </c>
      <c r="H1089">
        <v>13.9</v>
      </c>
      <c r="I1089">
        <v>32.238133622331809</v>
      </c>
      <c r="J1089">
        <v>31.25736606165696</v>
      </c>
      <c r="K1089">
        <v>48.113684121756933</v>
      </c>
      <c r="L1089">
        <v>-1</v>
      </c>
      <c r="M1089" t="s">
        <v>66</v>
      </c>
    </row>
    <row r="1090" spans="1:13" x14ac:dyDescent="0.3">
      <c r="A1090" t="s">
        <v>18</v>
      </c>
      <c r="B1090" t="s">
        <v>43</v>
      </c>
      <c r="C1090">
        <v>30.453820255766718</v>
      </c>
      <c r="D1090">
        <v>0.94673386423609074</v>
      </c>
      <c r="E1090">
        <v>1.9451796677484161</v>
      </c>
      <c r="F1090">
        <v>4.1836806867061789</v>
      </c>
      <c r="G1090">
        <v>6.4768385627485587</v>
      </c>
      <c r="H1090">
        <v>20.740122454694269</v>
      </c>
      <c r="I1090">
        <v>22.342623531164051</v>
      </c>
      <c r="J1090">
        <v>19.625619439080911</v>
      </c>
      <c r="K1090">
        <v>1838.192707788093</v>
      </c>
      <c r="L1090">
        <v>1</v>
      </c>
      <c r="M1090" t="s">
        <v>66</v>
      </c>
    </row>
    <row r="1091" spans="1:13" x14ac:dyDescent="0.3">
      <c r="A1091" t="s">
        <v>22</v>
      </c>
      <c r="B1091" t="s">
        <v>54</v>
      </c>
      <c r="C1091">
        <v>22.708066775422481</v>
      </c>
      <c r="D1091">
        <v>0.94272220759604775</v>
      </c>
      <c r="E1091">
        <v>1.154632010525533</v>
      </c>
      <c r="F1091">
        <v>3.0451533315748289</v>
      </c>
      <c r="G1091">
        <v>6.3160974419882878</v>
      </c>
      <c r="H1091">
        <v>37.814640304490389</v>
      </c>
      <c r="I1091">
        <v>18.573868062769559</v>
      </c>
      <c r="J1091">
        <v>16.0022028282817</v>
      </c>
      <c r="K1091">
        <v>1725.921164033686</v>
      </c>
      <c r="L1091">
        <v>1</v>
      </c>
      <c r="M1091" t="s">
        <v>66</v>
      </c>
    </row>
    <row r="1092" spans="1:13" x14ac:dyDescent="0.3">
      <c r="A1092" t="s">
        <v>19</v>
      </c>
      <c r="B1092" t="s">
        <v>47</v>
      </c>
      <c r="C1092">
        <v>28.5903214209299</v>
      </c>
      <c r="D1092">
        <v>0.95130398528507909</v>
      </c>
      <c r="E1092">
        <v>1.7034963255291979</v>
      </c>
      <c r="F1092">
        <v>4.0958013000785236</v>
      </c>
      <c r="G1092">
        <v>6.0841392045227689</v>
      </c>
      <c r="H1092">
        <v>22.978104505461332</v>
      </c>
      <c r="I1092">
        <v>29.244445022448669</v>
      </c>
      <c r="J1092">
        <v>25.68943057376417</v>
      </c>
      <c r="K1092">
        <v>736.51348845114865</v>
      </c>
      <c r="L1092">
        <v>-1</v>
      </c>
      <c r="M1092" t="s">
        <v>66</v>
      </c>
    </row>
    <row r="1093" spans="1:13" x14ac:dyDescent="0.3">
      <c r="A1093" t="s">
        <v>17</v>
      </c>
      <c r="B1093" t="s">
        <v>39</v>
      </c>
      <c r="C1093">
        <v>122.76304050118669</v>
      </c>
      <c r="D1093">
        <v>6.0316522081027264</v>
      </c>
      <c r="E1093">
        <v>9.1053012491391296</v>
      </c>
      <c r="F1093">
        <v>16.486568524151121</v>
      </c>
      <c r="G1093">
        <v>5.2276354571404431</v>
      </c>
      <c r="H1093">
        <v>19.894505902849101</v>
      </c>
      <c r="I1093">
        <v>18.890922097431002</v>
      </c>
      <c r="J1093">
        <v>20.151460693879471</v>
      </c>
      <c r="K1093">
        <v>1878.935766149508</v>
      </c>
      <c r="L1093">
        <v>1</v>
      </c>
      <c r="M1093" t="s">
        <v>66</v>
      </c>
    </row>
    <row r="1094" spans="1:13" x14ac:dyDescent="0.3">
      <c r="A1094" t="s">
        <v>19</v>
      </c>
      <c r="B1094" t="s">
        <v>47</v>
      </c>
      <c r="C1094">
        <v>31.124102472090058</v>
      </c>
      <c r="D1094">
        <v>0.92408076576443143</v>
      </c>
      <c r="E1094">
        <v>1.962356888563856</v>
      </c>
      <c r="F1094">
        <v>3.3814425998193598</v>
      </c>
      <c r="G1094">
        <v>5.9502645553371307</v>
      </c>
      <c r="H1094">
        <v>21.71869558215792</v>
      </c>
      <c r="I1094">
        <v>29.11139292654331</v>
      </c>
      <c r="J1094">
        <v>26.70158853543381</v>
      </c>
      <c r="K1094">
        <v>757.81413800634186</v>
      </c>
      <c r="L1094">
        <v>-1</v>
      </c>
      <c r="M1094" t="s">
        <v>66</v>
      </c>
    </row>
    <row r="1095" spans="1:13" x14ac:dyDescent="0.3">
      <c r="A1095" t="s">
        <v>24</v>
      </c>
      <c r="B1095" t="s">
        <v>60</v>
      </c>
      <c r="C1095">
        <v>599.88079802962079</v>
      </c>
      <c r="D1095">
        <v>27.086925188304459</v>
      </c>
      <c r="E1095">
        <v>46.518345554104712</v>
      </c>
      <c r="F1095">
        <v>83.0371200963734</v>
      </c>
      <c r="G1095">
        <v>6.0637841057619726</v>
      </c>
      <c r="H1095">
        <v>79.228745532048237</v>
      </c>
      <c r="I1095">
        <v>30.18743399189777</v>
      </c>
      <c r="J1095">
        <v>30.65845726396288</v>
      </c>
      <c r="K1095">
        <v>11.016506060730761</v>
      </c>
      <c r="L1095">
        <v>-1</v>
      </c>
      <c r="M1095" t="s">
        <v>66</v>
      </c>
    </row>
    <row r="1096" spans="1:13" x14ac:dyDescent="0.3">
      <c r="A1096" t="s">
        <v>17</v>
      </c>
      <c r="B1096" t="s">
        <v>39</v>
      </c>
      <c r="C1096">
        <v>18.78492444775209</v>
      </c>
      <c r="D1096">
        <v>0</v>
      </c>
      <c r="E1096">
        <v>1.018084070532481</v>
      </c>
      <c r="F1096">
        <v>3.2301818298095828</v>
      </c>
      <c r="G1096">
        <v>5.4203445554014289</v>
      </c>
      <c r="H1096">
        <v>24.704686475990641</v>
      </c>
      <c r="I1096">
        <v>20.694542097207901</v>
      </c>
      <c r="J1096">
        <v>22.70773451153541</v>
      </c>
      <c r="K1096">
        <v>2160.6737674209612</v>
      </c>
      <c r="L1096">
        <v>1</v>
      </c>
      <c r="M1096" t="s">
        <v>66</v>
      </c>
    </row>
    <row r="1097" spans="1:13" x14ac:dyDescent="0.3">
      <c r="A1097" t="s">
        <v>19</v>
      </c>
      <c r="B1097" t="s">
        <v>44</v>
      </c>
      <c r="C1097">
        <v>12.452700722627879</v>
      </c>
      <c r="D1097">
        <v>0</v>
      </c>
      <c r="E1097">
        <v>0</v>
      </c>
      <c r="F1097">
        <v>0.97600991476208954</v>
      </c>
      <c r="G1097">
        <v>6.2655938405196334</v>
      </c>
      <c r="H1097">
        <v>26.371561936711771</v>
      </c>
      <c r="I1097">
        <v>19.329110817037829</v>
      </c>
      <c r="J1097">
        <v>30.524449119069541</v>
      </c>
      <c r="K1097">
        <v>2212.8742337857439</v>
      </c>
      <c r="L1097">
        <v>1</v>
      </c>
      <c r="M1097" t="s">
        <v>66</v>
      </c>
    </row>
    <row r="1098" spans="1:13" x14ac:dyDescent="0.3">
      <c r="A1098" t="s">
        <v>17</v>
      </c>
      <c r="B1098" t="s">
        <v>39</v>
      </c>
      <c r="C1098">
        <v>13.080690175480459</v>
      </c>
      <c r="D1098">
        <v>0</v>
      </c>
      <c r="E1098">
        <v>0</v>
      </c>
      <c r="F1098">
        <v>2.009230702983837</v>
      </c>
      <c r="G1098">
        <v>5.2610551927389668</v>
      </c>
      <c r="H1098">
        <v>30.233598619987902</v>
      </c>
      <c r="I1098">
        <v>19.194992047133422</v>
      </c>
      <c r="J1098">
        <v>25.443571430740899</v>
      </c>
      <c r="K1098">
        <v>2178.3085878901652</v>
      </c>
      <c r="L1098">
        <v>1</v>
      </c>
      <c r="M1098" t="s">
        <v>66</v>
      </c>
    </row>
    <row r="1099" spans="1:13" x14ac:dyDescent="0.3">
      <c r="A1099" t="s">
        <v>20</v>
      </c>
      <c r="B1099" t="s">
        <v>50</v>
      </c>
      <c r="C1099">
        <v>52.181114278752148</v>
      </c>
      <c r="D1099">
        <v>2.024456640776727</v>
      </c>
      <c r="E1099">
        <v>2.9692624049938621</v>
      </c>
      <c r="F1099">
        <v>8.1649025223673917</v>
      </c>
      <c r="G1099">
        <v>6.7933998991671158</v>
      </c>
      <c r="H1099">
        <v>22.384218644952909</v>
      </c>
      <c r="I1099">
        <v>22.44886861564121</v>
      </c>
      <c r="J1099">
        <v>20.621538790758649</v>
      </c>
      <c r="K1099">
        <v>1753.7762066081241</v>
      </c>
      <c r="L1099">
        <v>1</v>
      </c>
      <c r="M1099" t="s">
        <v>66</v>
      </c>
    </row>
    <row r="1100" spans="1:13" x14ac:dyDescent="0.3">
      <c r="A1100" t="s">
        <v>15</v>
      </c>
      <c r="B1100" t="s">
        <v>33</v>
      </c>
      <c r="C1100">
        <v>93.393740848341224</v>
      </c>
      <c r="D1100">
        <v>2.7752221944748729</v>
      </c>
      <c r="E1100">
        <v>4.6033382320092207</v>
      </c>
      <c r="F1100">
        <v>9.4141106339650946</v>
      </c>
      <c r="G1100">
        <v>6.1065524093189598</v>
      </c>
      <c r="H1100">
        <v>32.55817108355108</v>
      </c>
      <c r="I1100">
        <v>16.182484708612709</v>
      </c>
      <c r="J1100">
        <v>19.425559960317841</v>
      </c>
      <c r="K1100">
        <v>2119.6805403482408</v>
      </c>
      <c r="L1100">
        <v>1</v>
      </c>
      <c r="M1100" t="s">
        <v>66</v>
      </c>
    </row>
    <row r="1101" spans="1:13" x14ac:dyDescent="0.3">
      <c r="A1101" t="s">
        <v>16</v>
      </c>
      <c r="B1101" t="s">
        <v>37</v>
      </c>
      <c r="C1101">
        <v>11.785125847983389</v>
      </c>
      <c r="D1101">
        <v>0</v>
      </c>
      <c r="E1101">
        <v>0</v>
      </c>
      <c r="F1101">
        <v>0.97503749575134435</v>
      </c>
      <c r="G1101">
        <v>6.6634330729766056</v>
      </c>
      <c r="H1101">
        <v>35.005652511914498</v>
      </c>
      <c r="I1101">
        <v>18.093710889208229</v>
      </c>
      <c r="J1101">
        <v>21.911250339690991</v>
      </c>
      <c r="K1101">
        <v>1435.6982917151629</v>
      </c>
      <c r="L1101">
        <v>1</v>
      </c>
      <c r="M1101" t="s">
        <v>66</v>
      </c>
    </row>
    <row r="1102" spans="1:13" x14ac:dyDescent="0.3">
      <c r="A1102" t="s">
        <v>22</v>
      </c>
      <c r="B1102" t="s">
        <v>53</v>
      </c>
      <c r="C1102">
        <v>182.32378598280769</v>
      </c>
      <c r="D1102">
        <v>7.9133308131932392</v>
      </c>
      <c r="E1102">
        <v>12.515006068539121</v>
      </c>
      <c r="F1102">
        <v>20.082721715842879</v>
      </c>
      <c r="G1102">
        <v>6.0664737013238588</v>
      </c>
      <c r="H1102">
        <v>38.464665255592372</v>
      </c>
      <c r="I1102">
        <v>24.416843388719911</v>
      </c>
      <c r="J1102">
        <v>21.703394950665128</v>
      </c>
      <c r="K1102">
        <v>1362.762516049183</v>
      </c>
      <c r="L1102">
        <v>1</v>
      </c>
      <c r="M1102" t="s">
        <v>66</v>
      </c>
    </row>
    <row r="1103" spans="1:13" x14ac:dyDescent="0.3">
      <c r="A1103" t="s">
        <v>19</v>
      </c>
      <c r="B1103" t="s">
        <v>48</v>
      </c>
      <c r="C1103">
        <v>41.70535545070237</v>
      </c>
      <c r="D1103">
        <v>1.9360677943375799</v>
      </c>
      <c r="E1103">
        <v>1.878813730959904</v>
      </c>
      <c r="F1103">
        <v>6.0078689060202617</v>
      </c>
      <c r="G1103">
        <v>6.1938669518193024</v>
      </c>
      <c r="H1103">
        <v>17.223341703806721</v>
      </c>
      <c r="I1103">
        <v>32.74987666045412</v>
      </c>
      <c r="J1103">
        <v>26.543232665320559</v>
      </c>
      <c r="K1103">
        <v>1144.6975802652109</v>
      </c>
      <c r="L1103">
        <v>0</v>
      </c>
      <c r="M1103" t="s">
        <v>66</v>
      </c>
    </row>
    <row r="1104" spans="1:13" x14ac:dyDescent="0.3">
      <c r="A1104" t="s">
        <v>16</v>
      </c>
      <c r="B1104" t="s">
        <v>35</v>
      </c>
      <c r="C1104">
        <v>70.953457227007178</v>
      </c>
      <c r="D1104">
        <v>3.3741257760460801</v>
      </c>
      <c r="E1104">
        <v>5.1225807992736589</v>
      </c>
      <c r="F1104">
        <v>12.964744530986779</v>
      </c>
      <c r="G1104">
        <v>5.752792082374552</v>
      </c>
      <c r="H1104">
        <v>27.59510098916363</v>
      </c>
      <c r="I1104">
        <v>18.069198002565141</v>
      </c>
      <c r="J1104">
        <v>28.348465880255141</v>
      </c>
      <c r="K1104">
        <v>1620.9091382358929</v>
      </c>
      <c r="L1104">
        <v>1</v>
      </c>
      <c r="M1104" t="s">
        <v>66</v>
      </c>
    </row>
    <row r="1105" spans="1:13" x14ac:dyDescent="0.3">
      <c r="A1105" t="s">
        <v>18</v>
      </c>
      <c r="B1105" t="s">
        <v>43</v>
      </c>
      <c r="C1105">
        <v>23.671807689840691</v>
      </c>
      <c r="D1105">
        <v>1.038379542529569</v>
      </c>
      <c r="E1105">
        <v>0.9543597154439194</v>
      </c>
      <c r="F1105">
        <v>2.9305946763267952</v>
      </c>
      <c r="G1105">
        <v>6.3056074805166036</v>
      </c>
      <c r="H1105">
        <v>26.44202539139377</v>
      </c>
      <c r="I1105">
        <v>26.26642048005116</v>
      </c>
      <c r="J1105">
        <v>18.805473093079041</v>
      </c>
      <c r="K1105">
        <v>1820.319183271929</v>
      </c>
      <c r="L1105">
        <v>1</v>
      </c>
      <c r="M1105" t="s">
        <v>66</v>
      </c>
    </row>
    <row r="1106" spans="1:13" x14ac:dyDescent="0.3">
      <c r="A1106" t="s">
        <v>24</v>
      </c>
      <c r="B1106" t="s">
        <v>58</v>
      </c>
      <c r="C1106">
        <v>13.191395786887981</v>
      </c>
      <c r="D1106">
        <v>0</v>
      </c>
      <c r="E1106">
        <v>0</v>
      </c>
      <c r="F1106">
        <v>2.3855835443636502</v>
      </c>
      <c r="G1106">
        <v>6.5785308380113916</v>
      </c>
      <c r="H1106">
        <v>41.621732211516978</v>
      </c>
      <c r="I1106">
        <v>24.438664481202199</v>
      </c>
      <c r="J1106">
        <v>22.916565811212209</v>
      </c>
      <c r="K1106">
        <v>733.6885603042241</v>
      </c>
      <c r="L1106">
        <v>0</v>
      </c>
      <c r="M1106" t="s">
        <v>66</v>
      </c>
    </row>
    <row r="1107" spans="1:13" x14ac:dyDescent="0.3">
      <c r="A1107" t="s">
        <v>24</v>
      </c>
      <c r="B1107" t="s">
        <v>61</v>
      </c>
      <c r="C1107">
        <v>124.51809926863289</v>
      </c>
      <c r="D1107">
        <v>6.4469993712971219</v>
      </c>
      <c r="E1107">
        <v>8.1334717202605251</v>
      </c>
      <c r="F1107">
        <v>21.895017396139469</v>
      </c>
      <c r="G1107">
        <v>6.175070277216606</v>
      </c>
      <c r="H1107">
        <v>20.822190790631289</v>
      </c>
      <c r="I1107">
        <v>31.301633009890629</v>
      </c>
      <c r="J1107">
        <v>30.989793768059641</v>
      </c>
      <c r="K1107">
        <v>48.372973586210719</v>
      </c>
      <c r="L1107">
        <v>-1</v>
      </c>
      <c r="M1107" t="s">
        <v>66</v>
      </c>
    </row>
    <row r="1108" spans="1:13" x14ac:dyDescent="0.3">
      <c r="A1108" t="s">
        <v>24</v>
      </c>
      <c r="B1108" t="s">
        <v>59</v>
      </c>
      <c r="C1108">
        <v>357.99655437646061</v>
      </c>
      <c r="D1108">
        <v>21.29719711750981</v>
      </c>
      <c r="E1108">
        <v>21.790753653093379</v>
      </c>
      <c r="F1108">
        <v>58.074163317513339</v>
      </c>
      <c r="G1108">
        <v>5.2571088979867451</v>
      </c>
      <c r="H1108">
        <v>74.684337672324602</v>
      </c>
      <c r="I1108">
        <v>29.526475880541181</v>
      </c>
      <c r="J1108">
        <v>31.775071344959699</v>
      </c>
      <c r="K1108">
        <v>11</v>
      </c>
      <c r="L1108">
        <v>-1</v>
      </c>
      <c r="M1108" t="s">
        <v>66</v>
      </c>
    </row>
    <row r="1109" spans="1:13" x14ac:dyDescent="0.3">
      <c r="A1109" t="s">
        <v>18</v>
      </c>
      <c r="B1109" t="s">
        <v>42</v>
      </c>
      <c r="C1109">
        <v>33.6512808400309</v>
      </c>
      <c r="D1109">
        <v>0.92471798387400339</v>
      </c>
      <c r="E1109">
        <v>1.8883023069353959</v>
      </c>
      <c r="F1109">
        <v>4.8890705904369396</v>
      </c>
      <c r="G1109">
        <v>5.6365631850093969</v>
      </c>
      <c r="H1109">
        <v>25.380409906395151</v>
      </c>
      <c r="I1109">
        <v>20.525760126005739</v>
      </c>
      <c r="J1109">
        <v>25.781549960001239</v>
      </c>
      <c r="K1109">
        <v>1922.7596027866771</v>
      </c>
      <c r="L1109">
        <v>1</v>
      </c>
      <c r="M1109" t="s">
        <v>66</v>
      </c>
    </row>
    <row r="1110" spans="1:13" x14ac:dyDescent="0.3">
      <c r="A1110" t="s">
        <v>20</v>
      </c>
      <c r="B1110" t="s">
        <v>50</v>
      </c>
      <c r="C1110">
        <v>48.520559742797488</v>
      </c>
      <c r="D1110">
        <v>2.337027896911374</v>
      </c>
      <c r="E1110">
        <v>3.03305732112947</v>
      </c>
      <c r="F1110">
        <v>8.2922393352294641</v>
      </c>
      <c r="G1110">
        <v>6.5581741738518886</v>
      </c>
      <c r="H1110">
        <v>19.444995238268799</v>
      </c>
      <c r="I1110">
        <v>22.59132098296757</v>
      </c>
      <c r="J1110">
        <v>20.76788093802147</v>
      </c>
      <c r="K1110">
        <v>1748.8531531311569</v>
      </c>
      <c r="L1110">
        <v>1</v>
      </c>
      <c r="M1110" t="s">
        <v>66</v>
      </c>
    </row>
    <row r="1111" spans="1:13" x14ac:dyDescent="0.3">
      <c r="A1111" t="s">
        <v>20</v>
      </c>
      <c r="B1111" t="s">
        <v>50</v>
      </c>
      <c r="C1111">
        <v>55.078775766899028</v>
      </c>
      <c r="D1111">
        <v>2.3377698334880992</v>
      </c>
      <c r="E1111">
        <v>3.311257834504298</v>
      </c>
      <c r="F1111">
        <v>6.7478043688167126</v>
      </c>
      <c r="G1111">
        <v>6.5524647405434751</v>
      </c>
      <c r="H1111">
        <v>22.94431102972402</v>
      </c>
      <c r="I1111">
        <v>22.36938069583309</v>
      </c>
      <c r="J1111">
        <v>21.465583129117011</v>
      </c>
      <c r="K1111">
        <v>1712.6213970793251</v>
      </c>
      <c r="L1111">
        <v>1</v>
      </c>
      <c r="M1111" t="s">
        <v>66</v>
      </c>
    </row>
    <row r="1112" spans="1:13" x14ac:dyDescent="0.3">
      <c r="A1112" t="s">
        <v>17</v>
      </c>
      <c r="B1112" t="s">
        <v>39</v>
      </c>
      <c r="C1112">
        <v>12.8695322161185</v>
      </c>
      <c r="D1112">
        <v>0</v>
      </c>
      <c r="E1112">
        <v>0</v>
      </c>
      <c r="F1112">
        <v>2.3433798458766351</v>
      </c>
      <c r="G1112">
        <v>5.3367866807091602</v>
      </c>
      <c r="H1112">
        <v>29.100706970146518</v>
      </c>
      <c r="I1112">
        <v>20.757962600434681</v>
      </c>
      <c r="J1112">
        <v>25.217772032007879</v>
      </c>
      <c r="K1112">
        <v>2213.1755805042758</v>
      </c>
      <c r="L1112">
        <v>1</v>
      </c>
      <c r="M1112" t="s">
        <v>66</v>
      </c>
    </row>
    <row r="1113" spans="1:13" x14ac:dyDescent="0.3">
      <c r="A1113" t="s">
        <v>23</v>
      </c>
      <c r="B1113" t="s">
        <v>56</v>
      </c>
      <c r="C1113">
        <v>87.68667960758097</v>
      </c>
      <c r="D1113">
        <v>4.2563528284591516</v>
      </c>
      <c r="E1113">
        <v>4.5346864493633623</v>
      </c>
      <c r="F1113">
        <v>11.291995767331329</v>
      </c>
      <c r="G1113">
        <v>6.1770960996166968</v>
      </c>
      <c r="H1113">
        <v>21.454812258823289</v>
      </c>
      <c r="I1113">
        <v>20.22327657470991</v>
      </c>
      <c r="J1113">
        <v>20.49844955557603</v>
      </c>
      <c r="K1113">
        <v>1670.643895023592</v>
      </c>
      <c r="L1113">
        <v>1</v>
      </c>
      <c r="M1113" t="s">
        <v>66</v>
      </c>
    </row>
    <row r="1114" spans="1:13" x14ac:dyDescent="0.3">
      <c r="A1114" t="s">
        <v>19</v>
      </c>
      <c r="B1114" t="s">
        <v>44</v>
      </c>
      <c r="C1114">
        <v>40.543125340355523</v>
      </c>
      <c r="D1114">
        <v>1.9279640061220169</v>
      </c>
      <c r="E1114">
        <v>2.0268456896722569</v>
      </c>
      <c r="F1114">
        <v>6.3317998993446309</v>
      </c>
      <c r="G1114">
        <v>4.8902582763454294</v>
      </c>
      <c r="H1114">
        <v>35.3022435805266</v>
      </c>
      <c r="I1114">
        <v>18.714176397513459</v>
      </c>
      <c r="J1114">
        <v>19.192525375534672</v>
      </c>
      <c r="K1114">
        <v>1961.545340692285</v>
      </c>
      <c r="L1114">
        <v>1</v>
      </c>
      <c r="M1114" t="s">
        <v>66</v>
      </c>
    </row>
    <row r="1115" spans="1:13" x14ac:dyDescent="0.3">
      <c r="A1115" t="s">
        <v>23</v>
      </c>
      <c r="B1115" t="s">
        <v>56</v>
      </c>
      <c r="C1115">
        <v>70.758385635744716</v>
      </c>
      <c r="D1115">
        <v>2.8039032024105759</v>
      </c>
      <c r="E1115">
        <v>4.6136529397678672</v>
      </c>
      <c r="F1115">
        <v>11.746593613526111</v>
      </c>
      <c r="G1115">
        <v>6.4178827788657058</v>
      </c>
      <c r="H1115">
        <v>16.1406082983152</v>
      </c>
      <c r="I1115">
        <v>19.773262770117139</v>
      </c>
      <c r="J1115">
        <v>18.55074565675443</v>
      </c>
      <c r="K1115">
        <v>1699.0247141640559</v>
      </c>
      <c r="L1115">
        <v>1</v>
      </c>
      <c r="M1115" t="s">
        <v>66</v>
      </c>
    </row>
    <row r="1116" spans="1:13" x14ac:dyDescent="0.3">
      <c r="A1116" t="s">
        <v>17</v>
      </c>
      <c r="B1116" t="s">
        <v>39</v>
      </c>
      <c r="C1116">
        <v>130.2713138373264</v>
      </c>
      <c r="D1116">
        <v>6.001368025721578</v>
      </c>
      <c r="E1116">
        <v>9.2288584132656251</v>
      </c>
      <c r="F1116">
        <v>20.16285678254463</v>
      </c>
      <c r="G1116">
        <v>5.2864279578769473</v>
      </c>
      <c r="H1116">
        <v>20.439869861276929</v>
      </c>
      <c r="I1116">
        <v>19.568629173957071</v>
      </c>
      <c r="J1116">
        <v>20.762193877869251</v>
      </c>
      <c r="K1116">
        <v>1909.3946888853461</v>
      </c>
      <c r="L1116">
        <v>1</v>
      </c>
      <c r="M1116" t="s">
        <v>66</v>
      </c>
    </row>
    <row r="1117" spans="1:13" x14ac:dyDescent="0.3">
      <c r="A1117" t="s">
        <v>15</v>
      </c>
      <c r="B1117" t="s">
        <v>34</v>
      </c>
      <c r="C1117">
        <v>64.261538613492789</v>
      </c>
      <c r="D1117">
        <v>3.486979355209753</v>
      </c>
      <c r="E1117">
        <v>4.3904818150918814</v>
      </c>
      <c r="F1117">
        <v>7.3871618773348793</v>
      </c>
      <c r="G1117">
        <v>6.0587466526882956</v>
      </c>
      <c r="H1117">
        <v>32.761427595628177</v>
      </c>
      <c r="I1117">
        <v>18.084566600385021</v>
      </c>
      <c r="J1117">
        <v>19.407939448366339</v>
      </c>
      <c r="K1117">
        <v>2182.21375297444</v>
      </c>
      <c r="L1117">
        <v>1</v>
      </c>
      <c r="M1117" t="s">
        <v>66</v>
      </c>
    </row>
    <row r="1118" spans="1:13" x14ac:dyDescent="0.3">
      <c r="A1118" t="s">
        <v>20</v>
      </c>
      <c r="B1118" t="s">
        <v>51</v>
      </c>
      <c r="C1118">
        <v>273.98696927882003</v>
      </c>
      <c r="D1118">
        <v>13.82328228886786</v>
      </c>
      <c r="E1118">
        <v>17.119307153213761</v>
      </c>
      <c r="F1118">
        <v>39.50185385579374</v>
      </c>
      <c r="G1118">
        <v>5.2345134219531602</v>
      </c>
      <c r="H1118">
        <v>30.324830870466599</v>
      </c>
      <c r="I1118">
        <v>20.334239587332949</v>
      </c>
      <c r="J1118">
        <v>18.99451799267452</v>
      </c>
      <c r="K1118">
        <v>1579.2254994193329</v>
      </c>
      <c r="L1118">
        <v>1</v>
      </c>
      <c r="M1118" t="s">
        <v>66</v>
      </c>
    </row>
    <row r="1119" spans="1:13" x14ac:dyDescent="0.3">
      <c r="A1119" t="s">
        <v>25</v>
      </c>
      <c r="B1119" t="s">
        <v>62</v>
      </c>
      <c r="C1119">
        <v>30.72143437202369</v>
      </c>
      <c r="D1119">
        <v>0.87894493530660789</v>
      </c>
      <c r="E1119">
        <v>1.6040972917954901</v>
      </c>
      <c r="F1119">
        <v>4.2916087653630388</v>
      </c>
      <c r="G1119">
        <v>6.286792766568877</v>
      </c>
      <c r="H1119">
        <v>37.773532398686172</v>
      </c>
      <c r="I1119">
        <v>19.511009138703908</v>
      </c>
      <c r="J1119">
        <v>23.904025359587578</v>
      </c>
      <c r="K1119">
        <v>1059.2982349412871</v>
      </c>
      <c r="L1119">
        <v>0</v>
      </c>
      <c r="M1119" t="s">
        <v>66</v>
      </c>
    </row>
    <row r="1120" spans="1:13" x14ac:dyDescent="0.3">
      <c r="A1120" t="s">
        <v>16</v>
      </c>
      <c r="B1120" t="s">
        <v>38</v>
      </c>
      <c r="C1120">
        <v>935.76506175273857</v>
      </c>
      <c r="D1120">
        <v>46.042522810623559</v>
      </c>
      <c r="E1120">
        <v>65.038229719855778</v>
      </c>
      <c r="F1120">
        <v>146.66415478894351</v>
      </c>
      <c r="G1120">
        <v>5.2363626366379208</v>
      </c>
      <c r="H1120">
        <v>25.049932529323119</v>
      </c>
      <c r="I1120">
        <v>19.07602249644582</v>
      </c>
      <c r="J1120">
        <v>21.600608260937982</v>
      </c>
      <c r="K1120">
        <v>1428.3615826907189</v>
      </c>
      <c r="L1120">
        <v>1</v>
      </c>
      <c r="M1120" t="s">
        <v>66</v>
      </c>
    </row>
    <row r="1121" spans="1:13" x14ac:dyDescent="0.3">
      <c r="A1121" t="s">
        <v>25</v>
      </c>
      <c r="B1121" t="s">
        <v>62</v>
      </c>
      <c r="C1121">
        <v>96.594526310331787</v>
      </c>
      <c r="D1121">
        <v>3.8559885821326958</v>
      </c>
      <c r="E1121">
        <v>6.3335848848789098</v>
      </c>
      <c r="F1121">
        <v>14.54283689391214</v>
      </c>
      <c r="G1121">
        <v>6.9670695024654252</v>
      </c>
      <c r="H1121">
        <v>14.71428196346962</v>
      </c>
      <c r="I1121">
        <v>33.284316634536701</v>
      </c>
      <c r="J1121">
        <v>30.67511213279975</v>
      </c>
      <c r="K1121">
        <v>48.240522660680647</v>
      </c>
      <c r="L1121">
        <v>-1</v>
      </c>
      <c r="M1121" t="s">
        <v>66</v>
      </c>
    </row>
    <row r="1122" spans="1:13" x14ac:dyDescent="0.3">
      <c r="A1122" t="s">
        <v>25</v>
      </c>
      <c r="B1122" t="s">
        <v>62</v>
      </c>
      <c r="C1122">
        <v>27.692742933077181</v>
      </c>
      <c r="D1122">
        <v>0.9336986848148543</v>
      </c>
      <c r="E1122">
        <v>1.8808020744429259</v>
      </c>
      <c r="F1122">
        <v>4.7744171950137844</v>
      </c>
      <c r="G1122">
        <v>6.2667285621572759</v>
      </c>
      <c r="H1122">
        <v>36.19552663562061</v>
      </c>
      <c r="I1122">
        <v>20.624249740196031</v>
      </c>
      <c r="J1122">
        <v>23.470062839406619</v>
      </c>
      <c r="K1122">
        <v>1091.074353518123</v>
      </c>
      <c r="L1122">
        <v>0</v>
      </c>
      <c r="M1122" t="s">
        <v>66</v>
      </c>
    </row>
    <row r="1123" spans="1:13" x14ac:dyDescent="0.3">
      <c r="A1123" t="s">
        <v>17</v>
      </c>
      <c r="B1123" t="s">
        <v>39</v>
      </c>
      <c r="C1123">
        <v>27.387113166372711</v>
      </c>
      <c r="D1123">
        <v>0.82617317687677971</v>
      </c>
      <c r="E1123">
        <v>0.91731155212881177</v>
      </c>
      <c r="F1123">
        <v>5.2229714107179426</v>
      </c>
      <c r="G1123">
        <v>5.9537140133049506</v>
      </c>
      <c r="H1123">
        <v>20.596113367145421</v>
      </c>
      <c r="I1123">
        <v>20.89624376549337</v>
      </c>
      <c r="J1123">
        <v>25.959121114291221</v>
      </c>
      <c r="K1123">
        <v>2123.2063869440531</v>
      </c>
      <c r="L1123">
        <v>1</v>
      </c>
      <c r="M1123" t="s">
        <v>66</v>
      </c>
    </row>
    <row r="1124" spans="1:13" x14ac:dyDescent="0.3">
      <c r="A1124" t="s">
        <v>19</v>
      </c>
      <c r="B1124" t="s">
        <v>48</v>
      </c>
      <c r="C1124">
        <v>37.905433600934529</v>
      </c>
      <c r="D1124">
        <v>2.105741284583412</v>
      </c>
      <c r="E1124">
        <v>1.80956892533117</v>
      </c>
      <c r="F1124">
        <v>5.179449476892561</v>
      </c>
      <c r="G1124">
        <v>6.3083655383339021</v>
      </c>
      <c r="H1124">
        <v>15.1300523711053</v>
      </c>
      <c r="I1124">
        <v>32.944185121798142</v>
      </c>
      <c r="J1124">
        <v>25.716945501552079</v>
      </c>
      <c r="K1124">
        <v>1128.7368118499371</v>
      </c>
      <c r="L1124">
        <v>0</v>
      </c>
      <c r="M1124" t="s">
        <v>66</v>
      </c>
    </row>
    <row r="1125" spans="1:13" x14ac:dyDescent="0.3">
      <c r="A1125" t="s">
        <v>25</v>
      </c>
      <c r="B1125" t="s">
        <v>62</v>
      </c>
      <c r="C1125">
        <v>91.806460943696507</v>
      </c>
      <c r="D1125">
        <v>3.7921991826784751</v>
      </c>
      <c r="E1125">
        <v>6.0151392690142282</v>
      </c>
      <c r="F1125">
        <v>14.307510967662649</v>
      </c>
      <c r="G1125">
        <v>6.9409947583619269</v>
      </c>
      <c r="H1125">
        <v>14.196846446824759</v>
      </c>
      <c r="I1125">
        <v>32.664449624921033</v>
      </c>
      <c r="J1125">
        <v>31.09808656311159</v>
      </c>
      <c r="K1125">
        <v>49.066324669068763</v>
      </c>
      <c r="L1125">
        <v>-1</v>
      </c>
      <c r="M1125" t="s">
        <v>66</v>
      </c>
    </row>
    <row r="1126" spans="1:13" x14ac:dyDescent="0.3">
      <c r="A1126" t="s">
        <v>16</v>
      </c>
      <c r="B1126" t="s">
        <v>38</v>
      </c>
      <c r="C1126">
        <v>960</v>
      </c>
      <c r="D1126">
        <v>44.442974527838118</v>
      </c>
      <c r="E1126">
        <v>67</v>
      </c>
      <c r="F1126">
        <v>153</v>
      </c>
      <c r="G1126">
        <v>5.2392138449582051</v>
      </c>
      <c r="H1126">
        <v>27.18359107586836</v>
      </c>
      <c r="I1126">
        <v>18.46308485167717</v>
      </c>
      <c r="J1126">
        <v>21.88292684845182</v>
      </c>
      <c r="K1126">
        <v>1516.928021826903</v>
      </c>
      <c r="L1126">
        <v>1</v>
      </c>
      <c r="M1126" t="s">
        <v>66</v>
      </c>
    </row>
    <row r="1127" spans="1:13" x14ac:dyDescent="0.3">
      <c r="A1127" t="s">
        <v>19</v>
      </c>
      <c r="B1127" t="s">
        <v>46</v>
      </c>
      <c r="C1127">
        <v>23.04555765233755</v>
      </c>
      <c r="D1127">
        <v>0.97728446847109884</v>
      </c>
      <c r="E1127">
        <v>1.024176495533401</v>
      </c>
      <c r="F1127">
        <v>2.8968169706796139</v>
      </c>
      <c r="G1127">
        <v>5.9645432109677223</v>
      </c>
      <c r="H1127">
        <v>28.355515651931601</v>
      </c>
      <c r="I1127">
        <v>25.020705762399182</v>
      </c>
      <c r="J1127">
        <v>26.70325922128254</v>
      </c>
      <c r="K1127">
        <v>1391.6492937383721</v>
      </c>
      <c r="L1127">
        <v>1</v>
      </c>
      <c r="M1127" t="s">
        <v>66</v>
      </c>
    </row>
    <row r="1128" spans="1:13" x14ac:dyDescent="0.3">
      <c r="A1128" t="s">
        <v>19</v>
      </c>
      <c r="B1128" t="s">
        <v>44</v>
      </c>
      <c r="C1128">
        <v>14.37926241445038</v>
      </c>
      <c r="D1128">
        <v>0</v>
      </c>
      <c r="E1128">
        <v>0.9206866229230215</v>
      </c>
      <c r="F1128">
        <v>1.9805451990245151</v>
      </c>
      <c r="G1128">
        <v>6.0363126656110637</v>
      </c>
      <c r="H1128">
        <v>41.343526509072227</v>
      </c>
      <c r="I1128">
        <v>19.323367454838738</v>
      </c>
      <c r="J1128">
        <v>18.356473988681891</v>
      </c>
      <c r="K1128">
        <v>1916.6126779929441</v>
      </c>
      <c r="L1128">
        <v>1</v>
      </c>
      <c r="M1128" t="s">
        <v>66</v>
      </c>
    </row>
    <row r="1129" spans="1:13" x14ac:dyDescent="0.3">
      <c r="A1129" t="s">
        <v>15</v>
      </c>
      <c r="B1129" t="s">
        <v>33</v>
      </c>
      <c r="C1129">
        <v>90.961612579037165</v>
      </c>
      <c r="D1129">
        <v>4.5810184705587353</v>
      </c>
      <c r="E1129">
        <v>6.5286504081033012</v>
      </c>
      <c r="F1129">
        <v>15.96413670795696</v>
      </c>
      <c r="G1129">
        <v>7.0868235278321219</v>
      </c>
      <c r="H1129">
        <v>33.145943763383571</v>
      </c>
      <c r="I1129">
        <v>17.92919601632331</v>
      </c>
      <c r="J1129">
        <v>18.155824308616111</v>
      </c>
      <c r="K1129">
        <v>1914.2697868389621</v>
      </c>
      <c r="L1129">
        <v>1</v>
      </c>
      <c r="M1129" t="s">
        <v>66</v>
      </c>
    </row>
    <row r="1130" spans="1:13" x14ac:dyDescent="0.3">
      <c r="A1130" t="s">
        <v>15</v>
      </c>
      <c r="B1130" t="s">
        <v>32</v>
      </c>
      <c r="C1130">
        <v>6.6562074624629588</v>
      </c>
      <c r="D1130">
        <v>0</v>
      </c>
      <c r="E1130">
        <v>0</v>
      </c>
      <c r="F1130">
        <v>0.9576261152997585</v>
      </c>
      <c r="G1130">
        <v>6.618162187981822</v>
      </c>
      <c r="H1130">
        <v>27.583545976923439</v>
      </c>
      <c r="I1130">
        <v>23.078499019765069</v>
      </c>
      <c r="J1130">
        <v>19.174275468584</v>
      </c>
      <c r="K1130">
        <v>1612.330113559377</v>
      </c>
      <c r="L1130">
        <v>1</v>
      </c>
      <c r="M1130" t="s">
        <v>66</v>
      </c>
    </row>
    <row r="1131" spans="1:13" x14ac:dyDescent="0.3">
      <c r="A1131" t="s">
        <v>22</v>
      </c>
      <c r="B1131" t="s">
        <v>53</v>
      </c>
      <c r="C1131">
        <v>25.74841346990549</v>
      </c>
      <c r="D1131">
        <v>0.98716561677395864</v>
      </c>
      <c r="E1131">
        <v>1.1187099252848369</v>
      </c>
      <c r="F1131">
        <v>4.1154437107193624</v>
      </c>
      <c r="G1131">
        <v>6.9296177710992941</v>
      </c>
      <c r="H1131">
        <v>52.009719867478779</v>
      </c>
      <c r="I1131">
        <v>20.304077563415301</v>
      </c>
      <c r="J1131">
        <v>20.292494028707651</v>
      </c>
      <c r="K1131">
        <v>1316.566797600392</v>
      </c>
      <c r="L1131">
        <v>1</v>
      </c>
      <c r="M1131" t="s">
        <v>66</v>
      </c>
    </row>
    <row r="1132" spans="1:13" x14ac:dyDescent="0.3">
      <c r="A1132" t="s">
        <v>19</v>
      </c>
      <c r="B1132" t="s">
        <v>44</v>
      </c>
      <c r="C1132">
        <v>44.723556197434981</v>
      </c>
      <c r="D1132">
        <v>1.9055916048867561</v>
      </c>
      <c r="E1132">
        <v>3.049722730401399</v>
      </c>
      <c r="F1132">
        <v>7.4476554645961057</v>
      </c>
      <c r="G1132">
        <v>6.2037096000809608</v>
      </c>
      <c r="H1132">
        <v>20.680288342994132</v>
      </c>
      <c r="I1132">
        <v>19.941155711457711</v>
      </c>
      <c r="J1132">
        <v>29.173500310303819</v>
      </c>
      <c r="K1132">
        <v>2216.029806480652</v>
      </c>
      <c r="L1132">
        <v>1</v>
      </c>
      <c r="M1132" t="s">
        <v>66</v>
      </c>
    </row>
    <row r="1133" spans="1:13" x14ac:dyDescent="0.3">
      <c r="A1133" t="s">
        <v>19</v>
      </c>
      <c r="B1133" t="s">
        <v>48</v>
      </c>
      <c r="C1133">
        <v>39.028929101721673</v>
      </c>
      <c r="D1133">
        <v>1.768230925053871</v>
      </c>
      <c r="E1133">
        <v>2.158152329951069</v>
      </c>
      <c r="F1133">
        <v>6.8852732856522003</v>
      </c>
      <c r="G1133">
        <v>6.2089168063438311</v>
      </c>
      <c r="H1133">
        <v>16.584186965335281</v>
      </c>
      <c r="I1133">
        <v>32.532017409492568</v>
      </c>
      <c r="J1133">
        <v>25.859959976907142</v>
      </c>
      <c r="K1133">
        <v>1137.484774327834</v>
      </c>
      <c r="L1133">
        <v>0</v>
      </c>
      <c r="M1133" t="s">
        <v>66</v>
      </c>
    </row>
    <row r="1134" spans="1:13" x14ac:dyDescent="0.3">
      <c r="A1134" t="s">
        <v>21</v>
      </c>
      <c r="B1134" t="s">
        <v>52</v>
      </c>
      <c r="C1134">
        <v>32.724725234837628</v>
      </c>
      <c r="D1134">
        <v>0.89699537755111081</v>
      </c>
      <c r="E1134">
        <v>2.066125541328089</v>
      </c>
      <c r="F1134">
        <v>5.4278303673802046</v>
      </c>
      <c r="G1134">
        <v>6.1842613850234622</v>
      </c>
      <c r="H1134">
        <v>27.48069067452456</v>
      </c>
      <c r="I1134">
        <v>26.561970371673379</v>
      </c>
      <c r="J1134">
        <v>22.397512301245591</v>
      </c>
      <c r="K1134">
        <v>1252.8689171834551</v>
      </c>
      <c r="L1134">
        <v>1</v>
      </c>
      <c r="M1134" t="s">
        <v>66</v>
      </c>
    </row>
    <row r="1135" spans="1:13" x14ac:dyDescent="0.3">
      <c r="A1135" t="s">
        <v>17</v>
      </c>
      <c r="B1135" t="s">
        <v>39</v>
      </c>
      <c r="C1135">
        <v>29.5389082185125</v>
      </c>
      <c r="D1135">
        <v>0.87036550717213945</v>
      </c>
      <c r="E1135">
        <v>1.153889066121502</v>
      </c>
      <c r="F1135">
        <v>5.1622534424865414</v>
      </c>
      <c r="G1135">
        <v>5.8912773542109917</v>
      </c>
      <c r="H1135">
        <v>19.6480325554658</v>
      </c>
      <c r="I1135">
        <v>21.178643675977579</v>
      </c>
      <c r="J1135">
        <v>27.35155175127565</v>
      </c>
      <c r="K1135">
        <v>2187.5879649818148</v>
      </c>
      <c r="L1135">
        <v>1</v>
      </c>
      <c r="M1135" t="s">
        <v>66</v>
      </c>
    </row>
    <row r="1136" spans="1:13" x14ac:dyDescent="0.3">
      <c r="A1136" t="s">
        <v>24</v>
      </c>
      <c r="B1136" t="s">
        <v>58</v>
      </c>
      <c r="C1136">
        <v>32.309120185510892</v>
      </c>
      <c r="D1136">
        <v>0.97602231439310305</v>
      </c>
      <c r="E1136">
        <v>2.1506355841021989</v>
      </c>
      <c r="F1136">
        <v>5.0107058011151766</v>
      </c>
      <c r="G1136">
        <v>7.0450615751965682</v>
      </c>
      <c r="H1136">
        <v>54.372271724294599</v>
      </c>
      <c r="I1136">
        <v>23.607075665010171</v>
      </c>
      <c r="J1136">
        <v>22.59074407329776</v>
      </c>
      <c r="K1136">
        <v>715.0270745689038</v>
      </c>
      <c r="L1136">
        <v>0</v>
      </c>
      <c r="M1136" t="s">
        <v>66</v>
      </c>
    </row>
    <row r="1137" spans="1:13" x14ac:dyDescent="0.3">
      <c r="A1137" t="s">
        <v>25</v>
      </c>
      <c r="B1137" t="s">
        <v>62</v>
      </c>
      <c r="C1137">
        <v>30.05706175438802</v>
      </c>
      <c r="D1137">
        <v>1.088417728710368</v>
      </c>
      <c r="E1137">
        <v>2.1259921262750621</v>
      </c>
      <c r="F1137">
        <v>4.5743368481704678</v>
      </c>
      <c r="G1137">
        <v>6.1482734337235492</v>
      </c>
      <c r="H1137">
        <v>23.81127319824224</v>
      </c>
      <c r="I1137">
        <v>23.341377096143312</v>
      </c>
      <c r="J1137">
        <v>25.014005892717488</v>
      </c>
      <c r="K1137">
        <v>1206.7093811625241</v>
      </c>
      <c r="L1137">
        <v>0</v>
      </c>
      <c r="M1137" t="s">
        <v>66</v>
      </c>
    </row>
    <row r="1138" spans="1:13" x14ac:dyDescent="0.3">
      <c r="A1138" t="s">
        <v>18</v>
      </c>
      <c r="B1138" t="s">
        <v>41</v>
      </c>
      <c r="C1138">
        <v>128.88575980203009</v>
      </c>
      <c r="D1138">
        <v>6.5377113153257476</v>
      </c>
      <c r="E1138">
        <v>7.8252641850314344</v>
      </c>
      <c r="F1138">
        <v>19.174812358702351</v>
      </c>
      <c r="G1138">
        <v>4.3</v>
      </c>
      <c r="H1138">
        <v>56.806048109557842</v>
      </c>
      <c r="I1138">
        <v>19.04583243749525</v>
      </c>
      <c r="J1138">
        <v>21.12478548201587</v>
      </c>
      <c r="K1138">
        <v>1691.637392159543</v>
      </c>
      <c r="L1138">
        <v>1</v>
      </c>
      <c r="M1138" t="s">
        <v>66</v>
      </c>
    </row>
    <row r="1139" spans="1:13" x14ac:dyDescent="0.3">
      <c r="A1139" t="s">
        <v>20</v>
      </c>
      <c r="B1139" t="s">
        <v>51</v>
      </c>
      <c r="C1139">
        <v>47.346214862661782</v>
      </c>
      <c r="D1139">
        <v>2.0005812617462211</v>
      </c>
      <c r="E1139">
        <v>3.2791081092262719</v>
      </c>
      <c r="F1139">
        <v>6.3866663644662536</v>
      </c>
      <c r="G1139">
        <v>5.6902629592780603</v>
      </c>
      <c r="H1139">
        <v>24.825095616053961</v>
      </c>
      <c r="I1139">
        <v>20.73243662442211</v>
      </c>
      <c r="J1139">
        <v>21.304094203916272</v>
      </c>
      <c r="K1139">
        <v>1493.619720478242</v>
      </c>
      <c r="L1139">
        <v>1</v>
      </c>
      <c r="M1139" t="s">
        <v>66</v>
      </c>
    </row>
    <row r="1140" spans="1:13" x14ac:dyDescent="0.3">
      <c r="A1140" t="s">
        <v>15</v>
      </c>
      <c r="B1140" t="s">
        <v>34</v>
      </c>
      <c r="C1140">
        <v>58.676838921981783</v>
      </c>
      <c r="D1140">
        <v>2.4365467298884571</v>
      </c>
      <c r="E1140">
        <v>3.4209036974119962</v>
      </c>
      <c r="F1140">
        <v>9.3513359749171148</v>
      </c>
      <c r="G1140">
        <v>5.8817426916040549</v>
      </c>
      <c r="H1140">
        <v>33.246520645512227</v>
      </c>
      <c r="I1140">
        <v>17.13720204045217</v>
      </c>
      <c r="J1140">
        <v>18.256672500450229</v>
      </c>
      <c r="K1140">
        <v>2053.5343798611439</v>
      </c>
      <c r="L1140">
        <v>1</v>
      </c>
      <c r="M1140" t="s">
        <v>66</v>
      </c>
    </row>
    <row r="1141" spans="1:13" x14ac:dyDescent="0.3">
      <c r="A1141" t="s">
        <v>25</v>
      </c>
      <c r="B1141" t="s">
        <v>62</v>
      </c>
      <c r="C1141">
        <v>32.480467316026093</v>
      </c>
      <c r="D1141">
        <v>1.2007421865868151</v>
      </c>
      <c r="E1141">
        <v>2.0087072577669929</v>
      </c>
      <c r="F1141">
        <v>4.8202618887502808</v>
      </c>
      <c r="G1141">
        <v>6.0442498550452486</v>
      </c>
      <c r="H1141">
        <v>37.025709426347007</v>
      </c>
      <c r="I1141">
        <v>20.38852078271816</v>
      </c>
      <c r="J1141">
        <v>24.160304810443911</v>
      </c>
      <c r="K1141">
        <v>1077.6373175145891</v>
      </c>
      <c r="L1141">
        <v>0</v>
      </c>
      <c r="M1141" t="s">
        <v>66</v>
      </c>
    </row>
    <row r="1142" spans="1:13" x14ac:dyDescent="0.3">
      <c r="A1142" t="s">
        <v>24</v>
      </c>
      <c r="B1142" t="s">
        <v>57</v>
      </c>
      <c r="C1142">
        <v>11.98644710618467</v>
      </c>
      <c r="D1142">
        <v>0</v>
      </c>
      <c r="E1142">
        <v>0</v>
      </c>
      <c r="F1142">
        <v>1.0563237148438041</v>
      </c>
      <c r="G1142">
        <v>6.4677932605396613</v>
      </c>
      <c r="H1142">
        <v>16.697632904169819</v>
      </c>
      <c r="I1142">
        <v>22.10088926938602</v>
      </c>
      <c r="J1142">
        <v>21.23248537199532</v>
      </c>
      <c r="K1142">
        <v>1570.9880671202541</v>
      </c>
      <c r="L1142">
        <v>1</v>
      </c>
      <c r="M1142" t="s">
        <v>66</v>
      </c>
    </row>
    <row r="1143" spans="1:13" x14ac:dyDescent="0.3">
      <c r="A1143" t="s">
        <v>15</v>
      </c>
      <c r="B1143" t="s">
        <v>32</v>
      </c>
      <c r="C1143">
        <v>7.2835027224366229</v>
      </c>
      <c r="D1143">
        <v>0</v>
      </c>
      <c r="E1143">
        <v>0</v>
      </c>
      <c r="F1143">
        <v>1.105442888223525</v>
      </c>
      <c r="G1143">
        <v>6.4682632566890028</v>
      </c>
      <c r="H1143">
        <v>26.67021168772521</v>
      </c>
      <c r="I1143">
        <v>23.64678554925818</v>
      </c>
      <c r="J1143">
        <v>19.757676663664711</v>
      </c>
      <c r="K1143">
        <v>1595.62783154045</v>
      </c>
      <c r="L1143">
        <v>1</v>
      </c>
      <c r="M1143" t="s">
        <v>66</v>
      </c>
    </row>
    <row r="1144" spans="1:13" x14ac:dyDescent="0.3">
      <c r="A1144" t="s">
        <v>25</v>
      </c>
      <c r="B1144" t="s">
        <v>62</v>
      </c>
      <c r="C1144">
        <v>32.470855237323043</v>
      </c>
      <c r="D1144">
        <v>1.105304817367079</v>
      </c>
      <c r="E1144">
        <v>2.1374579065476942</v>
      </c>
      <c r="F1144">
        <v>4.6557020560258557</v>
      </c>
      <c r="G1144">
        <v>6.5140426620638046</v>
      </c>
      <c r="H1144">
        <v>37.456846923900521</v>
      </c>
      <c r="I1144">
        <v>20.14745143793667</v>
      </c>
      <c r="J1144">
        <v>23.866094362227699</v>
      </c>
      <c r="K1144">
        <v>1089.356783981362</v>
      </c>
      <c r="L1144">
        <v>0</v>
      </c>
      <c r="M1144" t="s">
        <v>66</v>
      </c>
    </row>
    <row r="1145" spans="1:13" x14ac:dyDescent="0.3">
      <c r="A1145" t="s">
        <v>18</v>
      </c>
      <c r="B1145" t="s">
        <v>41</v>
      </c>
      <c r="C1145">
        <v>122.14670169380091</v>
      </c>
      <c r="D1145">
        <v>6.6128110126194564</v>
      </c>
      <c r="E1145">
        <v>7.5005592175101121</v>
      </c>
      <c r="F1145">
        <v>16.821808921049971</v>
      </c>
      <c r="G1145">
        <v>4.3</v>
      </c>
      <c r="H1145">
        <v>55.926381027818387</v>
      </c>
      <c r="I1145">
        <v>20.34630987973631</v>
      </c>
      <c r="J1145">
        <v>21.430913497235739</v>
      </c>
      <c r="K1145">
        <v>1633.723826354852</v>
      </c>
      <c r="L1145">
        <v>1</v>
      </c>
      <c r="M1145" t="s">
        <v>66</v>
      </c>
    </row>
    <row r="1146" spans="1:13" x14ac:dyDescent="0.3">
      <c r="A1146" t="s">
        <v>19</v>
      </c>
      <c r="B1146" t="s">
        <v>44</v>
      </c>
      <c r="C1146">
        <v>40.070246251682953</v>
      </c>
      <c r="D1146">
        <v>1.2170370499487531</v>
      </c>
      <c r="E1146">
        <v>1.941160105290455</v>
      </c>
      <c r="F1146">
        <v>6.3896602979674331</v>
      </c>
      <c r="G1146">
        <v>5.9993914675851379</v>
      </c>
      <c r="H1146">
        <v>24.097493669553511</v>
      </c>
      <c r="I1146">
        <v>20.277965170133669</v>
      </c>
      <c r="J1146">
        <v>19.7225387615666</v>
      </c>
      <c r="K1146">
        <v>2037.5794790020441</v>
      </c>
      <c r="L1146">
        <v>1</v>
      </c>
      <c r="M1146" t="s">
        <v>66</v>
      </c>
    </row>
    <row r="1147" spans="1:13" x14ac:dyDescent="0.3">
      <c r="A1147" t="s">
        <v>19</v>
      </c>
      <c r="B1147" t="s">
        <v>44</v>
      </c>
      <c r="C1147">
        <v>39.177715434307942</v>
      </c>
      <c r="D1147">
        <v>0.98692449282776629</v>
      </c>
      <c r="E1147">
        <v>2.189113741791004</v>
      </c>
      <c r="F1147">
        <v>6.3075881127130913</v>
      </c>
      <c r="G1147">
        <v>5.4757181805184389</v>
      </c>
      <c r="H1147">
        <v>28.877978326016191</v>
      </c>
      <c r="I1147">
        <v>17.527515761469729</v>
      </c>
      <c r="J1147">
        <v>21.313715472100679</v>
      </c>
      <c r="K1147">
        <v>1750.042461679559</v>
      </c>
      <c r="L1147">
        <v>1</v>
      </c>
      <c r="M1147" t="s">
        <v>66</v>
      </c>
    </row>
    <row r="1148" spans="1:13" x14ac:dyDescent="0.3">
      <c r="A1148" t="s">
        <v>22</v>
      </c>
      <c r="B1148" t="s">
        <v>53</v>
      </c>
      <c r="C1148">
        <v>70.542438337101387</v>
      </c>
      <c r="D1148">
        <v>3.009536711447129</v>
      </c>
      <c r="E1148">
        <v>4.8253215322705474</v>
      </c>
      <c r="F1148">
        <v>12.58013316997627</v>
      </c>
      <c r="G1148">
        <v>6.3100744771686834</v>
      </c>
      <c r="H1148">
        <v>34.243085441452408</v>
      </c>
      <c r="I1148">
        <v>28.332455667329281</v>
      </c>
      <c r="J1148">
        <v>21.995083415339039</v>
      </c>
      <c r="K1148">
        <v>1375.68071381046</v>
      </c>
      <c r="L1148">
        <v>1</v>
      </c>
      <c r="M1148" t="s">
        <v>66</v>
      </c>
    </row>
    <row r="1149" spans="1:13" x14ac:dyDescent="0.3">
      <c r="A1149" t="s">
        <v>25</v>
      </c>
      <c r="B1149" t="s">
        <v>62</v>
      </c>
      <c r="C1149">
        <v>92.358837306622078</v>
      </c>
      <c r="D1149">
        <v>4.0844826117762993</v>
      </c>
      <c r="E1149">
        <v>6.3212439862948964</v>
      </c>
      <c r="F1149">
        <v>12.638337870418599</v>
      </c>
      <c r="G1149">
        <v>6.9454194301268437</v>
      </c>
      <c r="H1149">
        <v>14.12353276968066</v>
      </c>
      <c r="I1149">
        <v>31.731478155131299</v>
      </c>
      <c r="J1149">
        <v>31.596686294500572</v>
      </c>
      <c r="K1149">
        <v>49.574048164172147</v>
      </c>
      <c r="L1149">
        <v>-1</v>
      </c>
      <c r="M1149" t="s">
        <v>66</v>
      </c>
    </row>
    <row r="1150" spans="1:13" x14ac:dyDescent="0.3">
      <c r="A1150" t="s">
        <v>19</v>
      </c>
      <c r="B1150" t="s">
        <v>48</v>
      </c>
      <c r="C1150">
        <v>27.94002766635926</v>
      </c>
      <c r="D1150">
        <v>0.98625100859755488</v>
      </c>
      <c r="E1150">
        <v>1.8453466020295479</v>
      </c>
      <c r="F1150">
        <v>6.1263582526365656</v>
      </c>
      <c r="G1150">
        <v>6.0857282060343358</v>
      </c>
      <c r="H1150">
        <v>23.70085368563236</v>
      </c>
      <c r="I1150">
        <v>32.470973492188257</v>
      </c>
      <c r="J1150">
        <v>27.727725114435682</v>
      </c>
      <c r="K1150">
        <v>1168.910095926002</v>
      </c>
      <c r="L1150">
        <v>0</v>
      </c>
      <c r="M1150" t="s">
        <v>66</v>
      </c>
    </row>
    <row r="1151" spans="1:13" x14ac:dyDescent="0.3">
      <c r="A1151" t="s">
        <v>21</v>
      </c>
      <c r="B1151" t="s">
        <v>52</v>
      </c>
      <c r="C1151">
        <v>70.148319820762794</v>
      </c>
      <c r="D1151">
        <v>3.2226120123528781</v>
      </c>
      <c r="E1151">
        <v>4.4462339799752506</v>
      </c>
      <c r="F1151">
        <v>10.700583997918811</v>
      </c>
      <c r="G1151">
        <v>5.8806585840780654</v>
      </c>
      <c r="H1151">
        <v>32.642032592772118</v>
      </c>
      <c r="I1151">
        <v>20.793580007185859</v>
      </c>
      <c r="J1151">
        <v>19.739430191194021</v>
      </c>
      <c r="K1151">
        <v>1551.365577047131</v>
      </c>
      <c r="L1151">
        <v>1</v>
      </c>
      <c r="M1151" t="s">
        <v>66</v>
      </c>
    </row>
    <row r="1152" spans="1:13" x14ac:dyDescent="0.3">
      <c r="A1152" t="s">
        <v>17</v>
      </c>
      <c r="B1152" t="s">
        <v>39</v>
      </c>
      <c r="C1152">
        <v>38.497749151571327</v>
      </c>
      <c r="D1152">
        <v>1.0418609322206951</v>
      </c>
      <c r="E1152">
        <v>1.65814074726927</v>
      </c>
      <c r="F1152">
        <v>5.9242390759895898</v>
      </c>
      <c r="G1152">
        <v>6.3522857966509561</v>
      </c>
      <c r="H1152">
        <v>27.96891012946087</v>
      </c>
      <c r="I1152">
        <v>17.862832198430912</v>
      </c>
      <c r="J1152">
        <v>24.347684167833421</v>
      </c>
      <c r="K1152">
        <v>1446.578657607547</v>
      </c>
      <c r="L1152">
        <v>1</v>
      </c>
      <c r="M1152" t="s">
        <v>66</v>
      </c>
    </row>
    <row r="1153" spans="1:13" x14ac:dyDescent="0.3">
      <c r="A1153" t="s">
        <v>16</v>
      </c>
      <c r="B1153" t="s">
        <v>35</v>
      </c>
      <c r="C1153">
        <v>71.313445030870881</v>
      </c>
      <c r="D1153">
        <v>2.7638832659503492</v>
      </c>
      <c r="E1153">
        <v>4.6927754402443158</v>
      </c>
      <c r="F1153">
        <v>12.363651489673011</v>
      </c>
      <c r="G1153">
        <v>6.2895991435350398</v>
      </c>
      <c r="H1153">
        <v>40.372232953784263</v>
      </c>
      <c r="I1153">
        <v>20.7710116660684</v>
      </c>
      <c r="J1153">
        <v>27.776439793003011</v>
      </c>
      <c r="K1153">
        <v>2121.8090555571698</v>
      </c>
      <c r="L1153">
        <v>1</v>
      </c>
      <c r="M1153" t="s">
        <v>66</v>
      </c>
    </row>
    <row r="1154" spans="1:13" x14ac:dyDescent="0.3">
      <c r="A1154" t="s">
        <v>18</v>
      </c>
      <c r="B1154" t="s">
        <v>40</v>
      </c>
      <c r="C1154">
        <v>25.439974539663051</v>
      </c>
      <c r="D1154">
        <v>0.99621468397992174</v>
      </c>
      <c r="E1154">
        <v>1.043317576097746</v>
      </c>
      <c r="F1154">
        <v>3.2398969555201771</v>
      </c>
      <c r="G1154">
        <v>5.6821123909817262</v>
      </c>
      <c r="H1154">
        <v>24.640145340377011</v>
      </c>
      <c r="I1154">
        <v>20.384035686090389</v>
      </c>
      <c r="J1154">
        <v>20.978619282842779</v>
      </c>
      <c r="K1154">
        <v>1907.5583411902689</v>
      </c>
      <c r="L1154">
        <v>1</v>
      </c>
      <c r="M1154" t="s">
        <v>66</v>
      </c>
    </row>
    <row r="1155" spans="1:13" x14ac:dyDescent="0.3">
      <c r="A1155" t="s">
        <v>16</v>
      </c>
      <c r="B1155" t="s">
        <v>36</v>
      </c>
      <c r="C1155">
        <v>16.33293101112837</v>
      </c>
      <c r="D1155">
        <v>0</v>
      </c>
      <c r="E1155">
        <v>0.97220210598872825</v>
      </c>
      <c r="F1155">
        <v>2.130533081548847</v>
      </c>
      <c r="G1155">
        <v>5.5943124079398396</v>
      </c>
      <c r="H1155">
        <v>26.349852688370341</v>
      </c>
      <c r="I1155">
        <v>23.310033600493291</v>
      </c>
      <c r="J1155">
        <v>28.16682826758765</v>
      </c>
      <c r="K1155">
        <v>1976.2697339958249</v>
      </c>
      <c r="L1155">
        <v>1</v>
      </c>
      <c r="M1155" t="s">
        <v>66</v>
      </c>
    </row>
    <row r="1156" spans="1:13" x14ac:dyDescent="0.3">
      <c r="A1156" t="s">
        <v>19</v>
      </c>
      <c r="B1156" t="s">
        <v>44</v>
      </c>
      <c r="C1156">
        <v>21.206936169695499</v>
      </c>
      <c r="D1156">
        <v>0.89338625246649706</v>
      </c>
      <c r="E1156">
        <v>1.0136255338698981</v>
      </c>
      <c r="F1156">
        <v>2.9621521434051701</v>
      </c>
      <c r="G1156">
        <v>5.8307417806125592</v>
      </c>
      <c r="H1156">
        <v>19.487006077757361</v>
      </c>
      <c r="I1156">
        <v>19.91743234114784</v>
      </c>
      <c r="J1156">
        <v>18.87279858643728</v>
      </c>
      <c r="K1156">
        <v>1990.9717227129779</v>
      </c>
      <c r="L1156">
        <v>1</v>
      </c>
      <c r="M1156" t="s">
        <v>66</v>
      </c>
    </row>
    <row r="1157" spans="1:13" x14ac:dyDescent="0.3">
      <c r="A1157" t="s">
        <v>24</v>
      </c>
      <c r="B1157" t="s">
        <v>61</v>
      </c>
      <c r="C1157">
        <v>744.49221078299649</v>
      </c>
      <c r="D1157">
        <v>34.942866465594967</v>
      </c>
      <c r="E1157">
        <v>44.459439340088508</v>
      </c>
      <c r="F1157">
        <v>118.3414457048591</v>
      </c>
      <c r="G1157">
        <v>5.891579448907506</v>
      </c>
      <c r="H1157">
        <v>72.576720927510735</v>
      </c>
      <c r="I1157">
        <v>30.800635153890742</v>
      </c>
      <c r="J1157">
        <v>30.142857315290669</v>
      </c>
      <c r="K1157">
        <v>11.15389998523688</v>
      </c>
      <c r="L1157">
        <v>-1</v>
      </c>
      <c r="M1157" t="s">
        <v>66</v>
      </c>
    </row>
    <row r="1158" spans="1:13" x14ac:dyDescent="0.3">
      <c r="A1158" t="s">
        <v>15</v>
      </c>
      <c r="B1158" t="s">
        <v>33</v>
      </c>
      <c r="C1158">
        <v>81.349844164213508</v>
      </c>
      <c r="D1158">
        <v>2.5870654647656268</v>
      </c>
      <c r="E1158">
        <v>5.1063077996974524</v>
      </c>
      <c r="F1158">
        <v>10.693651599910551</v>
      </c>
      <c r="G1158">
        <v>5.540182116138932</v>
      </c>
      <c r="H1158">
        <v>32.275308318006651</v>
      </c>
      <c r="I1158">
        <v>17.168176214259201</v>
      </c>
      <c r="J1158">
        <v>17.814035453615158</v>
      </c>
      <c r="K1158">
        <v>1884.2766789809859</v>
      </c>
      <c r="L1158">
        <v>1</v>
      </c>
      <c r="M1158" t="s">
        <v>66</v>
      </c>
    </row>
    <row r="1159" spans="1:13" x14ac:dyDescent="0.3">
      <c r="A1159" t="s">
        <v>19</v>
      </c>
      <c r="B1159" t="s">
        <v>44</v>
      </c>
      <c r="C1159">
        <v>47.053119434012388</v>
      </c>
      <c r="D1159">
        <v>2.1232280849200129</v>
      </c>
      <c r="E1159">
        <v>2.9389249627061278</v>
      </c>
      <c r="F1159">
        <v>7.2260008094878314</v>
      </c>
      <c r="G1159">
        <v>6.3069216399276051</v>
      </c>
      <c r="H1159">
        <v>25.111518455590179</v>
      </c>
      <c r="I1159">
        <v>19.593836125311139</v>
      </c>
      <c r="J1159">
        <v>30.45470835527389</v>
      </c>
      <c r="K1159">
        <v>2257</v>
      </c>
      <c r="L1159">
        <v>1</v>
      </c>
      <c r="M1159" t="s">
        <v>66</v>
      </c>
    </row>
    <row r="1160" spans="1:13" x14ac:dyDescent="0.3">
      <c r="A1160" t="s">
        <v>20</v>
      </c>
      <c r="B1160" t="s">
        <v>50</v>
      </c>
      <c r="C1160">
        <v>52.223770800844292</v>
      </c>
      <c r="D1160">
        <v>1.6974641555311569</v>
      </c>
      <c r="E1160">
        <v>3.2557606580005718</v>
      </c>
      <c r="F1160">
        <v>7.0437464548674811</v>
      </c>
      <c r="G1160">
        <v>6.4787563100553758</v>
      </c>
      <c r="H1160">
        <v>20.286119870783949</v>
      </c>
      <c r="I1160">
        <v>22.681074147387061</v>
      </c>
      <c r="J1160">
        <v>21.29347588067445</v>
      </c>
      <c r="K1160">
        <v>1737.7982744584849</v>
      </c>
      <c r="L1160">
        <v>1</v>
      </c>
      <c r="M1160" t="s">
        <v>66</v>
      </c>
    </row>
    <row r="1161" spans="1:13" x14ac:dyDescent="0.3">
      <c r="A1161" t="s">
        <v>17</v>
      </c>
      <c r="B1161" t="s">
        <v>39</v>
      </c>
      <c r="C1161">
        <v>26.132790845110492</v>
      </c>
      <c r="D1161">
        <v>1.0817643033464299</v>
      </c>
      <c r="E1161">
        <v>0.90040670802750977</v>
      </c>
      <c r="F1161">
        <v>4.6916788358090518</v>
      </c>
      <c r="G1161">
        <v>5.8671244501843214</v>
      </c>
      <c r="H1161">
        <v>19.762317653792241</v>
      </c>
      <c r="I1161">
        <v>20.108522461961861</v>
      </c>
      <c r="J1161">
        <v>26.45538869423746</v>
      </c>
      <c r="K1161">
        <v>2090.3577868211441</v>
      </c>
      <c r="L1161">
        <v>1</v>
      </c>
      <c r="M1161" t="s">
        <v>66</v>
      </c>
    </row>
    <row r="1162" spans="1:13" x14ac:dyDescent="0.3">
      <c r="A1162" t="s">
        <v>23</v>
      </c>
      <c r="B1162" t="s">
        <v>56</v>
      </c>
      <c r="C1162">
        <v>87.203550783290012</v>
      </c>
      <c r="D1162">
        <v>3.1973276809768101</v>
      </c>
      <c r="E1162">
        <v>4.9217993704879488</v>
      </c>
      <c r="F1162">
        <v>12.84716637707252</v>
      </c>
      <c r="G1162">
        <v>6.1488349143014238</v>
      </c>
      <c r="H1162">
        <v>20.853684203019391</v>
      </c>
      <c r="I1162">
        <v>21.204980322131789</v>
      </c>
      <c r="J1162">
        <v>18.304585826347981</v>
      </c>
      <c r="K1162">
        <v>1638.0722965557541</v>
      </c>
      <c r="L1162">
        <v>1</v>
      </c>
      <c r="M1162" t="s">
        <v>66</v>
      </c>
    </row>
    <row r="1163" spans="1:13" x14ac:dyDescent="0.3">
      <c r="A1163" t="s">
        <v>16</v>
      </c>
      <c r="B1163" t="s">
        <v>35</v>
      </c>
      <c r="C1163">
        <v>78.084625129277086</v>
      </c>
      <c r="D1163">
        <v>3.23631939529418</v>
      </c>
      <c r="E1163">
        <v>6.0429340273099168</v>
      </c>
      <c r="F1163">
        <v>9.5158920132569378</v>
      </c>
      <c r="G1163">
        <v>5.6835104902551024</v>
      </c>
      <c r="H1163">
        <v>30.699459599562271</v>
      </c>
      <c r="I1163">
        <v>18.404542169554009</v>
      </c>
      <c r="J1163">
        <v>28.76971607170324</v>
      </c>
      <c r="K1163">
        <v>1623.9644643287329</v>
      </c>
      <c r="L1163">
        <v>1</v>
      </c>
      <c r="M1163" t="s">
        <v>66</v>
      </c>
    </row>
    <row r="1164" spans="1:13" x14ac:dyDescent="0.3">
      <c r="A1164" t="s">
        <v>18</v>
      </c>
      <c r="B1164" t="s">
        <v>41</v>
      </c>
      <c r="C1164">
        <v>123.3399238216151</v>
      </c>
      <c r="D1164">
        <v>5.7943306881565686</v>
      </c>
      <c r="E1164">
        <v>8.2566194292015069</v>
      </c>
      <c r="F1164">
        <v>18.7612177250342</v>
      </c>
      <c r="G1164">
        <v>4.3959868177534203</v>
      </c>
      <c r="H1164">
        <v>60.07032967066344</v>
      </c>
      <c r="I1164">
        <v>19.363356243652351</v>
      </c>
      <c r="J1164">
        <v>20.590808225238838</v>
      </c>
      <c r="K1164">
        <v>1683.5310573839311</v>
      </c>
      <c r="L1164">
        <v>1</v>
      </c>
      <c r="M1164" t="s">
        <v>66</v>
      </c>
    </row>
    <row r="1165" spans="1:13" x14ac:dyDescent="0.3">
      <c r="A1165" t="s">
        <v>19</v>
      </c>
      <c r="B1165" t="s">
        <v>47</v>
      </c>
      <c r="C1165">
        <v>71.236830906769995</v>
      </c>
      <c r="D1165">
        <v>3.2035300697306441</v>
      </c>
      <c r="E1165">
        <v>5.1701442439664813</v>
      </c>
      <c r="F1165">
        <v>13.130655178119129</v>
      </c>
      <c r="G1165">
        <v>6.4157755119455953</v>
      </c>
      <c r="H1165">
        <v>14.527869083439761</v>
      </c>
      <c r="I1165">
        <v>26.38388699228673</v>
      </c>
      <c r="J1165">
        <v>24.731725577471281</v>
      </c>
      <c r="K1165">
        <v>689.73150306278092</v>
      </c>
      <c r="L1165">
        <v>1</v>
      </c>
      <c r="M1165" t="s">
        <v>66</v>
      </c>
    </row>
    <row r="1166" spans="1:13" x14ac:dyDescent="0.3">
      <c r="A1166" t="s">
        <v>18</v>
      </c>
      <c r="B1166" t="s">
        <v>40</v>
      </c>
      <c r="C1166">
        <v>128.96683460846529</v>
      </c>
      <c r="D1166">
        <v>6.2263378745468492</v>
      </c>
      <c r="E1166">
        <v>10.271356571106869</v>
      </c>
      <c r="F1166">
        <v>16.70456790256684</v>
      </c>
      <c r="G1166">
        <v>4.8255807707894469</v>
      </c>
      <c r="H1166">
        <v>52.049300834588209</v>
      </c>
      <c r="I1166">
        <v>19.96861641782149</v>
      </c>
      <c r="J1166">
        <v>21.806840233456619</v>
      </c>
      <c r="K1166">
        <v>1688.0865519372501</v>
      </c>
      <c r="L1166">
        <v>1</v>
      </c>
      <c r="M1166" t="s">
        <v>66</v>
      </c>
    </row>
    <row r="1167" spans="1:13" x14ac:dyDescent="0.3">
      <c r="A1167" t="s">
        <v>20</v>
      </c>
      <c r="B1167" t="s">
        <v>51</v>
      </c>
      <c r="C1167">
        <v>23.082492918202231</v>
      </c>
      <c r="D1167">
        <v>1.031443624589957</v>
      </c>
      <c r="E1167">
        <v>0.8945418243129506</v>
      </c>
      <c r="F1167">
        <v>3.774015420651351</v>
      </c>
      <c r="G1167">
        <v>5.9689797539272087</v>
      </c>
      <c r="H1167">
        <v>42.367351976871362</v>
      </c>
      <c r="I1167">
        <v>23.507252689127839</v>
      </c>
      <c r="J1167">
        <v>21.017584312169731</v>
      </c>
      <c r="K1167">
        <v>1608.6295303291481</v>
      </c>
      <c r="L1167">
        <v>1</v>
      </c>
      <c r="M1167" t="s">
        <v>66</v>
      </c>
    </row>
    <row r="1168" spans="1:13" x14ac:dyDescent="0.3">
      <c r="A1168" t="s">
        <v>24</v>
      </c>
      <c r="B1168" t="s">
        <v>58</v>
      </c>
      <c r="C1168">
        <v>28.315938201458341</v>
      </c>
      <c r="D1168">
        <v>0.94840620731875003</v>
      </c>
      <c r="E1168">
        <v>1.80917659930694</v>
      </c>
      <c r="F1168">
        <v>3.87148125711456</v>
      </c>
      <c r="G1168">
        <v>6.278839456161843</v>
      </c>
      <c r="H1168">
        <v>42.845016285419511</v>
      </c>
      <c r="I1168">
        <v>24.54901211851255</v>
      </c>
      <c r="J1168">
        <v>23.993009281331961</v>
      </c>
      <c r="K1168">
        <v>740.55913452717539</v>
      </c>
      <c r="L1168">
        <v>0</v>
      </c>
      <c r="M1168" t="s">
        <v>66</v>
      </c>
    </row>
    <row r="1169" spans="1:13" x14ac:dyDescent="0.3">
      <c r="A1169" t="s">
        <v>24</v>
      </c>
      <c r="B1169" t="s">
        <v>58</v>
      </c>
      <c r="C1169">
        <v>35.027924988709501</v>
      </c>
      <c r="D1169">
        <v>0.87321307250583269</v>
      </c>
      <c r="E1169">
        <v>1.691182886624047</v>
      </c>
      <c r="F1169">
        <v>4.5400772014545474</v>
      </c>
      <c r="G1169">
        <v>6.8763867542530432</v>
      </c>
      <c r="H1169">
        <v>57.367788759820179</v>
      </c>
      <c r="I1169">
        <v>24.427833953224731</v>
      </c>
      <c r="J1169">
        <v>23.54377407637292</v>
      </c>
      <c r="K1169">
        <v>714.96170953302237</v>
      </c>
      <c r="L1169">
        <v>0</v>
      </c>
      <c r="M1169" t="s">
        <v>66</v>
      </c>
    </row>
    <row r="1170" spans="1:13" x14ac:dyDescent="0.3">
      <c r="A1170" t="s">
        <v>20</v>
      </c>
      <c r="B1170" t="s">
        <v>50</v>
      </c>
      <c r="C1170">
        <v>47.380510282098122</v>
      </c>
      <c r="D1170">
        <v>1.9884055135173819</v>
      </c>
      <c r="E1170">
        <v>2.9676461292541378</v>
      </c>
      <c r="F1170">
        <v>7.7743665865963667</v>
      </c>
      <c r="G1170">
        <v>6.7090138270998914</v>
      </c>
      <c r="H1170">
        <v>20.78703095651473</v>
      </c>
      <c r="I1170">
        <v>24.173183786090728</v>
      </c>
      <c r="J1170">
        <v>20.080552112720049</v>
      </c>
      <c r="K1170">
        <v>1668.46548152384</v>
      </c>
      <c r="L1170">
        <v>1</v>
      </c>
      <c r="M1170" t="s">
        <v>66</v>
      </c>
    </row>
    <row r="1171" spans="1:13" x14ac:dyDescent="0.3">
      <c r="A1171" t="s">
        <v>20</v>
      </c>
      <c r="B1171" t="s">
        <v>51</v>
      </c>
      <c r="C1171">
        <v>253.43429028321711</v>
      </c>
      <c r="D1171">
        <v>11.993503745847301</v>
      </c>
      <c r="E1171">
        <v>18.231094248758389</v>
      </c>
      <c r="F1171">
        <v>39.074319310445269</v>
      </c>
      <c r="G1171">
        <v>5.2553707882234111</v>
      </c>
      <c r="H1171">
        <v>30.397062993265251</v>
      </c>
      <c r="I1171">
        <v>20.76088705909617</v>
      </c>
      <c r="J1171">
        <v>18.425027098868259</v>
      </c>
      <c r="K1171">
        <v>1545.0360627800769</v>
      </c>
      <c r="L1171">
        <v>1</v>
      </c>
      <c r="M1171" t="s">
        <v>66</v>
      </c>
    </row>
    <row r="1172" spans="1:13" x14ac:dyDescent="0.3">
      <c r="A1172" t="s">
        <v>20</v>
      </c>
      <c r="B1172" t="s">
        <v>50</v>
      </c>
      <c r="C1172">
        <v>51.518153203364257</v>
      </c>
      <c r="D1172">
        <v>1.939070287750702</v>
      </c>
      <c r="E1172">
        <v>2.9295024681926298</v>
      </c>
      <c r="F1172">
        <v>6.6500003427644732</v>
      </c>
      <c r="G1172">
        <v>6.4964825925631473</v>
      </c>
      <c r="H1172">
        <v>21.911292496374031</v>
      </c>
      <c r="I1172">
        <v>23.355292057275101</v>
      </c>
      <c r="J1172">
        <v>21.50425723227923</v>
      </c>
      <c r="K1172">
        <v>1766.5675829320001</v>
      </c>
      <c r="L1172">
        <v>1</v>
      </c>
      <c r="M1172" t="s">
        <v>66</v>
      </c>
    </row>
    <row r="1173" spans="1:13" x14ac:dyDescent="0.3">
      <c r="A1173" t="s">
        <v>18</v>
      </c>
      <c r="B1173" t="s">
        <v>41</v>
      </c>
      <c r="C1173">
        <v>11.879768263948391</v>
      </c>
      <c r="D1173">
        <v>0</v>
      </c>
      <c r="E1173">
        <v>0</v>
      </c>
      <c r="F1173">
        <v>0.93640545900677807</v>
      </c>
      <c r="G1173">
        <v>6.0051686928322132</v>
      </c>
      <c r="H1173">
        <v>19.312773828348909</v>
      </c>
      <c r="I1173">
        <v>19.741715672234719</v>
      </c>
      <c r="J1173">
        <v>18.75334687025515</v>
      </c>
      <c r="K1173">
        <v>1825.739524680753</v>
      </c>
      <c r="L1173">
        <v>1</v>
      </c>
      <c r="M1173" t="s">
        <v>66</v>
      </c>
    </row>
    <row r="1174" spans="1:13" x14ac:dyDescent="0.3">
      <c r="A1174" t="s">
        <v>20</v>
      </c>
      <c r="B1174" t="s">
        <v>49</v>
      </c>
      <c r="C1174">
        <v>46.624749740891673</v>
      </c>
      <c r="D1174">
        <v>1.9442560311975079</v>
      </c>
      <c r="E1174">
        <v>2.7934878265561469</v>
      </c>
      <c r="F1174">
        <v>6.9522076675896454</v>
      </c>
      <c r="G1174">
        <v>5.4756367044398901</v>
      </c>
      <c r="H1174">
        <v>20.14143510400265</v>
      </c>
      <c r="I1174">
        <v>32.85799821289342</v>
      </c>
      <c r="J1174">
        <v>25.18359740040567</v>
      </c>
      <c r="K1174">
        <v>1116.235946540967</v>
      </c>
      <c r="L1174">
        <v>0</v>
      </c>
      <c r="M1174" t="s">
        <v>66</v>
      </c>
    </row>
    <row r="1175" spans="1:13" x14ac:dyDescent="0.3">
      <c r="A1175" t="s">
        <v>19</v>
      </c>
      <c r="B1175" t="s">
        <v>44</v>
      </c>
      <c r="C1175">
        <v>40.021443005936113</v>
      </c>
      <c r="D1175">
        <v>1.1905132036272761</v>
      </c>
      <c r="E1175">
        <v>1.8810433286302339</v>
      </c>
      <c r="F1175">
        <v>6.7024613900942853</v>
      </c>
      <c r="G1175">
        <v>5.9552445283256858</v>
      </c>
      <c r="H1175">
        <v>24.684724758213079</v>
      </c>
      <c r="I1175">
        <v>19.61290740249564</v>
      </c>
      <c r="J1175">
        <v>19.270968681318401</v>
      </c>
      <c r="K1175">
        <v>1919.234978840022</v>
      </c>
      <c r="L1175">
        <v>1</v>
      </c>
      <c r="M1175" t="s">
        <v>66</v>
      </c>
    </row>
    <row r="1176" spans="1:13" x14ac:dyDescent="0.3">
      <c r="A1176" t="s">
        <v>22</v>
      </c>
      <c r="B1176" t="s">
        <v>55</v>
      </c>
      <c r="C1176">
        <v>6.2396892823500707</v>
      </c>
      <c r="D1176">
        <v>0</v>
      </c>
      <c r="E1176">
        <v>0</v>
      </c>
      <c r="F1176">
        <v>0.96168351460858048</v>
      </c>
      <c r="G1176">
        <v>6.1764766976178631</v>
      </c>
      <c r="H1176">
        <v>22.462521320762349</v>
      </c>
      <c r="I1176">
        <v>19.338457814323991</v>
      </c>
      <c r="J1176">
        <v>16.488435131814349</v>
      </c>
      <c r="K1176">
        <v>1727.3852356951129</v>
      </c>
      <c r="L1176">
        <v>1</v>
      </c>
      <c r="M1176" t="s">
        <v>66</v>
      </c>
    </row>
    <row r="1177" spans="1:13" x14ac:dyDescent="0.3">
      <c r="A1177" t="s">
        <v>21</v>
      </c>
      <c r="B1177" t="s">
        <v>52</v>
      </c>
      <c r="C1177">
        <v>52.692696762229147</v>
      </c>
      <c r="D1177">
        <v>1.775273672634631</v>
      </c>
      <c r="E1177">
        <v>3.0525155454499369</v>
      </c>
      <c r="F1177">
        <v>8.0822909468433117</v>
      </c>
      <c r="G1177">
        <v>6.4718348823233098</v>
      </c>
      <c r="H1177">
        <v>33.257724373273859</v>
      </c>
      <c r="I1177">
        <v>22.19344901848816</v>
      </c>
      <c r="J1177">
        <v>19.6791450301838</v>
      </c>
      <c r="K1177">
        <v>1272.546458512202</v>
      </c>
      <c r="L1177">
        <v>1</v>
      </c>
      <c r="M1177" t="s">
        <v>66</v>
      </c>
    </row>
    <row r="1178" spans="1:13" x14ac:dyDescent="0.3">
      <c r="A1178" t="s">
        <v>17</v>
      </c>
      <c r="B1178" t="s">
        <v>39</v>
      </c>
      <c r="C1178">
        <v>16.282038771149232</v>
      </c>
      <c r="D1178">
        <v>0</v>
      </c>
      <c r="E1178">
        <v>1.089729659730803</v>
      </c>
      <c r="F1178">
        <v>2.087907881748452</v>
      </c>
      <c r="G1178">
        <v>5.426620587496326</v>
      </c>
      <c r="H1178">
        <v>24.21302825239589</v>
      </c>
      <c r="I1178">
        <v>20.044836546463689</v>
      </c>
      <c r="J1178">
        <v>27.208741195327651</v>
      </c>
      <c r="K1178">
        <v>2139.356086156623</v>
      </c>
      <c r="L1178">
        <v>1</v>
      </c>
      <c r="M1178" t="s">
        <v>66</v>
      </c>
    </row>
    <row r="1179" spans="1:13" x14ac:dyDescent="0.3">
      <c r="A1179" t="s">
        <v>19</v>
      </c>
      <c r="B1179" t="s">
        <v>44</v>
      </c>
      <c r="C1179">
        <v>12.81279587864803</v>
      </c>
      <c r="D1179">
        <v>0</v>
      </c>
      <c r="E1179">
        <v>0</v>
      </c>
      <c r="F1179">
        <v>0.99064889038393922</v>
      </c>
      <c r="G1179">
        <v>6.4303140758542634</v>
      </c>
      <c r="H1179">
        <v>25.71997128177518</v>
      </c>
      <c r="I1179">
        <v>19.44858387251724</v>
      </c>
      <c r="J1179">
        <v>30.3870305606521</v>
      </c>
      <c r="K1179">
        <v>2181.712944232012</v>
      </c>
      <c r="L1179">
        <v>1</v>
      </c>
      <c r="M1179" t="s">
        <v>66</v>
      </c>
    </row>
    <row r="1180" spans="1:13" x14ac:dyDescent="0.3">
      <c r="A1180" t="s">
        <v>22</v>
      </c>
      <c r="B1180" t="s">
        <v>53</v>
      </c>
      <c r="C1180">
        <v>71.261517895102756</v>
      </c>
      <c r="D1180">
        <v>2.72133124205723</v>
      </c>
      <c r="E1180">
        <v>4.4467964989074229</v>
      </c>
      <c r="F1180">
        <v>12.66936251818638</v>
      </c>
      <c r="G1180">
        <v>6.0961119612480541</v>
      </c>
      <c r="H1180">
        <v>46.320844362097823</v>
      </c>
      <c r="I1180">
        <v>24.772562219971341</v>
      </c>
      <c r="J1180">
        <v>24.137063738419691</v>
      </c>
      <c r="K1180">
        <v>1457.781388792409</v>
      </c>
      <c r="L1180">
        <v>1</v>
      </c>
      <c r="M1180" t="s">
        <v>66</v>
      </c>
    </row>
    <row r="1181" spans="1:13" x14ac:dyDescent="0.3">
      <c r="A1181" t="s">
        <v>20</v>
      </c>
      <c r="B1181" t="s">
        <v>50</v>
      </c>
      <c r="C1181">
        <v>22.840593831452939</v>
      </c>
      <c r="D1181">
        <v>0.8799517015736833</v>
      </c>
      <c r="E1181">
        <v>0.97391499724200781</v>
      </c>
      <c r="F1181">
        <v>3.1254751784218162</v>
      </c>
      <c r="G1181">
        <v>6.0399416100299073</v>
      </c>
      <c r="H1181">
        <v>38.586649635067737</v>
      </c>
      <c r="I1181">
        <v>22.35794650385013</v>
      </c>
      <c r="J1181">
        <v>21.576266464124391</v>
      </c>
      <c r="K1181">
        <v>1593.1585564267359</v>
      </c>
      <c r="L1181">
        <v>1</v>
      </c>
      <c r="M1181" t="s">
        <v>66</v>
      </c>
    </row>
    <row r="1182" spans="1:13" x14ac:dyDescent="0.3">
      <c r="A1182" t="s">
        <v>19</v>
      </c>
      <c r="B1182" t="s">
        <v>47</v>
      </c>
      <c r="C1182">
        <v>10.84214623190196</v>
      </c>
      <c r="D1182">
        <v>4.4156552996879368</v>
      </c>
      <c r="E1182">
        <v>7.6609482085114031</v>
      </c>
      <c r="F1182">
        <v>16.280347635424729</v>
      </c>
      <c r="G1182">
        <v>6.232105510577763</v>
      </c>
      <c r="H1182">
        <v>27.903650520902449</v>
      </c>
      <c r="I1182">
        <v>24.419944694217431</v>
      </c>
      <c r="J1182">
        <v>24.362021392206131</v>
      </c>
      <c r="K1182">
        <v>681.56289909946486</v>
      </c>
      <c r="L1182">
        <v>1</v>
      </c>
      <c r="M1182" t="s">
        <v>66</v>
      </c>
    </row>
    <row r="1183" spans="1:13" x14ac:dyDescent="0.3">
      <c r="A1183" t="s">
        <v>16</v>
      </c>
      <c r="B1183" t="s">
        <v>37</v>
      </c>
      <c r="C1183">
        <v>5.124342710851721</v>
      </c>
      <c r="D1183">
        <v>0</v>
      </c>
      <c r="E1183">
        <v>0</v>
      </c>
      <c r="F1183">
        <v>-1.7763568394002501E-15</v>
      </c>
      <c r="G1183">
        <v>6.2973389870714822</v>
      </c>
      <c r="H1183">
        <v>21.59152953019024</v>
      </c>
      <c r="I1183">
        <v>17.026669532017038</v>
      </c>
      <c r="J1183">
        <v>21.87925957058297</v>
      </c>
      <c r="K1183">
        <v>1516.6740184859609</v>
      </c>
      <c r="L1183">
        <v>1</v>
      </c>
      <c r="M1183" t="s">
        <v>66</v>
      </c>
    </row>
    <row r="1184" spans="1:13" x14ac:dyDescent="0.3">
      <c r="A1184" t="s">
        <v>21</v>
      </c>
      <c r="B1184" t="s">
        <v>52</v>
      </c>
      <c r="C1184">
        <v>20.690557759215761</v>
      </c>
      <c r="D1184">
        <v>0.99951303279939641</v>
      </c>
      <c r="E1184">
        <v>0.82561093932600915</v>
      </c>
      <c r="F1184">
        <v>3.135469635474319</v>
      </c>
      <c r="G1184">
        <v>6.3494283796124176</v>
      </c>
      <c r="H1184">
        <v>50.692506145542467</v>
      </c>
      <c r="I1184">
        <v>22.182851031645122</v>
      </c>
      <c r="J1184">
        <v>21.439231531157549</v>
      </c>
      <c r="K1184">
        <v>1266.9368055176819</v>
      </c>
      <c r="L1184">
        <v>1</v>
      </c>
      <c r="M1184" t="s">
        <v>66</v>
      </c>
    </row>
    <row r="1185" spans="1:13" x14ac:dyDescent="0.3">
      <c r="A1185" t="s">
        <v>24</v>
      </c>
      <c r="B1185" t="s">
        <v>57</v>
      </c>
      <c r="C1185">
        <v>64.941001159408586</v>
      </c>
      <c r="D1185">
        <v>2.6486532122705859</v>
      </c>
      <c r="E1185">
        <v>3.8600002868768288</v>
      </c>
      <c r="F1185">
        <v>10.93179473762746</v>
      </c>
      <c r="G1185">
        <v>6.1211894073227144</v>
      </c>
      <c r="H1185">
        <v>19.078501597554052</v>
      </c>
      <c r="I1185">
        <v>23.642971813170622</v>
      </c>
      <c r="J1185">
        <v>21.040690812785741</v>
      </c>
      <c r="K1185">
        <v>1553.022647088849</v>
      </c>
      <c r="L1185">
        <v>1</v>
      </c>
      <c r="M1185" t="s">
        <v>66</v>
      </c>
    </row>
    <row r="1186" spans="1:13" x14ac:dyDescent="0.3">
      <c r="A1186" t="s">
        <v>18</v>
      </c>
      <c r="B1186" t="s">
        <v>42</v>
      </c>
      <c r="C1186">
        <v>46.788050485400369</v>
      </c>
      <c r="D1186">
        <v>2.1303794712241051</v>
      </c>
      <c r="E1186">
        <v>2.736741295005463</v>
      </c>
      <c r="F1186">
        <v>6.5548488628500543</v>
      </c>
      <c r="G1186">
        <v>5.6204653539080578</v>
      </c>
      <c r="H1186">
        <v>19.689746415715501</v>
      </c>
      <c r="I1186">
        <v>24.028771133574061</v>
      </c>
      <c r="J1186">
        <v>26.673584548125529</v>
      </c>
      <c r="K1186">
        <v>1629.9253210605541</v>
      </c>
      <c r="L1186">
        <v>1</v>
      </c>
      <c r="M1186" t="s">
        <v>66</v>
      </c>
    </row>
    <row r="1187" spans="1:13" x14ac:dyDescent="0.3">
      <c r="A1187" t="s">
        <v>16</v>
      </c>
      <c r="B1187" t="s">
        <v>36</v>
      </c>
      <c r="C1187">
        <v>21.401776221553551</v>
      </c>
      <c r="D1187">
        <v>0.87119557689914462</v>
      </c>
      <c r="E1187">
        <v>1.2090208643948701</v>
      </c>
      <c r="F1187">
        <v>3.0665904353349092</v>
      </c>
      <c r="G1187">
        <v>6.4427801843674484</v>
      </c>
      <c r="H1187">
        <v>25.505029631162291</v>
      </c>
      <c r="I1187">
        <v>23.65514375014687</v>
      </c>
      <c r="J1187">
        <v>22.548688092268431</v>
      </c>
      <c r="K1187">
        <v>1741.521803171453</v>
      </c>
      <c r="L1187">
        <v>1</v>
      </c>
      <c r="M1187" t="s">
        <v>66</v>
      </c>
    </row>
    <row r="1188" spans="1:13" x14ac:dyDescent="0.3">
      <c r="A1188" t="s">
        <v>17</v>
      </c>
      <c r="B1188" t="s">
        <v>39</v>
      </c>
      <c r="C1188">
        <v>18.823051575187019</v>
      </c>
      <c r="D1188">
        <v>0</v>
      </c>
      <c r="E1188">
        <v>0.95139806187858422</v>
      </c>
      <c r="F1188">
        <v>2.7807908642694201</v>
      </c>
      <c r="G1188">
        <v>5.6336312379654556</v>
      </c>
      <c r="H1188">
        <v>25.855063133961419</v>
      </c>
      <c r="I1188">
        <v>19.677790867966149</v>
      </c>
      <c r="J1188">
        <v>22.566185871652891</v>
      </c>
      <c r="K1188">
        <v>2061.5422524902069</v>
      </c>
      <c r="L1188">
        <v>1</v>
      </c>
      <c r="M1188" t="s">
        <v>66</v>
      </c>
    </row>
    <row r="1189" spans="1:13" x14ac:dyDescent="0.3">
      <c r="A1189" t="s">
        <v>17</v>
      </c>
      <c r="B1189" t="s">
        <v>39</v>
      </c>
      <c r="C1189">
        <v>13.0822522057437</v>
      </c>
      <c r="D1189">
        <v>0</v>
      </c>
      <c r="E1189">
        <v>0</v>
      </c>
      <c r="F1189">
        <v>2.1531577927587668</v>
      </c>
      <c r="G1189">
        <v>5.1520069769492709</v>
      </c>
      <c r="H1189">
        <v>28.2161558296722</v>
      </c>
      <c r="I1189">
        <v>19.618986446060319</v>
      </c>
      <c r="J1189">
        <v>20.93291880704902</v>
      </c>
      <c r="K1189">
        <v>2062.5519046165759</v>
      </c>
      <c r="L1189">
        <v>1</v>
      </c>
      <c r="M1189" t="s">
        <v>66</v>
      </c>
    </row>
    <row r="1190" spans="1:13" x14ac:dyDescent="0.3">
      <c r="A1190" t="s">
        <v>15</v>
      </c>
      <c r="B1190" t="s">
        <v>33</v>
      </c>
      <c r="C1190">
        <v>82.545375700805565</v>
      </c>
      <c r="D1190">
        <v>2.7146636104196089</v>
      </c>
      <c r="E1190">
        <v>5.5694655013847187</v>
      </c>
      <c r="F1190">
        <v>12.0020148212022</v>
      </c>
      <c r="G1190">
        <v>5.4885940414076719</v>
      </c>
      <c r="H1190">
        <v>33.420757590489153</v>
      </c>
      <c r="I1190">
        <v>17.0569131348498</v>
      </c>
      <c r="J1190">
        <v>18.273519201704421</v>
      </c>
      <c r="K1190">
        <v>1890.4403570131301</v>
      </c>
      <c r="L1190">
        <v>1</v>
      </c>
      <c r="M1190" t="s">
        <v>66</v>
      </c>
    </row>
    <row r="1191" spans="1:13" x14ac:dyDescent="0.3">
      <c r="A1191" t="s">
        <v>24</v>
      </c>
      <c r="B1191" t="s">
        <v>61</v>
      </c>
      <c r="C1191">
        <v>340.6141115663861</v>
      </c>
      <c r="D1191">
        <v>17.473579219060429</v>
      </c>
      <c r="E1191">
        <v>24.760605102327059</v>
      </c>
      <c r="F1191">
        <v>52.866743811965357</v>
      </c>
      <c r="G1191">
        <v>4.3254486468105364</v>
      </c>
      <c r="H1191">
        <v>60.950713961874733</v>
      </c>
      <c r="I1191">
        <v>29.30917838001335</v>
      </c>
      <c r="J1191">
        <v>31.1434812914421</v>
      </c>
      <c r="K1191">
        <v>13.934007321159701</v>
      </c>
      <c r="L1191">
        <v>-1</v>
      </c>
      <c r="M1191" t="s">
        <v>66</v>
      </c>
    </row>
    <row r="1192" spans="1:13" x14ac:dyDescent="0.3">
      <c r="A1192" t="s">
        <v>15</v>
      </c>
      <c r="B1192" t="s">
        <v>30</v>
      </c>
      <c r="C1192">
        <v>100.6258404040265</v>
      </c>
      <c r="D1192">
        <v>4.6413689921575116</v>
      </c>
      <c r="E1192">
        <v>7.9222808679416081</v>
      </c>
      <c r="F1192">
        <v>14.95516294366195</v>
      </c>
      <c r="G1192">
        <v>6.2296233641130101</v>
      </c>
      <c r="H1192">
        <v>27.044148339416701</v>
      </c>
      <c r="I1192">
        <v>19.65442059992067</v>
      </c>
      <c r="J1192">
        <v>27.494622161107241</v>
      </c>
      <c r="K1192">
        <v>2058.7018281163032</v>
      </c>
      <c r="L1192">
        <v>1</v>
      </c>
      <c r="M1192" t="s">
        <v>66</v>
      </c>
    </row>
    <row r="1193" spans="1:13" x14ac:dyDescent="0.3">
      <c r="A1193" t="s">
        <v>18</v>
      </c>
      <c r="B1193" t="s">
        <v>40</v>
      </c>
      <c r="C1193">
        <v>119.91732988912609</v>
      </c>
      <c r="D1193">
        <v>6.1949154283190406</v>
      </c>
      <c r="E1193">
        <v>8.1148878120982246</v>
      </c>
      <c r="F1193">
        <v>18.284821290731681</v>
      </c>
      <c r="G1193">
        <v>4.7026950176675308</v>
      </c>
      <c r="H1193">
        <v>50.561131385575123</v>
      </c>
      <c r="I1193">
        <v>20.159043885887041</v>
      </c>
      <c r="J1193">
        <v>19.485877104046011</v>
      </c>
      <c r="K1193">
        <v>1708.479378937252</v>
      </c>
      <c r="L1193">
        <v>1</v>
      </c>
      <c r="M1193" t="s">
        <v>66</v>
      </c>
    </row>
    <row r="1194" spans="1:13" x14ac:dyDescent="0.3">
      <c r="A1194" t="s">
        <v>20</v>
      </c>
      <c r="B1194" t="s">
        <v>49</v>
      </c>
      <c r="C1194">
        <v>93.176468407347599</v>
      </c>
      <c r="D1194">
        <v>5.1003670467961868</v>
      </c>
      <c r="E1194">
        <v>5.3324004195859622</v>
      </c>
      <c r="F1194">
        <v>16.04730432589384</v>
      </c>
      <c r="G1194">
        <v>5.4226822046814371</v>
      </c>
      <c r="H1194">
        <v>29.641246700867821</v>
      </c>
      <c r="I1194">
        <v>21.482068693330579</v>
      </c>
      <c r="J1194">
        <v>20.28044772030945</v>
      </c>
      <c r="K1194">
        <v>1721.7890746300729</v>
      </c>
      <c r="L1194">
        <v>1</v>
      </c>
      <c r="M1194" t="s">
        <v>66</v>
      </c>
    </row>
    <row r="1195" spans="1:13" x14ac:dyDescent="0.3">
      <c r="A1195" t="s">
        <v>24</v>
      </c>
      <c r="B1195" t="s">
        <v>61</v>
      </c>
      <c r="C1195">
        <v>341.27674521930987</v>
      </c>
      <c r="D1195">
        <v>17.597695367767681</v>
      </c>
      <c r="E1195">
        <v>20.913903364398049</v>
      </c>
      <c r="F1195">
        <v>52.044467749423397</v>
      </c>
      <c r="G1195">
        <v>4.382450800872375</v>
      </c>
      <c r="H1195">
        <v>55.320228657071731</v>
      </c>
      <c r="I1195">
        <v>30.645394610224152</v>
      </c>
      <c r="J1195">
        <v>31.113930573664021</v>
      </c>
      <c r="K1195">
        <v>14.3702376548722</v>
      </c>
      <c r="L1195">
        <v>-1</v>
      </c>
      <c r="M1195" t="s">
        <v>66</v>
      </c>
    </row>
    <row r="1196" spans="1:13" x14ac:dyDescent="0.3">
      <c r="A1196" t="s">
        <v>19</v>
      </c>
      <c r="B1196" t="s">
        <v>47</v>
      </c>
      <c r="C1196">
        <v>71.315192003759165</v>
      </c>
      <c r="D1196">
        <v>3.101554397836368</v>
      </c>
      <c r="E1196">
        <v>5.5143392233772044</v>
      </c>
      <c r="F1196">
        <v>10.32787445102597</v>
      </c>
      <c r="G1196">
        <v>6.5631315170434714</v>
      </c>
      <c r="H1196">
        <v>15.91544578771299</v>
      </c>
      <c r="I1196">
        <v>26.443269649625599</v>
      </c>
      <c r="J1196">
        <v>26.3529272983228</v>
      </c>
      <c r="K1196">
        <v>699.57173816792294</v>
      </c>
      <c r="L1196">
        <v>1</v>
      </c>
      <c r="M1196" t="s">
        <v>66</v>
      </c>
    </row>
    <row r="1197" spans="1:13" x14ac:dyDescent="0.3">
      <c r="A1197" t="s">
        <v>20</v>
      </c>
      <c r="B1197" t="s">
        <v>51</v>
      </c>
      <c r="C1197">
        <v>258.17477268226759</v>
      </c>
      <c r="D1197">
        <v>11.227100396366209</v>
      </c>
      <c r="E1197">
        <v>15.95046853427379</v>
      </c>
      <c r="F1197">
        <v>38.595582594630379</v>
      </c>
      <c r="G1197">
        <v>5.3206417876778476</v>
      </c>
      <c r="H1197">
        <v>29.346380355940958</v>
      </c>
      <c r="I1197">
        <v>20.96635558673049</v>
      </c>
      <c r="J1197">
        <v>17.73128855943261</v>
      </c>
      <c r="K1197">
        <v>1516.871021570134</v>
      </c>
      <c r="L1197">
        <v>1</v>
      </c>
      <c r="M1197" t="s">
        <v>66</v>
      </c>
    </row>
    <row r="1198" spans="1:13" x14ac:dyDescent="0.3">
      <c r="A1198" t="s">
        <v>18</v>
      </c>
      <c r="B1198" t="s">
        <v>41</v>
      </c>
      <c r="C1198">
        <v>0</v>
      </c>
      <c r="D1198">
        <v>0</v>
      </c>
      <c r="E1198">
        <v>0</v>
      </c>
      <c r="F1198">
        <v>-1.7763568394002501E-15</v>
      </c>
      <c r="G1198">
        <v>7.0037063562137654</v>
      </c>
      <c r="H1198">
        <v>13.9</v>
      </c>
      <c r="I1198">
        <v>37.799999999999997</v>
      </c>
      <c r="J1198">
        <v>32.873536244683642</v>
      </c>
      <c r="K1198">
        <v>1786.3545713025751</v>
      </c>
      <c r="L1198">
        <v>1</v>
      </c>
      <c r="M1198" t="s">
        <v>66</v>
      </c>
    </row>
    <row r="1199" spans="1:13" x14ac:dyDescent="0.3">
      <c r="A1199" t="s">
        <v>15</v>
      </c>
      <c r="B1199" t="s">
        <v>30</v>
      </c>
      <c r="C1199">
        <v>106.934003371163</v>
      </c>
      <c r="D1199">
        <v>5.5057058757516151</v>
      </c>
      <c r="E1199">
        <v>6.8796512555620311</v>
      </c>
      <c r="F1199">
        <v>15.349107159476819</v>
      </c>
      <c r="G1199">
        <v>6.2937775982870923</v>
      </c>
      <c r="H1199">
        <v>28.92500442804711</v>
      </c>
      <c r="I1199">
        <v>20.561832640053641</v>
      </c>
      <c r="J1199">
        <v>26.16860075712146</v>
      </c>
      <c r="K1199">
        <v>1978.830359627618</v>
      </c>
      <c r="L1199">
        <v>1</v>
      </c>
      <c r="M1199" t="s">
        <v>66</v>
      </c>
    </row>
    <row r="1200" spans="1:13" x14ac:dyDescent="0.3">
      <c r="A1200" t="s">
        <v>18</v>
      </c>
      <c r="B1200" t="s">
        <v>43</v>
      </c>
      <c r="C1200">
        <v>26.390819313451249</v>
      </c>
      <c r="D1200">
        <v>1.2302131705906361</v>
      </c>
      <c r="E1200">
        <v>1.025488138510751</v>
      </c>
      <c r="F1200">
        <v>3.6058962546118969</v>
      </c>
      <c r="G1200">
        <v>6.2890181382933736</v>
      </c>
      <c r="H1200">
        <v>25.672074677318601</v>
      </c>
      <c r="I1200">
        <v>25.404703356093769</v>
      </c>
      <c r="J1200">
        <v>19.054513761418519</v>
      </c>
      <c r="K1200">
        <v>1817.202996237952</v>
      </c>
      <c r="L1200">
        <v>1</v>
      </c>
      <c r="M1200" t="s">
        <v>66</v>
      </c>
    </row>
    <row r="1201" spans="1:13" x14ac:dyDescent="0.3">
      <c r="A1201" t="s">
        <v>18</v>
      </c>
      <c r="B1201" t="s">
        <v>42</v>
      </c>
      <c r="C1201">
        <v>27.00479333615711</v>
      </c>
      <c r="D1201">
        <v>0.82446656901764737</v>
      </c>
      <c r="E1201">
        <v>0.90548418908685946</v>
      </c>
      <c r="F1201">
        <v>4.2502655403245404</v>
      </c>
      <c r="G1201">
        <v>5.3002205545561241</v>
      </c>
      <c r="H1201">
        <v>31.250443205520181</v>
      </c>
      <c r="I1201">
        <v>19.19040488761134</v>
      </c>
      <c r="J1201">
        <v>25.211292497828438</v>
      </c>
      <c r="K1201">
        <v>1794.2886092319691</v>
      </c>
      <c r="L1201">
        <v>1</v>
      </c>
      <c r="M1201" t="s">
        <v>66</v>
      </c>
    </row>
    <row r="1202" spans="1:13" x14ac:dyDescent="0.3">
      <c r="A1202" t="s">
        <v>21</v>
      </c>
      <c r="B1202" t="s">
        <v>52</v>
      </c>
      <c r="C1202">
        <v>68.387912241305884</v>
      </c>
      <c r="D1202">
        <v>2.9310506989662102</v>
      </c>
      <c r="E1202">
        <v>4.1546933799163313</v>
      </c>
      <c r="F1202">
        <v>9.1579124764311697</v>
      </c>
      <c r="G1202">
        <v>5.7686332836822967</v>
      </c>
      <c r="H1202">
        <v>33.179781008570572</v>
      </c>
      <c r="I1202">
        <v>19.833390627253909</v>
      </c>
      <c r="J1202">
        <v>20.604163286351831</v>
      </c>
      <c r="K1202">
        <v>1509.4905400747659</v>
      </c>
      <c r="L1202">
        <v>1</v>
      </c>
      <c r="M1202" t="s">
        <v>66</v>
      </c>
    </row>
    <row r="1203" spans="1:13" x14ac:dyDescent="0.3">
      <c r="A1203" t="s">
        <v>24</v>
      </c>
      <c r="B1203" t="s">
        <v>58</v>
      </c>
      <c r="C1203">
        <v>12.373993191463549</v>
      </c>
      <c r="D1203">
        <v>0</v>
      </c>
      <c r="E1203">
        <v>0</v>
      </c>
      <c r="F1203">
        <v>2.1237955427926738</v>
      </c>
      <c r="G1203">
        <v>6.3521213892837363</v>
      </c>
      <c r="H1203">
        <v>44.557796666756943</v>
      </c>
      <c r="I1203">
        <v>25.312277065917659</v>
      </c>
      <c r="J1203">
        <v>22.70162287444705</v>
      </c>
      <c r="K1203">
        <v>747.20343127280137</v>
      </c>
      <c r="L1203">
        <v>0</v>
      </c>
      <c r="M1203" t="s">
        <v>66</v>
      </c>
    </row>
    <row r="1204" spans="1:13" x14ac:dyDescent="0.3">
      <c r="A1204" t="s">
        <v>24</v>
      </c>
      <c r="B1204" t="s">
        <v>61</v>
      </c>
      <c r="C1204">
        <v>339.7753339525031</v>
      </c>
      <c r="D1204">
        <v>17.967570237608289</v>
      </c>
      <c r="E1204">
        <v>26.453087194071031</v>
      </c>
      <c r="F1204">
        <v>56.522183750562917</v>
      </c>
      <c r="G1204">
        <v>4.6753536114269609</v>
      </c>
      <c r="H1204">
        <v>50.584025304365952</v>
      </c>
      <c r="I1204">
        <v>30.744874452162598</v>
      </c>
      <c r="J1204">
        <v>30.482637638261451</v>
      </c>
      <c r="K1204">
        <v>13.874396392756131</v>
      </c>
      <c r="L1204">
        <v>-1</v>
      </c>
      <c r="M1204" t="s">
        <v>66</v>
      </c>
    </row>
    <row r="1205" spans="1:13" x14ac:dyDescent="0.3">
      <c r="A1205" t="s">
        <v>18</v>
      </c>
      <c r="B1205" t="s">
        <v>42</v>
      </c>
      <c r="C1205">
        <v>34.183649174691602</v>
      </c>
      <c r="D1205">
        <v>0.92854940863967439</v>
      </c>
      <c r="E1205">
        <v>2.068671687373655</v>
      </c>
      <c r="F1205">
        <v>5.6835934159768939</v>
      </c>
      <c r="G1205">
        <v>5.4765947914905624</v>
      </c>
      <c r="H1205">
        <v>27.111942341201921</v>
      </c>
      <c r="I1205">
        <v>20.361849801257591</v>
      </c>
      <c r="J1205">
        <v>27.021529110783451</v>
      </c>
      <c r="K1205">
        <v>1964.1868823181071</v>
      </c>
      <c r="L1205">
        <v>1</v>
      </c>
      <c r="M1205" t="s">
        <v>66</v>
      </c>
    </row>
    <row r="1206" spans="1:13" x14ac:dyDescent="0.3">
      <c r="A1206" t="s">
        <v>24</v>
      </c>
      <c r="B1206" t="s">
        <v>57</v>
      </c>
      <c r="C1206">
        <v>64.541785070483314</v>
      </c>
      <c r="D1206">
        <v>2.9029654922909018</v>
      </c>
      <c r="E1206">
        <v>4.1603555822032554</v>
      </c>
      <c r="F1206">
        <v>7.9643580459700969</v>
      </c>
      <c r="G1206">
        <v>6.1947295000725351</v>
      </c>
      <c r="H1206">
        <v>19.40702442095786</v>
      </c>
      <c r="I1206">
        <v>22.18766611142776</v>
      </c>
      <c r="J1206">
        <v>20.3854479138197</v>
      </c>
      <c r="K1206">
        <v>1616.143770674526</v>
      </c>
      <c r="L1206">
        <v>1</v>
      </c>
      <c r="M1206" t="s">
        <v>66</v>
      </c>
    </row>
    <row r="1207" spans="1:13" x14ac:dyDescent="0.3">
      <c r="A1207" t="s">
        <v>18</v>
      </c>
      <c r="B1207" t="s">
        <v>41</v>
      </c>
      <c r="C1207">
        <v>0</v>
      </c>
      <c r="D1207">
        <v>0</v>
      </c>
      <c r="E1207">
        <v>0</v>
      </c>
      <c r="F1207">
        <v>-1.7763568394002501E-15</v>
      </c>
      <c r="G1207">
        <v>7.0777023646165231</v>
      </c>
      <c r="H1207">
        <v>14.366629847641891</v>
      </c>
      <c r="I1207">
        <v>37.737901763106912</v>
      </c>
      <c r="J1207">
        <v>33.931980649101007</v>
      </c>
      <c r="K1207">
        <v>1754.3590343187141</v>
      </c>
      <c r="L1207">
        <v>1</v>
      </c>
      <c r="M1207" t="s">
        <v>66</v>
      </c>
    </row>
    <row r="1208" spans="1:13" x14ac:dyDescent="0.3">
      <c r="A1208" t="s">
        <v>21</v>
      </c>
      <c r="B1208" t="s">
        <v>52</v>
      </c>
      <c r="C1208">
        <v>123.3479487015526</v>
      </c>
      <c r="D1208">
        <v>4.9116245525401769</v>
      </c>
      <c r="E1208">
        <v>8.8574290649618241</v>
      </c>
      <c r="F1208">
        <v>19.405136211368429</v>
      </c>
      <c r="G1208">
        <v>5.5646108832669601</v>
      </c>
      <c r="H1208">
        <v>57.648322331727321</v>
      </c>
      <c r="I1208">
        <v>27.680859382545709</v>
      </c>
      <c r="J1208">
        <v>25.438662497367421</v>
      </c>
      <c r="K1208">
        <v>747.82795692985837</v>
      </c>
      <c r="L1208">
        <v>0</v>
      </c>
      <c r="M1208" t="s">
        <v>66</v>
      </c>
    </row>
    <row r="1209" spans="1:13" x14ac:dyDescent="0.3">
      <c r="A1209" t="s">
        <v>25</v>
      </c>
      <c r="B1209" t="s">
        <v>62</v>
      </c>
      <c r="C1209">
        <v>85.903284770216032</v>
      </c>
      <c r="D1209">
        <v>3.735747344460107</v>
      </c>
      <c r="E1209">
        <v>5.4037428111033696</v>
      </c>
      <c r="F1209">
        <v>13.406928122096589</v>
      </c>
      <c r="G1209">
        <v>6.5651416803768843</v>
      </c>
      <c r="H1209">
        <v>14.34789277784467</v>
      </c>
      <c r="I1209">
        <v>31.801398132362589</v>
      </c>
      <c r="J1209">
        <v>31.200192909184299</v>
      </c>
      <c r="K1209">
        <v>46.866444564640908</v>
      </c>
      <c r="L1209">
        <v>-1</v>
      </c>
      <c r="M1209" t="s">
        <v>66</v>
      </c>
    </row>
    <row r="1210" spans="1:13" x14ac:dyDescent="0.3">
      <c r="A1210" t="s">
        <v>17</v>
      </c>
      <c r="B1210" t="s">
        <v>39</v>
      </c>
      <c r="C1210">
        <v>739.55164470931345</v>
      </c>
      <c r="D1210">
        <v>45.405437190327802</v>
      </c>
      <c r="E1210">
        <v>67</v>
      </c>
      <c r="F1210">
        <v>134.50270140515849</v>
      </c>
      <c r="G1210">
        <v>5.4977303160261233</v>
      </c>
      <c r="H1210">
        <v>48.076588928365439</v>
      </c>
      <c r="I1210">
        <v>17.988736288969889</v>
      </c>
      <c r="J1210">
        <v>22.30950791988586</v>
      </c>
      <c r="K1210">
        <v>1513.774943503442</v>
      </c>
      <c r="L1210">
        <v>1</v>
      </c>
      <c r="M1210" t="s">
        <v>66</v>
      </c>
    </row>
    <row r="1211" spans="1:13" x14ac:dyDescent="0.3">
      <c r="A1211" t="s">
        <v>18</v>
      </c>
      <c r="B1211" t="s">
        <v>43</v>
      </c>
      <c r="C1211">
        <v>25.000460461327531</v>
      </c>
      <c r="D1211">
        <v>1.0706121969027791</v>
      </c>
      <c r="E1211">
        <v>0.89707876310320511</v>
      </c>
      <c r="F1211">
        <v>3.715304182986308</v>
      </c>
      <c r="G1211">
        <v>6.3629228507147548</v>
      </c>
      <c r="H1211">
        <v>26.848452472664668</v>
      </c>
      <c r="I1211">
        <v>24.337940454521242</v>
      </c>
      <c r="J1211">
        <v>19.644030540319498</v>
      </c>
      <c r="K1211">
        <v>1835.6973288274239</v>
      </c>
      <c r="L1211">
        <v>1</v>
      </c>
      <c r="M1211" t="s">
        <v>66</v>
      </c>
    </row>
    <row r="1212" spans="1:13" x14ac:dyDescent="0.3">
      <c r="A1212" t="s">
        <v>16</v>
      </c>
      <c r="B1212" t="s">
        <v>35</v>
      </c>
      <c r="C1212">
        <v>88.540575208932395</v>
      </c>
      <c r="D1212">
        <v>4.0474282899970939</v>
      </c>
      <c r="E1212">
        <v>4.7644897816078684</v>
      </c>
      <c r="F1212">
        <v>14.11759302829717</v>
      </c>
      <c r="G1212">
        <v>6.3350979871338158</v>
      </c>
      <c r="H1212">
        <v>38.11947423741735</v>
      </c>
      <c r="I1212">
        <v>20.784787508063829</v>
      </c>
      <c r="J1212">
        <v>28.311352936325552</v>
      </c>
      <c r="K1212">
        <v>2100.0044164922651</v>
      </c>
      <c r="L1212">
        <v>1</v>
      </c>
      <c r="M1212" t="s">
        <v>66</v>
      </c>
    </row>
    <row r="1213" spans="1:13" x14ac:dyDescent="0.3">
      <c r="A1213" t="s">
        <v>19</v>
      </c>
      <c r="B1213" t="s">
        <v>47</v>
      </c>
      <c r="C1213">
        <v>82.125033370014904</v>
      </c>
      <c r="D1213">
        <v>3.0780769627150382</v>
      </c>
      <c r="E1213">
        <v>4.5954122104527846</v>
      </c>
      <c r="F1213">
        <v>11.04314469802763</v>
      </c>
      <c r="G1213">
        <v>6.5895529813765252</v>
      </c>
      <c r="H1213">
        <v>15.75475162068974</v>
      </c>
      <c r="I1213">
        <v>26.88261758958679</v>
      </c>
      <c r="J1213">
        <v>25.410867745501321</v>
      </c>
      <c r="K1213">
        <v>635.26871839802141</v>
      </c>
      <c r="L1213">
        <v>1</v>
      </c>
      <c r="M1213" t="s">
        <v>66</v>
      </c>
    </row>
    <row r="1214" spans="1:13" x14ac:dyDescent="0.3">
      <c r="A1214" t="s">
        <v>19</v>
      </c>
      <c r="B1214" t="s">
        <v>44</v>
      </c>
      <c r="C1214">
        <v>29.325566168645409</v>
      </c>
      <c r="D1214">
        <v>1.156607297560442</v>
      </c>
      <c r="E1214">
        <v>1.9942726541280349</v>
      </c>
      <c r="F1214">
        <v>4.0935886880438934</v>
      </c>
      <c r="G1214">
        <v>5.8432020088260241</v>
      </c>
      <c r="H1214">
        <v>23.132655764786819</v>
      </c>
      <c r="I1214">
        <v>16.778370057114241</v>
      </c>
      <c r="J1214">
        <v>20.6557297277438</v>
      </c>
      <c r="K1214">
        <v>1742.6541204385339</v>
      </c>
      <c r="L1214">
        <v>1</v>
      </c>
      <c r="M1214" t="s">
        <v>66</v>
      </c>
    </row>
    <row r="1215" spans="1:13" x14ac:dyDescent="0.3">
      <c r="A1215" t="s">
        <v>17</v>
      </c>
      <c r="B1215" t="s">
        <v>39</v>
      </c>
      <c r="C1215">
        <v>28.874743353374971</v>
      </c>
      <c r="D1215">
        <v>1.028075519853995</v>
      </c>
      <c r="E1215">
        <v>0.84731288995071985</v>
      </c>
      <c r="F1215">
        <v>4.2511115818560299</v>
      </c>
      <c r="G1215">
        <v>6.0470571940106446</v>
      </c>
      <c r="H1215">
        <v>19.818740216338291</v>
      </c>
      <c r="I1215">
        <v>19.770842232322199</v>
      </c>
      <c r="J1215">
        <v>25.680529624610809</v>
      </c>
      <c r="K1215">
        <v>2178.4718628310088</v>
      </c>
      <c r="L1215">
        <v>1</v>
      </c>
      <c r="M1215" t="s">
        <v>66</v>
      </c>
    </row>
    <row r="1216" spans="1:13" x14ac:dyDescent="0.3">
      <c r="A1216" t="s">
        <v>22</v>
      </c>
      <c r="B1216" t="s">
        <v>53</v>
      </c>
      <c r="C1216">
        <v>69.462027928829883</v>
      </c>
      <c r="D1216">
        <v>3.1929847762027381</v>
      </c>
      <c r="E1216">
        <v>4.5997075822330347</v>
      </c>
      <c r="F1216">
        <v>12.546184841843219</v>
      </c>
      <c r="G1216">
        <v>6.3438901194085773</v>
      </c>
      <c r="H1216">
        <v>33.980420583200342</v>
      </c>
      <c r="I1216">
        <v>27.302033999313821</v>
      </c>
      <c r="J1216">
        <v>22.491681602535419</v>
      </c>
      <c r="K1216">
        <v>1335.0828251090761</v>
      </c>
      <c r="L1216">
        <v>1</v>
      </c>
      <c r="M1216" t="s">
        <v>66</v>
      </c>
    </row>
    <row r="1217" spans="1:13" x14ac:dyDescent="0.3">
      <c r="A1217" t="s">
        <v>23</v>
      </c>
      <c r="B1217" t="s">
        <v>56</v>
      </c>
      <c r="C1217">
        <v>72.600920349353686</v>
      </c>
      <c r="D1217">
        <v>2.9881215479046692</v>
      </c>
      <c r="E1217">
        <v>4.7227745106834789</v>
      </c>
      <c r="F1217">
        <v>12.18509467821937</v>
      </c>
      <c r="G1217">
        <v>6.1800803473124777</v>
      </c>
      <c r="H1217">
        <v>17.13916149219423</v>
      </c>
      <c r="I1217">
        <v>20.85227021672258</v>
      </c>
      <c r="J1217">
        <v>19.235819535245199</v>
      </c>
      <c r="K1217">
        <v>1671.8702491543711</v>
      </c>
      <c r="L1217">
        <v>1</v>
      </c>
      <c r="M1217" t="s">
        <v>66</v>
      </c>
    </row>
    <row r="1218" spans="1:13" x14ac:dyDescent="0.3">
      <c r="A1218" t="s">
        <v>19</v>
      </c>
      <c r="B1218" t="s">
        <v>47</v>
      </c>
      <c r="C1218">
        <v>119.40398877552521</v>
      </c>
      <c r="D1218">
        <v>5.6513743726421941</v>
      </c>
      <c r="E1218">
        <v>7.5787475657527548</v>
      </c>
      <c r="F1218">
        <v>20.373946219477212</v>
      </c>
      <c r="G1218">
        <v>6.401560607950441</v>
      </c>
      <c r="H1218">
        <v>18.64216568412402</v>
      </c>
      <c r="I1218">
        <v>23.59607561168966</v>
      </c>
      <c r="J1218">
        <v>25.04183853590882</v>
      </c>
      <c r="K1218">
        <v>657.10866229469923</v>
      </c>
      <c r="L1218">
        <v>1</v>
      </c>
      <c r="M1218" t="s">
        <v>66</v>
      </c>
    </row>
    <row r="1219" spans="1:13" x14ac:dyDescent="0.3">
      <c r="A1219" t="s">
        <v>15</v>
      </c>
      <c r="B1219" t="s">
        <v>34</v>
      </c>
      <c r="C1219">
        <v>107.6597242071805</v>
      </c>
      <c r="D1219">
        <v>5.6195529042786134</v>
      </c>
      <c r="E1219">
        <v>7.5577244481065673</v>
      </c>
      <c r="F1219">
        <v>18.321269633387828</v>
      </c>
      <c r="G1219">
        <v>5.6554899563626311</v>
      </c>
      <c r="H1219">
        <v>39.797043198998047</v>
      </c>
      <c r="I1219">
        <v>23.858681462749569</v>
      </c>
      <c r="J1219">
        <v>19.493297897675792</v>
      </c>
      <c r="K1219">
        <v>2106.4077710485681</v>
      </c>
      <c r="L1219">
        <v>1</v>
      </c>
      <c r="M1219" t="s">
        <v>66</v>
      </c>
    </row>
    <row r="1220" spans="1:13" x14ac:dyDescent="0.3">
      <c r="A1220" t="s">
        <v>22</v>
      </c>
      <c r="B1220" t="s">
        <v>53</v>
      </c>
      <c r="C1220">
        <v>31.761025906615458</v>
      </c>
      <c r="D1220">
        <v>1.129629576405601</v>
      </c>
      <c r="E1220">
        <v>2.114664610410347</v>
      </c>
      <c r="F1220">
        <v>5.3041232100873543</v>
      </c>
      <c r="G1220">
        <v>6.5252030450315912</v>
      </c>
      <c r="H1220">
        <v>24.270045261098961</v>
      </c>
      <c r="I1220">
        <v>25.42275610189532</v>
      </c>
      <c r="J1220">
        <v>19.071193364755381</v>
      </c>
      <c r="K1220">
        <v>1289.3120487060321</v>
      </c>
      <c r="L1220">
        <v>1</v>
      </c>
      <c r="M1220" t="s">
        <v>66</v>
      </c>
    </row>
    <row r="1221" spans="1:13" x14ac:dyDescent="0.3">
      <c r="A1221" t="s">
        <v>20</v>
      </c>
      <c r="B1221" t="s">
        <v>51</v>
      </c>
      <c r="C1221">
        <v>66.230609682909346</v>
      </c>
      <c r="D1221">
        <v>3.1683558037195598</v>
      </c>
      <c r="E1221">
        <v>3.8992434063250392</v>
      </c>
      <c r="F1221">
        <v>10.23389988017532</v>
      </c>
      <c r="G1221">
        <v>6.2945445453501607</v>
      </c>
      <c r="H1221">
        <v>70.92141352066372</v>
      </c>
      <c r="I1221">
        <v>19.450838841450501</v>
      </c>
      <c r="J1221">
        <v>21.03112148509982</v>
      </c>
      <c r="K1221">
        <v>1515.3585537394481</v>
      </c>
      <c r="L1221">
        <v>1</v>
      </c>
      <c r="M1221" t="s">
        <v>66</v>
      </c>
    </row>
    <row r="1222" spans="1:13" x14ac:dyDescent="0.3">
      <c r="A1222" t="s">
        <v>24</v>
      </c>
      <c r="B1222" t="s">
        <v>61</v>
      </c>
      <c r="C1222">
        <v>81.31383589983399</v>
      </c>
      <c r="D1222">
        <v>4.4569443787502072</v>
      </c>
      <c r="E1222">
        <v>5.0848724183637826</v>
      </c>
      <c r="F1222">
        <v>10.882194232790511</v>
      </c>
      <c r="G1222">
        <v>6.4068380592132064</v>
      </c>
      <c r="H1222">
        <v>14.606682771172419</v>
      </c>
      <c r="I1222">
        <v>34.94533714063656</v>
      </c>
      <c r="J1222">
        <v>31.010617778874661</v>
      </c>
      <c r="K1222">
        <v>47.673918612522812</v>
      </c>
      <c r="L1222">
        <v>-1</v>
      </c>
      <c r="M1222" t="s">
        <v>66</v>
      </c>
    </row>
    <row r="1223" spans="1:13" x14ac:dyDescent="0.3">
      <c r="A1223" t="s">
        <v>16</v>
      </c>
      <c r="B1223" t="s">
        <v>35</v>
      </c>
      <c r="C1223">
        <v>84.174559806953738</v>
      </c>
      <c r="D1223">
        <v>3.8574966833938742</v>
      </c>
      <c r="E1223">
        <v>5.745375176205191</v>
      </c>
      <c r="F1223">
        <v>13.449712458926619</v>
      </c>
      <c r="G1223">
        <v>6.6114432130712713</v>
      </c>
      <c r="H1223">
        <v>38.190767711444231</v>
      </c>
      <c r="I1223">
        <v>22.454915762211758</v>
      </c>
      <c r="J1223">
        <v>28.50203717581968</v>
      </c>
      <c r="K1223">
        <v>2040.2715638978129</v>
      </c>
      <c r="L1223">
        <v>1</v>
      </c>
      <c r="M1223" t="s">
        <v>66</v>
      </c>
    </row>
    <row r="1224" spans="1:13" x14ac:dyDescent="0.3">
      <c r="A1224" t="s">
        <v>19</v>
      </c>
      <c r="B1224" t="s">
        <v>46</v>
      </c>
      <c r="C1224">
        <v>28.09879792672815</v>
      </c>
      <c r="D1224">
        <v>1.022974546044892</v>
      </c>
      <c r="E1224">
        <v>0.9260729620346293</v>
      </c>
      <c r="F1224">
        <v>4.0128707474525172</v>
      </c>
      <c r="G1224">
        <v>6.025221398274458</v>
      </c>
      <c r="H1224">
        <v>18.836021727638411</v>
      </c>
      <c r="I1224">
        <v>31.519374397526761</v>
      </c>
      <c r="J1224">
        <v>26.85209853558035</v>
      </c>
      <c r="K1224">
        <v>721.37344848722501</v>
      </c>
      <c r="L1224">
        <v>-1</v>
      </c>
      <c r="M1224" t="s">
        <v>66</v>
      </c>
    </row>
    <row r="1225" spans="1:13" x14ac:dyDescent="0.3">
      <c r="A1225" t="s">
        <v>25</v>
      </c>
      <c r="B1225" t="s">
        <v>62</v>
      </c>
      <c r="C1225">
        <v>280.91901652744889</v>
      </c>
      <c r="D1225">
        <v>18.883005115785309</v>
      </c>
      <c r="E1225">
        <v>25.56596090710725</v>
      </c>
      <c r="F1225">
        <v>62.720682480108181</v>
      </c>
      <c r="G1225">
        <v>4.3853423395589362</v>
      </c>
      <c r="H1225">
        <v>75.406210712696236</v>
      </c>
      <c r="I1225">
        <v>28.88256771896063</v>
      </c>
      <c r="J1225">
        <v>24.658834664401549</v>
      </c>
      <c r="K1225">
        <v>700.06105429980448</v>
      </c>
      <c r="L1225">
        <v>0</v>
      </c>
      <c r="M1225" t="s">
        <v>66</v>
      </c>
    </row>
    <row r="1226" spans="1:13" x14ac:dyDescent="0.3">
      <c r="A1226" t="s">
        <v>16</v>
      </c>
      <c r="B1226" t="s">
        <v>36</v>
      </c>
      <c r="C1226">
        <v>22.68440536863001</v>
      </c>
      <c r="D1226">
        <v>1.081649740263753</v>
      </c>
      <c r="E1226">
        <v>1.024668043022489</v>
      </c>
      <c r="F1226">
        <v>2.486727910812236</v>
      </c>
      <c r="G1226">
        <v>5.9859119662245783</v>
      </c>
      <c r="H1226">
        <v>29.543492302475372</v>
      </c>
      <c r="I1226">
        <v>24.766331106049481</v>
      </c>
      <c r="J1226">
        <v>21.01673053714935</v>
      </c>
      <c r="K1226">
        <v>1759.6451354338451</v>
      </c>
      <c r="L1226">
        <v>1</v>
      </c>
      <c r="M1226" t="s">
        <v>66</v>
      </c>
    </row>
    <row r="1227" spans="1:13" x14ac:dyDescent="0.3">
      <c r="A1227" t="s">
        <v>18</v>
      </c>
      <c r="B1227" t="s">
        <v>43</v>
      </c>
      <c r="C1227">
        <v>25.72656516238327</v>
      </c>
      <c r="D1227">
        <v>0.93044847307305556</v>
      </c>
      <c r="E1227">
        <v>1.160558788656509</v>
      </c>
      <c r="F1227">
        <v>3.7102406677709792</v>
      </c>
      <c r="G1227">
        <v>6.2251625251666436</v>
      </c>
      <c r="H1227">
        <v>24.552890833773819</v>
      </c>
      <c r="I1227">
        <v>25.627890840211311</v>
      </c>
      <c r="J1227">
        <v>18.266650874509519</v>
      </c>
      <c r="K1227">
        <v>1889.2541105213079</v>
      </c>
      <c r="L1227">
        <v>1</v>
      </c>
      <c r="M1227" t="s">
        <v>66</v>
      </c>
    </row>
    <row r="1228" spans="1:13" x14ac:dyDescent="0.3">
      <c r="A1228" t="s">
        <v>24</v>
      </c>
      <c r="B1228" t="s">
        <v>61</v>
      </c>
      <c r="C1228">
        <v>177.499649691885</v>
      </c>
      <c r="D1228">
        <v>8.0528346476768942</v>
      </c>
      <c r="E1228">
        <v>13.350328399127291</v>
      </c>
      <c r="F1228">
        <v>31.146274333381449</v>
      </c>
      <c r="G1228">
        <v>6.0709945900161033</v>
      </c>
      <c r="H1228">
        <v>24.044045508789321</v>
      </c>
      <c r="I1228">
        <v>29.318922134232359</v>
      </c>
      <c r="J1228">
        <v>30.95979490522442</v>
      </c>
      <c r="K1228">
        <v>14.054619955808681</v>
      </c>
      <c r="L1228">
        <v>-1</v>
      </c>
      <c r="M1228" t="s">
        <v>66</v>
      </c>
    </row>
    <row r="1229" spans="1:13" x14ac:dyDescent="0.3">
      <c r="A1229" t="s">
        <v>25</v>
      </c>
      <c r="B1229" t="s">
        <v>62</v>
      </c>
      <c r="C1229">
        <v>89.834770324867208</v>
      </c>
      <c r="D1229">
        <v>3.96456007004207</v>
      </c>
      <c r="E1229">
        <v>5.5499731435280282</v>
      </c>
      <c r="F1229">
        <v>11.6022836875203</v>
      </c>
      <c r="G1229">
        <v>6.5626821687368517</v>
      </c>
      <c r="H1229">
        <v>13.9</v>
      </c>
      <c r="I1229">
        <v>32.264949684684183</v>
      </c>
      <c r="J1229">
        <v>29.63442540751829</v>
      </c>
      <c r="K1229">
        <v>48.543695907277417</v>
      </c>
      <c r="L1229">
        <v>-1</v>
      </c>
      <c r="M1229" t="s">
        <v>66</v>
      </c>
    </row>
    <row r="1230" spans="1:13" x14ac:dyDescent="0.3">
      <c r="A1230" t="s">
        <v>25</v>
      </c>
      <c r="B1230" t="s">
        <v>62</v>
      </c>
      <c r="C1230">
        <v>23.31239134158395</v>
      </c>
      <c r="D1230">
        <v>1.0192253469871131</v>
      </c>
      <c r="E1230">
        <v>1.01559262185192</v>
      </c>
      <c r="F1230">
        <v>4.6160269653760304</v>
      </c>
      <c r="G1230">
        <v>5.6158004097472016</v>
      </c>
      <c r="H1230">
        <v>48.377835242894427</v>
      </c>
      <c r="I1230">
        <v>21.485570763225809</v>
      </c>
      <c r="J1230">
        <v>22.745215484134729</v>
      </c>
      <c r="K1230">
        <v>1076.6443197742419</v>
      </c>
      <c r="L1230">
        <v>0</v>
      </c>
      <c r="M1230" t="s">
        <v>66</v>
      </c>
    </row>
    <row r="1231" spans="1:13" x14ac:dyDescent="0.3">
      <c r="A1231" t="s">
        <v>20</v>
      </c>
      <c r="B1231" t="s">
        <v>51</v>
      </c>
      <c r="C1231">
        <v>72.476016306619741</v>
      </c>
      <c r="D1231">
        <v>3.0632704725858981</v>
      </c>
      <c r="E1231">
        <v>5.1045142015961336</v>
      </c>
      <c r="F1231">
        <v>11.710320859859699</v>
      </c>
      <c r="G1231">
        <v>6.4478511195926282</v>
      </c>
      <c r="H1231">
        <v>27.818987536211061</v>
      </c>
      <c r="I1231">
        <v>20.344479702561159</v>
      </c>
      <c r="J1231">
        <v>19.60372441814868</v>
      </c>
      <c r="K1231">
        <v>1570.2190270944579</v>
      </c>
      <c r="L1231">
        <v>1</v>
      </c>
      <c r="M1231" t="s">
        <v>66</v>
      </c>
    </row>
    <row r="1232" spans="1:13" x14ac:dyDescent="0.3">
      <c r="A1232" t="s">
        <v>18</v>
      </c>
      <c r="B1232" t="s">
        <v>42</v>
      </c>
      <c r="C1232">
        <v>60.909767793188081</v>
      </c>
      <c r="D1232">
        <v>2.9781145124447059</v>
      </c>
      <c r="E1232">
        <v>3.6140811933647008</v>
      </c>
      <c r="F1232">
        <v>8.9937612537744762</v>
      </c>
      <c r="G1232">
        <v>5.8899840323659864</v>
      </c>
      <c r="H1232">
        <v>42.264624158357357</v>
      </c>
      <c r="I1232">
        <v>19.93300645599594</v>
      </c>
      <c r="J1232">
        <v>20.329965949505681</v>
      </c>
      <c r="K1232">
        <v>1818.9190120944011</v>
      </c>
      <c r="L1232">
        <v>1</v>
      </c>
      <c r="M1232" t="s">
        <v>66</v>
      </c>
    </row>
    <row r="1233" spans="1:13" x14ac:dyDescent="0.3">
      <c r="A1233" t="s">
        <v>19</v>
      </c>
      <c r="B1233" t="s">
        <v>45</v>
      </c>
      <c r="C1233">
        <v>19.750061149200661</v>
      </c>
      <c r="D1233">
        <v>1.1546002715996391</v>
      </c>
      <c r="E1233">
        <v>0.95894606683980488</v>
      </c>
      <c r="F1233">
        <v>3.0546053360314089</v>
      </c>
      <c r="G1233">
        <v>5.9558112114891344</v>
      </c>
      <c r="H1233">
        <v>20.205572817794771</v>
      </c>
      <c r="I1233">
        <v>32.676104557612057</v>
      </c>
      <c r="J1233">
        <v>22.816361777686499</v>
      </c>
      <c r="K1233">
        <v>1310.404229619317</v>
      </c>
      <c r="L1233">
        <v>0</v>
      </c>
      <c r="M1233" t="s">
        <v>66</v>
      </c>
    </row>
    <row r="1234" spans="1:13" x14ac:dyDescent="0.3">
      <c r="A1234" t="s">
        <v>19</v>
      </c>
      <c r="B1234" t="s">
        <v>45</v>
      </c>
      <c r="C1234">
        <v>46.074191716494127</v>
      </c>
      <c r="D1234">
        <v>2.2569860957557841</v>
      </c>
      <c r="E1234">
        <v>2.493604528820268</v>
      </c>
      <c r="F1234">
        <v>5.9535235651590313</v>
      </c>
      <c r="G1234">
        <v>6.1537400788273358</v>
      </c>
      <c r="H1234">
        <v>32.028994592149537</v>
      </c>
      <c r="I1234">
        <v>22.16610721798877</v>
      </c>
      <c r="J1234">
        <v>26.671564839978</v>
      </c>
      <c r="K1234">
        <v>1438.443948083052</v>
      </c>
      <c r="L1234">
        <v>1</v>
      </c>
      <c r="M1234" t="s">
        <v>66</v>
      </c>
    </row>
    <row r="1235" spans="1:13" x14ac:dyDescent="0.3">
      <c r="A1235" t="s">
        <v>20</v>
      </c>
      <c r="B1235" t="s">
        <v>50</v>
      </c>
      <c r="C1235">
        <v>48.42148071161683</v>
      </c>
      <c r="D1235">
        <v>1.4878903142741771</v>
      </c>
      <c r="E1235">
        <v>2.8767274628316901</v>
      </c>
      <c r="F1235">
        <v>6.9773351238232131</v>
      </c>
      <c r="G1235">
        <v>6.1090068589577387</v>
      </c>
      <c r="H1235">
        <v>41.108526379133153</v>
      </c>
      <c r="I1235">
        <v>24.177845278515971</v>
      </c>
      <c r="J1235">
        <v>20.337287052299409</v>
      </c>
      <c r="K1235">
        <v>1595.19867033593</v>
      </c>
      <c r="L1235">
        <v>1</v>
      </c>
      <c r="M1235" t="s">
        <v>66</v>
      </c>
    </row>
    <row r="1236" spans="1:13" x14ac:dyDescent="0.3">
      <c r="A1236" t="s">
        <v>24</v>
      </c>
      <c r="B1236" t="s">
        <v>61</v>
      </c>
      <c r="C1236">
        <v>686.61173652201353</v>
      </c>
      <c r="D1236">
        <v>31.027532333737849</v>
      </c>
      <c r="E1236">
        <v>48.284961067185961</v>
      </c>
      <c r="F1236">
        <v>126.81301893244959</v>
      </c>
      <c r="G1236">
        <v>6.2132245339201209</v>
      </c>
      <c r="H1236">
        <v>71.566563304933595</v>
      </c>
      <c r="I1236">
        <v>30.111930867801679</v>
      </c>
      <c r="J1236">
        <v>30.39734059574198</v>
      </c>
      <c r="K1236">
        <v>11</v>
      </c>
      <c r="L1236">
        <v>-1</v>
      </c>
      <c r="M1236" t="s">
        <v>66</v>
      </c>
    </row>
    <row r="1237" spans="1:13" x14ac:dyDescent="0.3">
      <c r="A1237" t="s">
        <v>21</v>
      </c>
      <c r="B1237" t="s">
        <v>52</v>
      </c>
      <c r="C1237">
        <v>31.31218716652457</v>
      </c>
      <c r="D1237">
        <v>1.0932837152872881</v>
      </c>
      <c r="E1237">
        <v>2.1337879436921909</v>
      </c>
      <c r="F1237">
        <v>4.3648719579603874</v>
      </c>
      <c r="G1237">
        <v>5.939746113500239</v>
      </c>
      <c r="H1237">
        <v>30.428906315424818</v>
      </c>
      <c r="I1237">
        <v>25.82739886497566</v>
      </c>
      <c r="J1237">
        <v>21.273364386442051</v>
      </c>
      <c r="K1237">
        <v>1216.1698517486</v>
      </c>
      <c r="L1237">
        <v>1</v>
      </c>
      <c r="M1237" t="s">
        <v>66</v>
      </c>
    </row>
    <row r="1238" spans="1:13" x14ac:dyDescent="0.3">
      <c r="A1238" t="s">
        <v>19</v>
      </c>
      <c r="B1238" t="s">
        <v>46</v>
      </c>
      <c r="C1238">
        <v>23.793343377092871</v>
      </c>
      <c r="D1238">
        <v>1.123468095435626</v>
      </c>
      <c r="E1238">
        <v>1.1565861356691429</v>
      </c>
      <c r="F1238">
        <v>2.994837218729026</v>
      </c>
      <c r="G1238">
        <v>6.1190190783668656</v>
      </c>
      <c r="H1238">
        <v>28.880351145619091</v>
      </c>
      <c r="I1238">
        <v>25.177713968559399</v>
      </c>
      <c r="J1238">
        <v>26.143690540970621</v>
      </c>
      <c r="K1238">
        <v>1410.488383926654</v>
      </c>
      <c r="L1238">
        <v>1</v>
      </c>
      <c r="M1238" t="s">
        <v>66</v>
      </c>
    </row>
    <row r="1239" spans="1:13" x14ac:dyDescent="0.3">
      <c r="A1239" t="s">
        <v>18</v>
      </c>
      <c r="B1239" t="s">
        <v>43</v>
      </c>
      <c r="C1239">
        <v>27.281562040131728</v>
      </c>
      <c r="D1239">
        <v>0.91252177003125645</v>
      </c>
      <c r="E1239">
        <v>1.028900808601378</v>
      </c>
      <c r="F1239">
        <v>4.3668703940354234</v>
      </c>
      <c r="G1239">
        <v>6.5065004201578072</v>
      </c>
      <c r="H1239">
        <v>24.001950215916121</v>
      </c>
      <c r="I1239">
        <v>25.504524903339341</v>
      </c>
      <c r="J1239">
        <v>19.331069875309481</v>
      </c>
      <c r="K1239">
        <v>1903.1265011604719</v>
      </c>
      <c r="L1239">
        <v>1</v>
      </c>
      <c r="M1239" t="s">
        <v>66</v>
      </c>
    </row>
    <row r="1240" spans="1:13" x14ac:dyDescent="0.3">
      <c r="A1240" t="s">
        <v>20</v>
      </c>
      <c r="B1240" t="s">
        <v>50</v>
      </c>
      <c r="C1240">
        <v>46.729378985975288</v>
      </c>
      <c r="D1240">
        <v>1.7949643425932491</v>
      </c>
      <c r="E1240">
        <v>3.203914394885425</v>
      </c>
      <c r="F1240">
        <v>7.8096030505082483</v>
      </c>
      <c r="G1240">
        <v>6.7416524315414961</v>
      </c>
      <c r="H1240">
        <v>23.688704838717381</v>
      </c>
      <c r="I1240">
        <v>21.080141422268252</v>
      </c>
      <c r="J1240">
        <v>19.696916660242032</v>
      </c>
      <c r="K1240">
        <v>1759.646841750676</v>
      </c>
      <c r="L1240">
        <v>1</v>
      </c>
      <c r="M1240" t="s">
        <v>66</v>
      </c>
    </row>
    <row r="1241" spans="1:13" x14ac:dyDescent="0.3">
      <c r="A1241" t="s">
        <v>18</v>
      </c>
      <c r="B1241" t="s">
        <v>42</v>
      </c>
      <c r="C1241">
        <v>59.669071127109831</v>
      </c>
      <c r="D1241">
        <v>3.1020435490903329</v>
      </c>
      <c r="E1241">
        <v>3.8496365028005228</v>
      </c>
      <c r="F1241">
        <v>11.004555795220311</v>
      </c>
      <c r="G1241">
        <v>5.7754082098799753</v>
      </c>
      <c r="H1241">
        <v>43.228918064448017</v>
      </c>
      <c r="I1241">
        <v>19.92285822596449</v>
      </c>
      <c r="J1241">
        <v>21.06963773875303</v>
      </c>
      <c r="K1241">
        <v>1763.1272163628821</v>
      </c>
      <c r="L1241">
        <v>1</v>
      </c>
      <c r="M1241" t="s">
        <v>66</v>
      </c>
    </row>
    <row r="1242" spans="1:13" x14ac:dyDescent="0.3">
      <c r="A1242" t="s">
        <v>19</v>
      </c>
      <c r="B1242" t="s">
        <v>44</v>
      </c>
      <c r="C1242">
        <v>34.517794599273181</v>
      </c>
      <c r="D1242">
        <v>1.0513289410045621</v>
      </c>
      <c r="E1242">
        <v>1.896530804467325</v>
      </c>
      <c r="F1242">
        <v>5.5783362357816726</v>
      </c>
      <c r="G1242">
        <v>6.141062633116511</v>
      </c>
      <c r="H1242">
        <v>18.530807250347419</v>
      </c>
      <c r="I1242">
        <v>18.630969419553249</v>
      </c>
      <c r="J1242">
        <v>31.73611484400702</v>
      </c>
      <c r="K1242">
        <v>2257</v>
      </c>
      <c r="L1242">
        <v>1</v>
      </c>
      <c r="M1242" t="s">
        <v>66</v>
      </c>
    </row>
    <row r="1243" spans="1:13" x14ac:dyDescent="0.3">
      <c r="A1243" t="s">
        <v>15</v>
      </c>
      <c r="B1243" t="s">
        <v>30</v>
      </c>
      <c r="C1243">
        <v>96.920861752393535</v>
      </c>
      <c r="D1243">
        <v>4.4678293813645169</v>
      </c>
      <c r="E1243">
        <v>6.7882492496859479</v>
      </c>
      <c r="F1243">
        <v>15.89548080887829</v>
      </c>
      <c r="G1243">
        <v>6.2944728577579223</v>
      </c>
      <c r="H1243">
        <v>29.561273265533728</v>
      </c>
      <c r="I1243">
        <v>21.35024719094681</v>
      </c>
      <c r="J1243">
        <v>27.422739475122139</v>
      </c>
      <c r="K1243">
        <v>1962.324928413595</v>
      </c>
      <c r="L1243">
        <v>1</v>
      </c>
      <c r="M1243" t="s">
        <v>66</v>
      </c>
    </row>
    <row r="1244" spans="1:13" x14ac:dyDescent="0.3">
      <c r="A1244" t="s">
        <v>24</v>
      </c>
      <c r="B1244" t="s">
        <v>58</v>
      </c>
      <c r="C1244">
        <v>33.576014973050533</v>
      </c>
      <c r="D1244">
        <v>0.88049148751102146</v>
      </c>
      <c r="E1244">
        <v>1.9998852128734259</v>
      </c>
      <c r="F1244">
        <v>4.9532895999575706</v>
      </c>
      <c r="G1244">
        <v>6.9672357586750229</v>
      </c>
      <c r="H1244">
        <v>59.386746476549902</v>
      </c>
      <c r="I1244">
        <v>24.618663005186399</v>
      </c>
      <c r="J1244">
        <v>24.2016719452945</v>
      </c>
      <c r="K1244">
        <v>724.40668192074531</v>
      </c>
      <c r="L1244">
        <v>0</v>
      </c>
      <c r="M1244" t="s">
        <v>66</v>
      </c>
    </row>
    <row r="1245" spans="1:13" x14ac:dyDescent="0.3">
      <c r="A1245" t="s">
        <v>22</v>
      </c>
      <c r="B1245" t="s">
        <v>53</v>
      </c>
      <c r="C1245">
        <v>27.0753038768663</v>
      </c>
      <c r="D1245">
        <v>1.019701006266988</v>
      </c>
      <c r="E1245">
        <v>0.99166453102189767</v>
      </c>
      <c r="F1245">
        <v>4.5206005791592796</v>
      </c>
      <c r="G1245">
        <v>6.7050884083252376</v>
      </c>
      <c r="H1245">
        <v>52.315002148319913</v>
      </c>
      <c r="I1245">
        <v>21.269503434660809</v>
      </c>
      <c r="J1245">
        <v>19.86165067857538</v>
      </c>
      <c r="K1245">
        <v>1281.4927959390659</v>
      </c>
      <c r="L1245">
        <v>1</v>
      </c>
      <c r="M1245" t="s">
        <v>66</v>
      </c>
    </row>
    <row r="1246" spans="1:13" x14ac:dyDescent="0.3">
      <c r="A1246" t="s">
        <v>18</v>
      </c>
      <c r="B1246" t="s">
        <v>43</v>
      </c>
      <c r="C1246">
        <v>31.088851506065819</v>
      </c>
      <c r="D1246">
        <v>0.9226683821010444</v>
      </c>
      <c r="E1246">
        <v>2.0240989458447571</v>
      </c>
      <c r="F1246">
        <v>3.3613953228126481</v>
      </c>
      <c r="G1246">
        <v>6.2165628911518729</v>
      </c>
      <c r="H1246">
        <v>21.855102648953721</v>
      </c>
      <c r="I1246">
        <v>22.179582454435518</v>
      </c>
      <c r="J1246">
        <v>19.49789947869909</v>
      </c>
      <c r="K1246">
        <v>1831.472832817374</v>
      </c>
      <c r="L1246">
        <v>1</v>
      </c>
      <c r="M1246" t="s">
        <v>66</v>
      </c>
    </row>
    <row r="1247" spans="1:13" x14ac:dyDescent="0.3">
      <c r="A1247" t="s">
        <v>16</v>
      </c>
      <c r="B1247" t="s">
        <v>37</v>
      </c>
      <c r="C1247">
        <v>11.91221602003152</v>
      </c>
      <c r="D1247">
        <v>0</v>
      </c>
      <c r="E1247">
        <v>0</v>
      </c>
      <c r="F1247">
        <v>0.84378051216787142</v>
      </c>
      <c r="G1247">
        <v>6.5481485845071017</v>
      </c>
      <c r="H1247">
        <v>35.040710549521798</v>
      </c>
      <c r="I1247">
        <v>16.872870356867779</v>
      </c>
      <c r="J1247">
        <v>21.90481312717964</v>
      </c>
      <c r="K1247">
        <v>1462.2538816993019</v>
      </c>
      <c r="L1247">
        <v>1</v>
      </c>
      <c r="M1247" t="s">
        <v>66</v>
      </c>
    </row>
    <row r="1248" spans="1:13" x14ac:dyDescent="0.3">
      <c r="A1248" t="s">
        <v>25</v>
      </c>
      <c r="B1248" t="s">
        <v>62</v>
      </c>
      <c r="C1248">
        <v>25.194688473726089</v>
      </c>
      <c r="D1248">
        <v>1.2904863879731829</v>
      </c>
      <c r="E1248">
        <v>0.95555868242207431</v>
      </c>
      <c r="F1248">
        <v>2.7364730082841242</v>
      </c>
      <c r="G1248">
        <v>6.2207410352967214</v>
      </c>
      <c r="H1248">
        <v>66.832655897641175</v>
      </c>
      <c r="I1248">
        <v>20.415387631100661</v>
      </c>
      <c r="J1248">
        <v>24.544436234257109</v>
      </c>
      <c r="K1248">
        <v>1201.0304233925781</v>
      </c>
      <c r="L1248">
        <v>0</v>
      </c>
      <c r="M1248" t="s">
        <v>66</v>
      </c>
    </row>
    <row r="1249" spans="1:13" x14ac:dyDescent="0.3">
      <c r="A1249" t="s">
        <v>16</v>
      </c>
      <c r="B1249" t="s">
        <v>36</v>
      </c>
      <c r="C1249">
        <v>22.352128583480692</v>
      </c>
      <c r="D1249">
        <v>1.018617729080346</v>
      </c>
      <c r="E1249">
        <v>1.0106327181661641</v>
      </c>
      <c r="F1249">
        <v>3.1226163565679119</v>
      </c>
      <c r="G1249">
        <v>6.1550527068588439</v>
      </c>
      <c r="H1249">
        <v>27.39024342669444</v>
      </c>
      <c r="I1249">
        <v>23.548285081517879</v>
      </c>
      <c r="J1249">
        <v>22.622299426574031</v>
      </c>
      <c r="K1249">
        <v>1734.2209503303111</v>
      </c>
      <c r="L1249">
        <v>1</v>
      </c>
      <c r="M1249" t="s">
        <v>66</v>
      </c>
    </row>
    <row r="1250" spans="1:13" x14ac:dyDescent="0.3">
      <c r="A1250" t="s">
        <v>18</v>
      </c>
      <c r="B1250" t="s">
        <v>42</v>
      </c>
      <c r="C1250">
        <v>65.108923072985036</v>
      </c>
      <c r="D1250">
        <v>2.835029920727675</v>
      </c>
      <c r="E1250">
        <v>4.3785264924783434</v>
      </c>
      <c r="F1250">
        <v>9.2321234203523126</v>
      </c>
      <c r="G1250">
        <v>5.6778944569715746</v>
      </c>
      <c r="H1250">
        <v>43.416718587629738</v>
      </c>
      <c r="I1250">
        <v>20.322402139402769</v>
      </c>
      <c r="J1250">
        <v>20.638429900369569</v>
      </c>
      <c r="K1250">
        <v>1742.2693537343739</v>
      </c>
      <c r="L1250">
        <v>1</v>
      </c>
      <c r="M1250" t="s">
        <v>66</v>
      </c>
    </row>
    <row r="1251" spans="1:13" x14ac:dyDescent="0.3">
      <c r="A1251" t="s">
        <v>16</v>
      </c>
      <c r="B1251" t="s">
        <v>36</v>
      </c>
      <c r="C1251">
        <v>9.4824699663859775</v>
      </c>
      <c r="D1251">
        <v>0</v>
      </c>
      <c r="E1251">
        <v>0</v>
      </c>
      <c r="F1251">
        <v>1.0991356288996299</v>
      </c>
      <c r="G1251">
        <v>6.1061110726116734</v>
      </c>
      <c r="H1251">
        <v>30.3100131313745</v>
      </c>
      <c r="I1251">
        <v>15.9</v>
      </c>
      <c r="J1251">
        <v>22.862749617776849</v>
      </c>
      <c r="K1251">
        <v>1426.506799147533</v>
      </c>
      <c r="L1251">
        <v>1</v>
      </c>
      <c r="M1251" t="s">
        <v>66</v>
      </c>
    </row>
    <row r="1252" spans="1:13" x14ac:dyDescent="0.3">
      <c r="A1252" t="s">
        <v>24</v>
      </c>
      <c r="B1252" t="s">
        <v>59</v>
      </c>
      <c r="C1252">
        <v>61.151064316524703</v>
      </c>
      <c r="D1252">
        <v>2.1185720731640658</v>
      </c>
      <c r="E1252">
        <v>3.677415753149059</v>
      </c>
      <c r="F1252">
        <v>8.8242937765662663</v>
      </c>
      <c r="G1252">
        <v>6.6008531483894997</v>
      </c>
      <c r="H1252">
        <v>55.624640155375047</v>
      </c>
      <c r="I1252">
        <v>27.242349438890749</v>
      </c>
      <c r="J1252">
        <v>23.465622042482149</v>
      </c>
      <c r="K1252">
        <v>737.35228623775788</v>
      </c>
      <c r="L1252">
        <v>0</v>
      </c>
      <c r="M1252" t="s">
        <v>66</v>
      </c>
    </row>
    <row r="1253" spans="1:13" x14ac:dyDescent="0.3">
      <c r="A1253" t="s">
        <v>15</v>
      </c>
      <c r="B1253" t="s">
        <v>34</v>
      </c>
      <c r="C1253">
        <v>196.4849575040453</v>
      </c>
      <c r="D1253">
        <v>9.6986370957396719</v>
      </c>
      <c r="E1253">
        <v>14.38165543583859</v>
      </c>
      <c r="F1253">
        <v>27.09696497422701</v>
      </c>
      <c r="G1253">
        <v>5.9227681299579409</v>
      </c>
      <c r="H1253">
        <v>39.408266745080979</v>
      </c>
      <c r="I1253">
        <v>24.946819427381381</v>
      </c>
      <c r="J1253">
        <v>19.426644372567349</v>
      </c>
      <c r="K1253">
        <v>2074.8945760560009</v>
      </c>
      <c r="L1253">
        <v>1</v>
      </c>
      <c r="M1253" t="s">
        <v>66</v>
      </c>
    </row>
    <row r="1254" spans="1:13" x14ac:dyDescent="0.3">
      <c r="A1254" t="s">
        <v>15</v>
      </c>
      <c r="B1254" t="s">
        <v>34</v>
      </c>
      <c r="C1254">
        <v>149.57406621542711</v>
      </c>
      <c r="D1254">
        <v>7.7987259285013257</v>
      </c>
      <c r="E1254">
        <v>9.2919877388277232</v>
      </c>
      <c r="F1254">
        <v>23.998525714770061</v>
      </c>
      <c r="G1254">
        <v>5.8304094867649896</v>
      </c>
      <c r="H1254">
        <v>25.24029984904681</v>
      </c>
      <c r="I1254">
        <v>23.205298377339599</v>
      </c>
      <c r="J1254">
        <v>18.626515980348959</v>
      </c>
      <c r="K1254">
        <v>2123.5168037746098</v>
      </c>
      <c r="L1254">
        <v>1</v>
      </c>
      <c r="M1254" t="s">
        <v>66</v>
      </c>
    </row>
    <row r="1255" spans="1:13" x14ac:dyDescent="0.3">
      <c r="A1255" t="s">
        <v>15</v>
      </c>
      <c r="B1255" t="s">
        <v>30</v>
      </c>
      <c r="C1255">
        <v>104.5494594465704</v>
      </c>
      <c r="D1255">
        <v>4.866384553377852</v>
      </c>
      <c r="E1255">
        <v>7.2959343172279203</v>
      </c>
      <c r="F1255">
        <v>15.9298849623104</v>
      </c>
      <c r="G1255">
        <v>6.0547553296430774</v>
      </c>
      <c r="H1255">
        <v>28.260097138115071</v>
      </c>
      <c r="I1255">
        <v>20.376948647826492</v>
      </c>
      <c r="J1255">
        <v>27.37377975764716</v>
      </c>
      <c r="K1255">
        <v>1902.220757552248</v>
      </c>
      <c r="L1255">
        <v>1</v>
      </c>
      <c r="M1255" t="s">
        <v>66</v>
      </c>
    </row>
    <row r="1256" spans="1:13" x14ac:dyDescent="0.3">
      <c r="A1256" t="s">
        <v>19</v>
      </c>
      <c r="B1256" t="s">
        <v>44</v>
      </c>
      <c r="C1256">
        <v>19.29352042639924</v>
      </c>
      <c r="D1256">
        <v>1.0919906340230869</v>
      </c>
      <c r="E1256">
        <v>0.96187698365780072</v>
      </c>
      <c r="F1256">
        <v>2.9636049074042621</v>
      </c>
      <c r="G1256">
        <v>5.935346967437682</v>
      </c>
      <c r="H1256">
        <v>16.558449289808269</v>
      </c>
      <c r="I1256">
        <v>25.356316583895708</v>
      </c>
      <c r="J1256">
        <v>23.634546419194422</v>
      </c>
      <c r="K1256">
        <v>1306.591662828466</v>
      </c>
      <c r="L1256">
        <v>0</v>
      </c>
      <c r="M1256" t="s">
        <v>66</v>
      </c>
    </row>
    <row r="1257" spans="1:13" x14ac:dyDescent="0.3">
      <c r="A1257" t="s">
        <v>21</v>
      </c>
      <c r="B1257" t="s">
        <v>52</v>
      </c>
      <c r="C1257">
        <v>63.708043128325038</v>
      </c>
      <c r="D1257">
        <v>3.6909487074142779</v>
      </c>
      <c r="E1257">
        <v>4.1147359036930542</v>
      </c>
      <c r="F1257">
        <v>8.6893953842387823</v>
      </c>
      <c r="G1257">
        <v>5.8800656687940718</v>
      </c>
      <c r="H1257">
        <v>31.09755864583876</v>
      </c>
      <c r="I1257">
        <v>19.689195288839169</v>
      </c>
      <c r="J1257">
        <v>20.015156001958509</v>
      </c>
      <c r="K1257">
        <v>1567.8686363737779</v>
      </c>
      <c r="L1257">
        <v>1</v>
      </c>
      <c r="M1257" t="s">
        <v>66</v>
      </c>
    </row>
    <row r="1258" spans="1:13" x14ac:dyDescent="0.3">
      <c r="A1258" t="s">
        <v>20</v>
      </c>
      <c r="B1258" t="s">
        <v>51</v>
      </c>
      <c r="C1258">
        <v>87.754319300231074</v>
      </c>
      <c r="D1258">
        <v>4.4733724443359879</v>
      </c>
      <c r="E1258">
        <v>6.9444231529051548</v>
      </c>
      <c r="F1258">
        <v>11.95985862445813</v>
      </c>
      <c r="G1258">
        <v>6.1060457196092184</v>
      </c>
      <c r="H1258">
        <v>35.259952509635617</v>
      </c>
      <c r="I1258">
        <v>21.16066699338835</v>
      </c>
      <c r="J1258">
        <v>20.312221090085082</v>
      </c>
      <c r="K1258">
        <v>1579.89546606973</v>
      </c>
      <c r="L1258">
        <v>1</v>
      </c>
      <c r="M1258" t="s">
        <v>66</v>
      </c>
    </row>
    <row r="1259" spans="1:13" x14ac:dyDescent="0.3">
      <c r="A1259" t="s">
        <v>20</v>
      </c>
      <c r="B1259" t="s">
        <v>51</v>
      </c>
      <c r="C1259">
        <v>68.160749550011303</v>
      </c>
      <c r="D1259">
        <v>2.6718309668149889</v>
      </c>
      <c r="E1259">
        <v>5.1821009690349857</v>
      </c>
      <c r="F1259">
        <v>9.497321166930826</v>
      </c>
      <c r="G1259">
        <v>6.589398536471136</v>
      </c>
      <c r="H1259">
        <v>27.579510772033029</v>
      </c>
      <c r="I1259">
        <v>22.13703323824214</v>
      </c>
      <c r="J1259">
        <v>19.909633797311589</v>
      </c>
      <c r="K1259">
        <v>1468.6716926578511</v>
      </c>
      <c r="L1259">
        <v>1</v>
      </c>
      <c r="M1259" t="s">
        <v>66</v>
      </c>
    </row>
    <row r="1260" spans="1:13" x14ac:dyDescent="0.3">
      <c r="A1260" t="s">
        <v>18</v>
      </c>
      <c r="B1260" t="s">
        <v>43</v>
      </c>
      <c r="C1260">
        <v>23.331279394915271</v>
      </c>
      <c r="D1260">
        <v>1.000318506321739</v>
      </c>
      <c r="E1260">
        <v>0.90909039566408278</v>
      </c>
      <c r="F1260">
        <v>3.926952216874243</v>
      </c>
      <c r="G1260">
        <v>6.2854953911153064</v>
      </c>
      <c r="H1260">
        <v>26.846646546036752</v>
      </c>
      <c r="I1260">
        <v>26.008568180299751</v>
      </c>
      <c r="J1260">
        <v>19.369225070850351</v>
      </c>
      <c r="K1260">
        <v>1851.4006399207719</v>
      </c>
      <c r="L1260">
        <v>1</v>
      </c>
      <c r="M1260" t="s">
        <v>66</v>
      </c>
    </row>
    <row r="1261" spans="1:13" x14ac:dyDescent="0.3">
      <c r="A1261" t="s">
        <v>22</v>
      </c>
      <c r="B1261" t="s">
        <v>54</v>
      </c>
      <c r="C1261">
        <v>22.826567553876501</v>
      </c>
      <c r="D1261">
        <v>1.0137456508179059</v>
      </c>
      <c r="E1261">
        <v>1.0035288964254789</v>
      </c>
      <c r="F1261">
        <v>2.6234851777864758</v>
      </c>
      <c r="G1261">
        <v>6.3254096599391838</v>
      </c>
      <c r="H1261">
        <v>35.370802946696479</v>
      </c>
      <c r="I1261">
        <v>18.36767016650359</v>
      </c>
      <c r="J1261">
        <v>16.056277474125899</v>
      </c>
      <c r="K1261">
        <v>1759.639565973913</v>
      </c>
      <c r="L1261">
        <v>1</v>
      </c>
      <c r="M1261" t="s">
        <v>66</v>
      </c>
    </row>
    <row r="1262" spans="1:13" x14ac:dyDescent="0.3">
      <c r="A1262" t="s">
        <v>22</v>
      </c>
      <c r="B1262" t="s">
        <v>53</v>
      </c>
      <c r="C1262">
        <v>31.18735059812602</v>
      </c>
      <c r="D1262">
        <v>0.92786178577746714</v>
      </c>
      <c r="E1262">
        <v>1.90252927264593</v>
      </c>
      <c r="F1262">
        <v>4.5228953375399534</v>
      </c>
      <c r="G1262">
        <v>6.0482396634653837</v>
      </c>
      <c r="H1262">
        <v>20.39823707236652</v>
      </c>
      <c r="I1262">
        <v>24.380136763120969</v>
      </c>
      <c r="J1262">
        <v>20.908784112780879</v>
      </c>
      <c r="K1262">
        <v>1248.149625248104</v>
      </c>
      <c r="L1262">
        <v>1</v>
      </c>
      <c r="M1262" t="s">
        <v>66</v>
      </c>
    </row>
    <row r="1263" spans="1:13" x14ac:dyDescent="0.3">
      <c r="A1263" t="s">
        <v>15</v>
      </c>
      <c r="B1263" t="s">
        <v>33</v>
      </c>
      <c r="C1263">
        <v>42.006516313598361</v>
      </c>
      <c r="D1263">
        <v>2.30346377713138</v>
      </c>
      <c r="E1263">
        <v>2.2825355665176481</v>
      </c>
      <c r="F1263">
        <v>6.8663845519183972</v>
      </c>
      <c r="G1263">
        <v>5.9136515917530614</v>
      </c>
      <c r="H1263">
        <v>38.833889574384031</v>
      </c>
      <c r="I1263">
        <v>19.307164513596931</v>
      </c>
      <c r="J1263">
        <v>19.0845137515253</v>
      </c>
      <c r="K1263">
        <v>1924.899714405316</v>
      </c>
      <c r="L1263">
        <v>1</v>
      </c>
      <c r="M1263" t="s">
        <v>66</v>
      </c>
    </row>
    <row r="1264" spans="1:13" x14ac:dyDescent="0.3">
      <c r="A1264" t="s">
        <v>25</v>
      </c>
      <c r="B1264" t="s">
        <v>62</v>
      </c>
      <c r="C1264">
        <v>32.355653784206943</v>
      </c>
      <c r="D1264">
        <v>1.0166415818189121</v>
      </c>
      <c r="E1264">
        <v>1.984907550354315</v>
      </c>
      <c r="F1264">
        <v>4.4183265984872317</v>
      </c>
      <c r="G1264">
        <v>6.3210317933030753</v>
      </c>
      <c r="H1264">
        <v>39.979425041886927</v>
      </c>
      <c r="I1264">
        <v>20.498554927817271</v>
      </c>
      <c r="J1264">
        <v>24.233891522859111</v>
      </c>
      <c r="K1264">
        <v>1063.179578218108</v>
      </c>
      <c r="L1264">
        <v>0</v>
      </c>
      <c r="M1264" t="s">
        <v>66</v>
      </c>
    </row>
    <row r="1265" spans="1:13" x14ac:dyDescent="0.3">
      <c r="A1265" t="s">
        <v>18</v>
      </c>
      <c r="B1265" t="s">
        <v>42</v>
      </c>
      <c r="C1265">
        <v>25.825921815617139</v>
      </c>
      <c r="D1265">
        <v>0.87932400531086108</v>
      </c>
      <c r="E1265">
        <v>1.0530377395598121</v>
      </c>
      <c r="F1265">
        <v>4.2175039838735753</v>
      </c>
      <c r="G1265">
        <v>5.4231853646271553</v>
      </c>
      <c r="H1265">
        <v>30.23902352964901</v>
      </c>
      <c r="I1265">
        <v>19.681918564611561</v>
      </c>
      <c r="J1265">
        <v>25.77861488008255</v>
      </c>
      <c r="K1265">
        <v>1920.392995731532</v>
      </c>
      <c r="L1265">
        <v>1</v>
      </c>
      <c r="M1265" t="s">
        <v>66</v>
      </c>
    </row>
    <row r="1266" spans="1:13" x14ac:dyDescent="0.3">
      <c r="A1266" t="s">
        <v>20</v>
      </c>
      <c r="B1266" t="s">
        <v>50</v>
      </c>
      <c r="C1266">
        <v>53.643249112934633</v>
      </c>
      <c r="D1266">
        <v>1.950989644622295</v>
      </c>
      <c r="E1266">
        <v>3.4083727607456682</v>
      </c>
      <c r="F1266">
        <v>8.302054158004637</v>
      </c>
      <c r="G1266">
        <v>6.2152268325006119</v>
      </c>
      <c r="H1266">
        <v>24.134204001247291</v>
      </c>
      <c r="I1266">
        <v>16.930005141753568</v>
      </c>
      <c r="J1266">
        <v>22.373017144571591</v>
      </c>
      <c r="K1266">
        <v>1793.302836195347</v>
      </c>
      <c r="L1266">
        <v>1</v>
      </c>
      <c r="M1266" t="s">
        <v>66</v>
      </c>
    </row>
    <row r="1267" spans="1:13" x14ac:dyDescent="0.3">
      <c r="A1267" t="s">
        <v>22</v>
      </c>
      <c r="B1267" t="s">
        <v>54</v>
      </c>
      <c r="C1267">
        <v>46.935134353574817</v>
      </c>
      <c r="D1267">
        <v>2.2520455961699168</v>
      </c>
      <c r="E1267">
        <v>2.6913954559564388</v>
      </c>
      <c r="F1267">
        <v>6.9151817459983107</v>
      </c>
      <c r="G1267">
        <v>7.5</v>
      </c>
      <c r="H1267">
        <v>44.86286969183454</v>
      </c>
      <c r="I1267">
        <v>30.537575868678889</v>
      </c>
      <c r="J1267">
        <v>22.597300843875779</v>
      </c>
      <c r="K1267">
        <v>1369.0409770646761</v>
      </c>
      <c r="L1267">
        <v>1</v>
      </c>
      <c r="M1267" t="s">
        <v>66</v>
      </c>
    </row>
    <row r="1268" spans="1:13" x14ac:dyDescent="0.3">
      <c r="A1268" t="s">
        <v>16</v>
      </c>
      <c r="B1268" t="s">
        <v>37</v>
      </c>
      <c r="C1268">
        <v>12.133989847556091</v>
      </c>
      <c r="D1268">
        <v>0</v>
      </c>
      <c r="E1268">
        <v>0</v>
      </c>
      <c r="F1268">
        <v>1.0819605588104011</v>
      </c>
      <c r="G1268">
        <v>6.6538258469799034</v>
      </c>
      <c r="H1268">
        <v>34.836464834207042</v>
      </c>
      <c r="I1268">
        <v>18.179625264143581</v>
      </c>
      <c r="J1268">
        <v>22.066596543398081</v>
      </c>
      <c r="K1268">
        <v>1487.6407276743359</v>
      </c>
      <c r="L1268">
        <v>1</v>
      </c>
      <c r="M1268" t="s">
        <v>66</v>
      </c>
    </row>
    <row r="1269" spans="1:13" x14ac:dyDescent="0.3">
      <c r="A1269" t="s">
        <v>15</v>
      </c>
      <c r="B1269" t="s">
        <v>33</v>
      </c>
      <c r="C1269">
        <v>90.098167246964593</v>
      </c>
      <c r="D1269">
        <v>4.06514324028619</v>
      </c>
      <c r="E1269">
        <v>6.336147958145208</v>
      </c>
      <c r="F1269">
        <v>13.423883805780809</v>
      </c>
      <c r="G1269">
        <v>6.7910941742569264</v>
      </c>
      <c r="H1269">
        <v>33.688034335258131</v>
      </c>
      <c r="I1269">
        <v>18.691685351337931</v>
      </c>
      <c r="J1269">
        <v>17.110967904746921</v>
      </c>
      <c r="K1269">
        <v>1949.330454158059</v>
      </c>
      <c r="L1269">
        <v>1</v>
      </c>
      <c r="M1269" t="s">
        <v>66</v>
      </c>
    </row>
    <row r="1270" spans="1:13" x14ac:dyDescent="0.3">
      <c r="A1270" t="s">
        <v>20</v>
      </c>
      <c r="B1270" t="s">
        <v>51</v>
      </c>
      <c r="C1270">
        <v>263.8687321370503</v>
      </c>
      <c r="D1270">
        <v>12.117179882005381</v>
      </c>
      <c r="E1270">
        <v>18.315618385825879</v>
      </c>
      <c r="F1270">
        <v>43.193370785307323</v>
      </c>
      <c r="G1270">
        <v>5.2516051010946363</v>
      </c>
      <c r="H1270">
        <v>30.537139404920332</v>
      </c>
      <c r="I1270">
        <v>20.116510286056879</v>
      </c>
      <c r="J1270">
        <v>18.23066023845438</v>
      </c>
      <c r="K1270">
        <v>1544.202674734632</v>
      </c>
      <c r="L1270">
        <v>1</v>
      </c>
      <c r="M1270" t="s">
        <v>66</v>
      </c>
    </row>
    <row r="1271" spans="1:13" x14ac:dyDescent="0.3">
      <c r="A1271" t="s">
        <v>22</v>
      </c>
      <c r="B1271" t="s">
        <v>53</v>
      </c>
      <c r="C1271">
        <v>344.22174038113201</v>
      </c>
      <c r="D1271">
        <v>13.987003414813589</v>
      </c>
      <c r="E1271">
        <v>22.082934561102931</v>
      </c>
      <c r="F1271">
        <v>54.19366564890732</v>
      </c>
      <c r="G1271">
        <v>6.3096714870681279</v>
      </c>
      <c r="H1271">
        <v>33.938558664051449</v>
      </c>
      <c r="I1271">
        <v>24.83108868628447</v>
      </c>
      <c r="J1271">
        <v>21.09554194936198</v>
      </c>
      <c r="K1271">
        <v>1344.506348687303</v>
      </c>
      <c r="L1271">
        <v>1</v>
      </c>
      <c r="M1271" t="s">
        <v>66</v>
      </c>
    </row>
    <row r="1272" spans="1:13" x14ac:dyDescent="0.3">
      <c r="A1272" t="s">
        <v>19</v>
      </c>
      <c r="B1272" t="s">
        <v>46</v>
      </c>
      <c r="C1272">
        <v>45.508911916011968</v>
      </c>
      <c r="D1272">
        <v>1.836724556240124</v>
      </c>
      <c r="E1272">
        <v>3.44067887123642</v>
      </c>
      <c r="F1272">
        <v>1.844106529541774</v>
      </c>
      <c r="G1272">
        <v>6.0722654066702093</v>
      </c>
      <c r="H1272">
        <v>21.553610132140879</v>
      </c>
      <c r="I1272">
        <v>28.597354649514571</v>
      </c>
      <c r="J1272">
        <v>25.883662593871161</v>
      </c>
      <c r="K1272">
        <v>730.86947223969821</v>
      </c>
      <c r="L1272">
        <v>-1</v>
      </c>
      <c r="M1272" t="s">
        <v>66</v>
      </c>
    </row>
    <row r="1273" spans="1:13" x14ac:dyDescent="0.3">
      <c r="A1273" t="s">
        <v>18</v>
      </c>
      <c r="B1273" t="s">
        <v>42</v>
      </c>
      <c r="C1273">
        <v>24.992001685010489</v>
      </c>
      <c r="D1273">
        <v>1.0677116093284229</v>
      </c>
      <c r="E1273">
        <v>1.103798867860474</v>
      </c>
      <c r="F1273">
        <v>4.1440233453955599</v>
      </c>
      <c r="G1273">
        <v>5.448126853235685</v>
      </c>
      <c r="H1273">
        <v>27.654655147060161</v>
      </c>
      <c r="I1273">
        <v>19.044502257764261</v>
      </c>
      <c r="J1273">
        <v>25.281053172465288</v>
      </c>
      <c r="K1273">
        <v>1842.060904824642</v>
      </c>
      <c r="L1273">
        <v>1</v>
      </c>
      <c r="M1273" t="s">
        <v>66</v>
      </c>
    </row>
    <row r="1274" spans="1:13" x14ac:dyDescent="0.3">
      <c r="A1274" t="s">
        <v>16</v>
      </c>
      <c r="B1274" t="s">
        <v>37</v>
      </c>
      <c r="C1274">
        <v>11.916318091290989</v>
      </c>
      <c r="D1274">
        <v>0</v>
      </c>
      <c r="E1274">
        <v>0</v>
      </c>
      <c r="F1274">
        <v>1.1542197192287289</v>
      </c>
      <c r="G1274">
        <v>6.6986991179550657</v>
      </c>
      <c r="H1274">
        <v>36.455561583830693</v>
      </c>
      <c r="I1274">
        <v>18.243442961948769</v>
      </c>
      <c r="J1274">
        <v>21.924160594854278</v>
      </c>
      <c r="K1274">
        <v>1453.162224110918</v>
      </c>
      <c r="L1274">
        <v>1</v>
      </c>
      <c r="M1274" t="s">
        <v>66</v>
      </c>
    </row>
    <row r="1275" spans="1:13" x14ac:dyDescent="0.3">
      <c r="A1275" t="s">
        <v>23</v>
      </c>
      <c r="B1275" t="s">
        <v>56</v>
      </c>
      <c r="C1275">
        <v>71.23698020534647</v>
      </c>
      <c r="D1275">
        <v>3.2341483875609791</v>
      </c>
      <c r="E1275">
        <v>5.3138597621331058</v>
      </c>
      <c r="F1275">
        <v>11.68115583100135</v>
      </c>
      <c r="G1275">
        <v>6.5584306293210366</v>
      </c>
      <c r="H1275">
        <v>17.251092499077199</v>
      </c>
      <c r="I1275">
        <v>20.154936163035892</v>
      </c>
      <c r="J1275">
        <v>18.560877881812921</v>
      </c>
      <c r="K1275">
        <v>1685.3137524895469</v>
      </c>
      <c r="L1275">
        <v>1</v>
      </c>
      <c r="M1275" t="s">
        <v>66</v>
      </c>
    </row>
    <row r="1276" spans="1:13" x14ac:dyDescent="0.3">
      <c r="A1276" t="s">
        <v>19</v>
      </c>
      <c r="B1276" t="s">
        <v>48</v>
      </c>
      <c r="C1276">
        <v>93.806036490847617</v>
      </c>
      <c r="D1276">
        <v>3.2087030979771471</v>
      </c>
      <c r="E1276">
        <v>5.391900065596098</v>
      </c>
      <c r="F1276">
        <v>15.97060821168022</v>
      </c>
      <c r="G1276">
        <v>5.8605085482932102</v>
      </c>
      <c r="H1276">
        <v>36.220689385918988</v>
      </c>
      <c r="I1276">
        <v>24.015020127528441</v>
      </c>
      <c r="J1276">
        <v>25.75846461800343</v>
      </c>
      <c r="K1276">
        <v>659.8277280216389</v>
      </c>
      <c r="L1276">
        <v>1</v>
      </c>
      <c r="M1276" t="s">
        <v>66</v>
      </c>
    </row>
    <row r="1277" spans="1:13" x14ac:dyDescent="0.3">
      <c r="A1277" t="s">
        <v>15</v>
      </c>
      <c r="B1277" t="s">
        <v>33</v>
      </c>
      <c r="C1277">
        <v>42.388056600448351</v>
      </c>
      <c r="D1277">
        <v>1.8486962387789589</v>
      </c>
      <c r="E1277">
        <v>1.925912871693418</v>
      </c>
      <c r="F1277">
        <v>5.8803229943037909</v>
      </c>
      <c r="G1277">
        <v>6.0309237731151653</v>
      </c>
      <c r="H1277">
        <v>36.352842894101137</v>
      </c>
      <c r="I1277">
        <v>20.16988160990465</v>
      </c>
      <c r="J1277">
        <v>19.170103542448299</v>
      </c>
      <c r="K1277">
        <v>1885.639306924186</v>
      </c>
      <c r="L1277">
        <v>1</v>
      </c>
      <c r="M1277" t="s">
        <v>66</v>
      </c>
    </row>
    <row r="1278" spans="1:13" x14ac:dyDescent="0.3">
      <c r="A1278" t="s">
        <v>19</v>
      </c>
      <c r="B1278" t="s">
        <v>44</v>
      </c>
      <c r="C1278">
        <v>43.357056051806467</v>
      </c>
      <c r="D1278">
        <v>1.113040660879353</v>
      </c>
      <c r="E1278">
        <v>1.7235793588265731</v>
      </c>
      <c r="F1278">
        <v>5.3272617611622888</v>
      </c>
      <c r="G1278">
        <v>5.5706386080979611</v>
      </c>
      <c r="H1278">
        <v>37.252566090511891</v>
      </c>
      <c r="I1278">
        <v>25.06769368800612</v>
      </c>
      <c r="J1278">
        <v>18.540458296048811</v>
      </c>
      <c r="K1278">
        <v>1977.929988086179</v>
      </c>
      <c r="L1278">
        <v>1</v>
      </c>
      <c r="M1278" t="s">
        <v>66</v>
      </c>
    </row>
    <row r="1279" spans="1:13" x14ac:dyDescent="0.3">
      <c r="A1279" t="s">
        <v>18</v>
      </c>
      <c r="B1279" t="s">
        <v>41</v>
      </c>
      <c r="C1279">
        <v>0</v>
      </c>
      <c r="D1279">
        <v>0</v>
      </c>
      <c r="E1279">
        <v>0</v>
      </c>
      <c r="F1279">
        <v>-1.7763568394002501E-15</v>
      </c>
      <c r="G1279">
        <v>7.0436976867848244</v>
      </c>
      <c r="H1279">
        <v>13.9</v>
      </c>
      <c r="I1279">
        <v>36.401997728607441</v>
      </c>
      <c r="J1279">
        <v>30.81682584926434</v>
      </c>
      <c r="K1279">
        <v>1775.1681745061969</v>
      </c>
      <c r="L1279">
        <v>1</v>
      </c>
      <c r="M1279" t="s">
        <v>66</v>
      </c>
    </row>
    <row r="1280" spans="1:13" x14ac:dyDescent="0.3">
      <c r="A1280" t="s">
        <v>19</v>
      </c>
      <c r="B1280" t="s">
        <v>44</v>
      </c>
      <c r="C1280">
        <v>43.656770574291301</v>
      </c>
      <c r="D1280">
        <v>1.8749983390608169</v>
      </c>
      <c r="E1280">
        <v>2.0611250641870651</v>
      </c>
      <c r="F1280">
        <v>6.5947260671324361</v>
      </c>
      <c r="G1280">
        <v>4.8351502561654636</v>
      </c>
      <c r="H1280">
        <v>33.805996077516618</v>
      </c>
      <c r="I1280">
        <v>18.8774028034011</v>
      </c>
      <c r="J1280">
        <v>18.98655342212756</v>
      </c>
      <c r="K1280">
        <v>1913.0711665102069</v>
      </c>
      <c r="L1280">
        <v>1</v>
      </c>
      <c r="M1280" t="s">
        <v>66</v>
      </c>
    </row>
    <row r="1281" spans="1:13" x14ac:dyDescent="0.3">
      <c r="A1281" t="s">
        <v>19</v>
      </c>
      <c r="B1281" t="s">
        <v>44</v>
      </c>
      <c r="C1281">
        <v>12.00099049230421</v>
      </c>
      <c r="D1281">
        <v>0</v>
      </c>
      <c r="E1281">
        <v>0</v>
      </c>
      <c r="F1281">
        <v>1.1493038141805729</v>
      </c>
      <c r="G1281">
        <v>6.3644872674868687</v>
      </c>
      <c r="H1281">
        <v>23.41075182080688</v>
      </c>
      <c r="I1281">
        <v>18.477302489701572</v>
      </c>
      <c r="J1281">
        <v>28.412866430163191</v>
      </c>
      <c r="K1281">
        <v>2180.2714618206269</v>
      </c>
      <c r="L1281">
        <v>1</v>
      </c>
      <c r="M1281" t="s">
        <v>66</v>
      </c>
    </row>
    <row r="1282" spans="1:13" x14ac:dyDescent="0.3">
      <c r="A1282" t="s">
        <v>18</v>
      </c>
      <c r="B1282" t="s">
        <v>42</v>
      </c>
      <c r="C1282">
        <v>5.7745255558445052</v>
      </c>
      <c r="D1282">
        <v>0</v>
      </c>
      <c r="E1282">
        <v>0</v>
      </c>
      <c r="F1282">
        <v>-1.7763568394002501E-15</v>
      </c>
      <c r="G1282">
        <v>5.7037799670645724</v>
      </c>
      <c r="H1282">
        <v>20.072624000141442</v>
      </c>
      <c r="I1282">
        <v>21.566847175207389</v>
      </c>
      <c r="J1282">
        <v>24.580443773768948</v>
      </c>
      <c r="K1282">
        <v>1896.1817767789209</v>
      </c>
      <c r="L1282">
        <v>1</v>
      </c>
      <c r="M1282" t="s">
        <v>66</v>
      </c>
    </row>
    <row r="1283" spans="1:13" x14ac:dyDescent="0.3">
      <c r="A1283" t="s">
        <v>19</v>
      </c>
      <c r="B1283" t="s">
        <v>44</v>
      </c>
      <c r="C1283">
        <v>46.893669512917192</v>
      </c>
      <c r="D1283">
        <v>1.8564003328881311</v>
      </c>
      <c r="E1283">
        <v>2.2472560301790878</v>
      </c>
      <c r="F1283">
        <v>5.2568952268282656</v>
      </c>
      <c r="G1283">
        <v>4.6779030953802163</v>
      </c>
      <c r="H1283">
        <v>35.362874145036407</v>
      </c>
      <c r="I1283">
        <v>19.219076005790821</v>
      </c>
      <c r="J1283">
        <v>18.90022778603004</v>
      </c>
      <c r="K1283">
        <v>1996.6564869095471</v>
      </c>
      <c r="L1283">
        <v>1</v>
      </c>
      <c r="M1283" t="s">
        <v>66</v>
      </c>
    </row>
    <row r="1284" spans="1:13" x14ac:dyDescent="0.3">
      <c r="A1284" t="s">
        <v>18</v>
      </c>
      <c r="B1284" t="s">
        <v>42</v>
      </c>
      <c r="C1284">
        <v>47.605515526587709</v>
      </c>
      <c r="D1284">
        <v>1.8818718634329199</v>
      </c>
      <c r="E1284">
        <v>3.5127295310900788</v>
      </c>
      <c r="F1284">
        <v>7.0441021431279287</v>
      </c>
      <c r="G1284">
        <v>5.5681229591659074</v>
      </c>
      <c r="H1284">
        <v>19.718801085283651</v>
      </c>
      <c r="I1284">
        <v>23.93184663709366</v>
      </c>
      <c r="J1284">
        <v>26.375296665120981</v>
      </c>
      <c r="K1284">
        <v>1586.67001284713</v>
      </c>
      <c r="L1284">
        <v>1</v>
      </c>
      <c r="M1284" t="s">
        <v>66</v>
      </c>
    </row>
    <row r="1285" spans="1:13" x14ac:dyDescent="0.3">
      <c r="A1285" t="s">
        <v>19</v>
      </c>
      <c r="B1285" t="s">
        <v>48</v>
      </c>
      <c r="C1285">
        <v>39.099149568613257</v>
      </c>
      <c r="D1285">
        <v>1.9799172961508189</v>
      </c>
      <c r="E1285">
        <v>1.994572144883584</v>
      </c>
      <c r="F1285">
        <v>5.0049181133746803</v>
      </c>
      <c r="G1285">
        <v>6.3723960678260081</v>
      </c>
      <c r="H1285">
        <v>16.81251875253707</v>
      </c>
      <c r="I1285">
        <v>31.543035646783181</v>
      </c>
      <c r="J1285">
        <v>27.523046423779249</v>
      </c>
      <c r="K1285">
        <v>1163.579515837861</v>
      </c>
      <c r="L1285">
        <v>0</v>
      </c>
      <c r="M1285" t="s">
        <v>66</v>
      </c>
    </row>
    <row r="1286" spans="1:13" x14ac:dyDescent="0.3">
      <c r="A1286" t="s">
        <v>19</v>
      </c>
      <c r="B1286" t="s">
        <v>47</v>
      </c>
      <c r="C1286">
        <v>9.7198962173920052</v>
      </c>
      <c r="D1286">
        <v>5.7813132530487659</v>
      </c>
      <c r="E1286">
        <v>6.1188521806688358</v>
      </c>
      <c r="F1286">
        <v>14.023331848284069</v>
      </c>
      <c r="G1286">
        <v>6.0632210253565848</v>
      </c>
      <c r="H1286">
        <v>31.045538221774919</v>
      </c>
      <c r="I1286">
        <v>25.53151191290798</v>
      </c>
      <c r="J1286">
        <v>26.017860902247371</v>
      </c>
      <c r="K1286">
        <v>678.88882086966396</v>
      </c>
      <c r="L1286">
        <v>1</v>
      </c>
      <c r="M1286" t="s">
        <v>66</v>
      </c>
    </row>
    <row r="1287" spans="1:13" x14ac:dyDescent="0.3">
      <c r="A1287" t="s">
        <v>15</v>
      </c>
      <c r="B1287" t="s">
        <v>33</v>
      </c>
      <c r="C1287">
        <v>39.119340628056207</v>
      </c>
      <c r="D1287">
        <v>1.7662827492618161</v>
      </c>
      <c r="E1287">
        <v>1.9159742765040879</v>
      </c>
      <c r="F1287">
        <v>6.2853181257094199</v>
      </c>
      <c r="G1287">
        <v>6.0686780062584313</v>
      </c>
      <c r="H1287">
        <v>36.248404648094329</v>
      </c>
      <c r="I1287">
        <v>19.78518005568969</v>
      </c>
      <c r="J1287">
        <v>17.981660087306459</v>
      </c>
      <c r="K1287">
        <v>1963.6064064066561</v>
      </c>
      <c r="L1287">
        <v>1</v>
      </c>
      <c r="M1287" t="s">
        <v>66</v>
      </c>
    </row>
    <row r="1288" spans="1:13" x14ac:dyDescent="0.3">
      <c r="A1288" t="s">
        <v>17</v>
      </c>
      <c r="B1288" t="s">
        <v>39</v>
      </c>
      <c r="C1288">
        <v>800.88657093952384</v>
      </c>
      <c r="D1288">
        <v>39.886550525472558</v>
      </c>
      <c r="E1288">
        <v>53.003797283257143</v>
      </c>
      <c r="F1288">
        <v>140.98450824781801</v>
      </c>
      <c r="G1288">
        <v>5.5436815094914902</v>
      </c>
      <c r="H1288">
        <v>46.063040199256513</v>
      </c>
      <c r="I1288">
        <v>19.709679253840282</v>
      </c>
      <c r="J1288">
        <v>21.950098021202781</v>
      </c>
      <c r="K1288">
        <v>1453.0428421723659</v>
      </c>
      <c r="L1288">
        <v>1</v>
      </c>
      <c r="M1288" t="s">
        <v>66</v>
      </c>
    </row>
    <row r="1289" spans="1:13" x14ac:dyDescent="0.3">
      <c r="A1289" t="s">
        <v>19</v>
      </c>
      <c r="B1289" t="s">
        <v>48</v>
      </c>
      <c r="C1289">
        <v>28.446562939940218</v>
      </c>
      <c r="D1289">
        <v>1.18423113417285</v>
      </c>
      <c r="E1289">
        <v>0.97920416729206217</v>
      </c>
      <c r="F1289">
        <v>4.4981428737485496</v>
      </c>
      <c r="G1289">
        <v>5.7824124902522156</v>
      </c>
      <c r="H1289">
        <v>17.390011865587859</v>
      </c>
      <c r="I1289">
        <v>28.951646709738188</v>
      </c>
      <c r="J1289">
        <v>25.574173805633599</v>
      </c>
      <c r="K1289">
        <v>1214.2942106098751</v>
      </c>
      <c r="L1289">
        <v>0</v>
      </c>
      <c r="M1289" t="s">
        <v>66</v>
      </c>
    </row>
    <row r="1290" spans="1:13" x14ac:dyDescent="0.3">
      <c r="A1290" t="s">
        <v>19</v>
      </c>
      <c r="B1290" t="s">
        <v>46</v>
      </c>
      <c r="C1290">
        <v>28.564526174447678</v>
      </c>
      <c r="D1290">
        <v>1.0242032794473419</v>
      </c>
      <c r="E1290">
        <v>0.89484592459496159</v>
      </c>
      <c r="F1290">
        <v>3.9464296028122088</v>
      </c>
      <c r="G1290">
        <v>5.9126198930456511</v>
      </c>
      <c r="H1290">
        <v>18.768713676557379</v>
      </c>
      <c r="I1290">
        <v>30.178814766615321</v>
      </c>
      <c r="J1290">
        <v>24.781737308973192</v>
      </c>
      <c r="K1290">
        <v>744.85382105861481</v>
      </c>
      <c r="L1290">
        <v>-1</v>
      </c>
      <c r="M1290" t="s">
        <v>66</v>
      </c>
    </row>
    <row r="1291" spans="1:13" x14ac:dyDescent="0.3">
      <c r="A1291" t="s">
        <v>19</v>
      </c>
      <c r="B1291" t="s">
        <v>44</v>
      </c>
      <c r="C1291">
        <v>19.453021291331449</v>
      </c>
      <c r="D1291">
        <v>0.9037708597213876</v>
      </c>
      <c r="E1291">
        <v>0.84883860688895396</v>
      </c>
      <c r="F1291">
        <v>2.868205719807285</v>
      </c>
      <c r="G1291">
        <v>6.3382241773174766</v>
      </c>
      <c r="H1291">
        <v>14.838976260331799</v>
      </c>
      <c r="I1291">
        <v>25.862085358114982</v>
      </c>
      <c r="J1291">
        <v>22.766869065556261</v>
      </c>
      <c r="K1291">
        <v>1320.787579656793</v>
      </c>
      <c r="L1291">
        <v>0</v>
      </c>
      <c r="M1291" t="s">
        <v>66</v>
      </c>
    </row>
    <row r="1292" spans="1:13" x14ac:dyDescent="0.3">
      <c r="A1292" t="s">
        <v>16</v>
      </c>
      <c r="B1292" t="s">
        <v>37</v>
      </c>
      <c r="C1292">
        <v>12.037173180448431</v>
      </c>
      <c r="D1292">
        <v>0</v>
      </c>
      <c r="E1292">
        <v>0</v>
      </c>
      <c r="F1292">
        <v>0.97513546689113539</v>
      </c>
      <c r="G1292">
        <v>6.2771251874323184</v>
      </c>
      <c r="H1292">
        <v>34.47702328652074</v>
      </c>
      <c r="I1292">
        <v>17.649051132800189</v>
      </c>
      <c r="J1292">
        <v>22.616810769578532</v>
      </c>
      <c r="K1292">
        <v>1457.468420944693</v>
      </c>
      <c r="L1292">
        <v>1</v>
      </c>
      <c r="M1292" t="s">
        <v>66</v>
      </c>
    </row>
    <row r="1293" spans="1:13" x14ac:dyDescent="0.3">
      <c r="A1293" t="s">
        <v>21</v>
      </c>
      <c r="B1293" t="s">
        <v>52</v>
      </c>
      <c r="C1293">
        <v>50.012231844896341</v>
      </c>
      <c r="D1293">
        <v>1.946121138779362</v>
      </c>
      <c r="E1293">
        <v>3.158475274207722</v>
      </c>
      <c r="F1293">
        <v>8.2548812297033614</v>
      </c>
      <c r="G1293">
        <v>6.428173225752869</v>
      </c>
      <c r="H1293">
        <v>33.09818036743679</v>
      </c>
      <c r="I1293">
        <v>21.172356430624411</v>
      </c>
      <c r="J1293">
        <v>19.53449807284283</v>
      </c>
      <c r="K1293">
        <v>1275.964123004755</v>
      </c>
      <c r="L1293">
        <v>1</v>
      </c>
      <c r="M1293" t="s">
        <v>66</v>
      </c>
    </row>
    <row r="1294" spans="1:13" x14ac:dyDescent="0.3">
      <c r="A1294" t="s">
        <v>18</v>
      </c>
      <c r="B1294" t="s">
        <v>40</v>
      </c>
      <c r="C1294">
        <v>112.9011100343771</v>
      </c>
      <c r="D1294">
        <v>6.7265392403542767</v>
      </c>
      <c r="E1294">
        <v>7.8673062194023622</v>
      </c>
      <c r="F1294">
        <v>20.975696195338799</v>
      </c>
      <c r="G1294">
        <v>4.797429327879966</v>
      </c>
      <c r="H1294">
        <v>58.076061852666847</v>
      </c>
      <c r="I1294">
        <v>19.786890957553101</v>
      </c>
      <c r="J1294">
        <v>22.111692773009398</v>
      </c>
      <c r="K1294">
        <v>1689.538678734355</v>
      </c>
      <c r="L1294">
        <v>1</v>
      </c>
      <c r="M1294" t="s">
        <v>66</v>
      </c>
    </row>
    <row r="1295" spans="1:13" x14ac:dyDescent="0.3">
      <c r="A1295" t="s">
        <v>24</v>
      </c>
      <c r="B1295" t="s">
        <v>59</v>
      </c>
      <c r="C1295">
        <v>56.915330575410763</v>
      </c>
      <c r="D1295">
        <v>1.8496825145603111</v>
      </c>
      <c r="E1295">
        <v>3.6118714788191499</v>
      </c>
      <c r="F1295">
        <v>9.214432219586902</v>
      </c>
      <c r="G1295">
        <v>6.650361949242507</v>
      </c>
      <c r="H1295">
        <v>57.709275283717858</v>
      </c>
      <c r="I1295">
        <v>24.98802034003872</v>
      </c>
      <c r="J1295">
        <v>22.903799575098791</v>
      </c>
      <c r="K1295">
        <v>743.243643520614</v>
      </c>
      <c r="L1295">
        <v>0</v>
      </c>
      <c r="M1295" t="s">
        <v>66</v>
      </c>
    </row>
    <row r="1296" spans="1:13" x14ac:dyDescent="0.3">
      <c r="A1296" t="s">
        <v>24</v>
      </c>
      <c r="B1296" t="s">
        <v>58</v>
      </c>
      <c r="C1296">
        <v>30.722430426903301</v>
      </c>
      <c r="D1296">
        <v>0.91591335938308527</v>
      </c>
      <c r="E1296">
        <v>2.2504900149197842</v>
      </c>
      <c r="F1296">
        <v>3.22926867813322</v>
      </c>
      <c r="G1296">
        <v>7.0879260269803748</v>
      </c>
      <c r="H1296">
        <v>33.665450610338979</v>
      </c>
      <c r="I1296">
        <v>26.90493570941792</v>
      </c>
      <c r="J1296">
        <v>23.449343999670411</v>
      </c>
      <c r="K1296">
        <v>744.93575494412232</v>
      </c>
      <c r="L1296">
        <v>0</v>
      </c>
      <c r="M1296" t="s">
        <v>66</v>
      </c>
    </row>
    <row r="1297" spans="1:13" x14ac:dyDescent="0.3">
      <c r="A1297" t="s">
        <v>18</v>
      </c>
      <c r="B1297" t="s">
        <v>42</v>
      </c>
      <c r="C1297">
        <v>26.614645512188279</v>
      </c>
      <c r="D1297">
        <v>1.016083763600345</v>
      </c>
      <c r="E1297">
        <v>0.94362271601472081</v>
      </c>
      <c r="F1297">
        <v>4.3668517707555754</v>
      </c>
      <c r="G1297">
        <v>5.4047898164219879</v>
      </c>
      <c r="H1297">
        <v>27.869657321088621</v>
      </c>
      <c r="I1297">
        <v>18.857519148602801</v>
      </c>
      <c r="J1297">
        <v>26.949940691556559</v>
      </c>
      <c r="K1297">
        <v>1866.241040524287</v>
      </c>
      <c r="L1297">
        <v>1</v>
      </c>
      <c r="M1297" t="s">
        <v>66</v>
      </c>
    </row>
    <row r="1298" spans="1:13" x14ac:dyDescent="0.3">
      <c r="A1298" t="s">
        <v>15</v>
      </c>
      <c r="B1298" t="s">
        <v>33</v>
      </c>
      <c r="C1298">
        <v>69.273094397586931</v>
      </c>
      <c r="D1298">
        <v>3.7107869614090898</v>
      </c>
      <c r="E1298">
        <v>3.927170015598632</v>
      </c>
      <c r="F1298">
        <v>9.6921198518089646</v>
      </c>
      <c r="G1298">
        <v>5.5895392420070316</v>
      </c>
      <c r="H1298">
        <v>34.717990990444918</v>
      </c>
      <c r="I1298">
        <v>20.240264158873181</v>
      </c>
      <c r="J1298">
        <v>18.427317149135121</v>
      </c>
      <c r="K1298">
        <v>1951.017878874786</v>
      </c>
      <c r="L1298">
        <v>1</v>
      </c>
      <c r="M1298" t="s">
        <v>66</v>
      </c>
    </row>
    <row r="1299" spans="1:13" x14ac:dyDescent="0.3">
      <c r="A1299" t="s">
        <v>19</v>
      </c>
      <c r="B1299" t="s">
        <v>44</v>
      </c>
      <c r="C1299">
        <v>48.830525255495132</v>
      </c>
      <c r="D1299">
        <v>2.0164690766139541</v>
      </c>
      <c r="E1299">
        <v>3.174480118476231</v>
      </c>
      <c r="F1299">
        <v>7.1405594800222376</v>
      </c>
      <c r="G1299">
        <v>6.0235009307980141</v>
      </c>
      <c r="H1299">
        <v>25.490981774277451</v>
      </c>
      <c r="I1299">
        <v>19.678888921783191</v>
      </c>
      <c r="J1299">
        <v>31.829879611584591</v>
      </c>
      <c r="K1299">
        <v>2212.9367268160181</v>
      </c>
      <c r="L1299">
        <v>1</v>
      </c>
      <c r="M1299" t="s">
        <v>66</v>
      </c>
    </row>
    <row r="1300" spans="1:13" x14ac:dyDescent="0.3">
      <c r="A1300" t="s">
        <v>15</v>
      </c>
      <c r="B1300" t="s">
        <v>33</v>
      </c>
      <c r="C1300">
        <v>68.190488857234513</v>
      </c>
      <c r="D1300">
        <v>3.266586794203588</v>
      </c>
      <c r="E1300">
        <v>3.5926977618690801</v>
      </c>
      <c r="F1300">
        <v>9.7819453520303412</v>
      </c>
      <c r="G1300">
        <v>5.383982127265809</v>
      </c>
      <c r="H1300">
        <v>36.483600042770782</v>
      </c>
      <c r="I1300">
        <v>21.460607983243069</v>
      </c>
      <c r="J1300">
        <v>17.837607629928879</v>
      </c>
      <c r="K1300">
        <v>1898.0630130445991</v>
      </c>
      <c r="L1300">
        <v>1</v>
      </c>
      <c r="M1300" t="s">
        <v>66</v>
      </c>
    </row>
    <row r="1301" spans="1:13" x14ac:dyDescent="0.3">
      <c r="A1301" t="s">
        <v>25</v>
      </c>
      <c r="B1301" t="s">
        <v>62</v>
      </c>
      <c r="C1301">
        <v>283.68913306487758</v>
      </c>
      <c r="D1301">
        <v>18.926401192392891</v>
      </c>
      <c r="E1301">
        <v>28.450770508970599</v>
      </c>
      <c r="F1301">
        <v>57.600353704060339</v>
      </c>
      <c r="G1301">
        <v>4.3570415607990212</v>
      </c>
      <c r="H1301">
        <v>74.630984976263193</v>
      </c>
      <c r="I1301">
        <v>30.181869829380481</v>
      </c>
      <c r="J1301">
        <v>23.90570414530227</v>
      </c>
      <c r="K1301">
        <v>715.31358930279782</v>
      </c>
      <c r="L1301">
        <v>0</v>
      </c>
      <c r="M1301" t="s">
        <v>66</v>
      </c>
    </row>
    <row r="1302" spans="1:13" x14ac:dyDescent="0.3">
      <c r="A1302" t="s">
        <v>24</v>
      </c>
      <c r="B1302" t="s">
        <v>61</v>
      </c>
      <c r="C1302">
        <v>332.68299080517869</v>
      </c>
      <c r="D1302">
        <v>17.970837065403721</v>
      </c>
      <c r="E1302">
        <v>21.968180861012431</v>
      </c>
      <c r="F1302">
        <v>50.079828865492047</v>
      </c>
      <c r="G1302">
        <v>4.3</v>
      </c>
      <c r="H1302">
        <v>56.117991418306687</v>
      </c>
      <c r="I1302">
        <v>29.951789888773021</v>
      </c>
      <c r="J1302">
        <v>31.482440187163579</v>
      </c>
      <c r="K1302">
        <v>13.847101292384419</v>
      </c>
      <c r="L1302">
        <v>-1</v>
      </c>
      <c r="M1302" t="s">
        <v>66</v>
      </c>
    </row>
    <row r="1303" spans="1:13" x14ac:dyDescent="0.3">
      <c r="A1303" t="s">
        <v>19</v>
      </c>
      <c r="B1303" t="s">
        <v>46</v>
      </c>
      <c r="C1303">
        <v>71.467990142373353</v>
      </c>
      <c r="D1303">
        <v>3.7933667508557618</v>
      </c>
      <c r="E1303">
        <v>5.5082053751948141</v>
      </c>
      <c r="F1303">
        <v>11.868639550740211</v>
      </c>
      <c r="G1303">
        <v>5.8675036815557666</v>
      </c>
      <c r="H1303">
        <v>31.680583521357399</v>
      </c>
      <c r="I1303">
        <v>26.034038731070929</v>
      </c>
      <c r="J1303">
        <v>27.438556649881949</v>
      </c>
      <c r="K1303">
        <v>1429.2962161851331</v>
      </c>
      <c r="L1303">
        <v>1</v>
      </c>
      <c r="M1303" t="s">
        <v>66</v>
      </c>
    </row>
    <row r="1304" spans="1:13" x14ac:dyDescent="0.3">
      <c r="A1304" t="s">
        <v>24</v>
      </c>
      <c r="B1304" t="s">
        <v>60</v>
      </c>
      <c r="C1304">
        <v>521.43185297994387</v>
      </c>
      <c r="D1304">
        <v>32.697177755055648</v>
      </c>
      <c r="E1304">
        <v>36.169585215274033</v>
      </c>
      <c r="F1304">
        <v>76.402774610679245</v>
      </c>
      <c r="G1304">
        <v>5.3309584467780056</v>
      </c>
      <c r="H1304">
        <v>66.927353735626696</v>
      </c>
      <c r="I1304">
        <v>29.995121558069251</v>
      </c>
      <c r="J1304">
        <v>30.13126674735096</v>
      </c>
      <c r="K1304">
        <v>11.09380654496999</v>
      </c>
      <c r="L1304">
        <v>-1</v>
      </c>
      <c r="M1304" t="s">
        <v>66</v>
      </c>
    </row>
    <row r="1305" spans="1:13" x14ac:dyDescent="0.3">
      <c r="A1305" t="s">
        <v>20</v>
      </c>
      <c r="B1305" t="s">
        <v>51</v>
      </c>
      <c r="C1305">
        <v>372.43848978934238</v>
      </c>
      <c r="D1305">
        <v>18.47775286497626</v>
      </c>
      <c r="E1305">
        <v>26.54332536378233</v>
      </c>
      <c r="F1305">
        <v>56.685666551372613</v>
      </c>
      <c r="G1305">
        <v>4.5969922859853636</v>
      </c>
      <c r="H1305">
        <v>47.751702048147642</v>
      </c>
      <c r="I1305">
        <v>19.58507343986593</v>
      </c>
      <c r="J1305">
        <v>20.29181538374289</v>
      </c>
      <c r="K1305">
        <v>1651.1272733412809</v>
      </c>
      <c r="L1305">
        <v>1</v>
      </c>
      <c r="M1305" t="s">
        <v>66</v>
      </c>
    </row>
    <row r="1306" spans="1:13" x14ac:dyDescent="0.3">
      <c r="A1306" t="s">
        <v>22</v>
      </c>
      <c r="B1306" t="s">
        <v>53</v>
      </c>
      <c r="C1306">
        <v>191.07019888004771</v>
      </c>
      <c r="D1306">
        <v>7.6940607005992909</v>
      </c>
      <c r="E1306">
        <v>12.8536451031912</v>
      </c>
      <c r="F1306">
        <v>30.673929029400579</v>
      </c>
      <c r="G1306">
        <v>6.17241886721831</v>
      </c>
      <c r="H1306">
        <v>36.465028428079421</v>
      </c>
      <c r="I1306">
        <v>24.248206895811311</v>
      </c>
      <c r="J1306">
        <v>22.779904200996761</v>
      </c>
      <c r="K1306">
        <v>1344.14331171716</v>
      </c>
      <c r="L1306">
        <v>1</v>
      </c>
      <c r="M1306" t="s">
        <v>66</v>
      </c>
    </row>
    <row r="1307" spans="1:13" x14ac:dyDescent="0.3">
      <c r="A1307" t="s">
        <v>24</v>
      </c>
      <c r="B1307" t="s">
        <v>60</v>
      </c>
      <c r="C1307">
        <v>495.33151017147702</v>
      </c>
      <c r="D1307">
        <v>24.83840191438998</v>
      </c>
      <c r="E1307">
        <v>37.978194565609002</v>
      </c>
      <c r="F1307">
        <v>79.33685864627364</v>
      </c>
      <c r="G1307">
        <v>5.486464956792088</v>
      </c>
      <c r="H1307">
        <v>66.995521148816763</v>
      </c>
      <c r="I1307">
        <v>31.889609756623461</v>
      </c>
      <c r="J1307">
        <v>28.740189635314842</v>
      </c>
      <c r="K1307">
        <v>11.068277864433639</v>
      </c>
      <c r="L1307">
        <v>-1</v>
      </c>
      <c r="M1307" t="s">
        <v>66</v>
      </c>
    </row>
    <row r="1308" spans="1:13" x14ac:dyDescent="0.3">
      <c r="A1308" t="s">
        <v>17</v>
      </c>
      <c r="B1308" t="s">
        <v>39</v>
      </c>
      <c r="C1308">
        <v>37.648245559809773</v>
      </c>
      <c r="D1308">
        <v>0.90106792062171337</v>
      </c>
      <c r="E1308">
        <v>2.009496082335879</v>
      </c>
      <c r="F1308">
        <v>5.1092202075306723</v>
      </c>
      <c r="G1308">
        <v>6.3603373952221398</v>
      </c>
      <c r="H1308">
        <v>27.505727319339449</v>
      </c>
      <c r="I1308">
        <v>17.201049895289561</v>
      </c>
      <c r="J1308">
        <v>23.119635525396468</v>
      </c>
      <c r="K1308">
        <v>1430.7964179372791</v>
      </c>
      <c r="L1308">
        <v>1</v>
      </c>
      <c r="M1308" t="s">
        <v>66</v>
      </c>
    </row>
    <row r="1309" spans="1:13" x14ac:dyDescent="0.3">
      <c r="A1309" t="s">
        <v>16</v>
      </c>
      <c r="B1309" t="s">
        <v>36</v>
      </c>
      <c r="C1309">
        <v>22.835708001442541</v>
      </c>
      <c r="D1309">
        <v>1.1050768680173</v>
      </c>
      <c r="E1309">
        <v>0.88383202771339953</v>
      </c>
      <c r="F1309">
        <v>3.1557077300707159</v>
      </c>
      <c r="G1309">
        <v>6.3725377101582241</v>
      </c>
      <c r="H1309">
        <v>27.435119323738729</v>
      </c>
      <c r="I1309">
        <v>22.695125124883411</v>
      </c>
      <c r="J1309">
        <v>22.22570576527152</v>
      </c>
      <c r="K1309">
        <v>1748.461605263903</v>
      </c>
      <c r="L1309">
        <v>1</v>
      </c>
      <c r="M1309" t="s">
        <v>66</v>
      </c>
    </row>
    <row r="1310" spans="1:13" x14ac:dyDescent="0.3">
      <c r="A1310" t="s">
        <v>19</v>
      </c>
      <c r="B1310" t="s">
        <v>45</v>
      </c>
      <c r="C1310">
        <v>56.147432418237081</v>
      </c>
      <c r="D1310">
        <v>1.8299186197169779</v>
      </c>
      <c r="E1310">
        <v>3.3651744161302348</v>
      </c>
      <c r="F1310">
        <v>8.6751879487921357</v>
      </c>
      <c r="G1310">
        <v>6.0646227138916284</v>
      </c>
      <c r="H1310">
        <v>39.084196902668573</v>
      </c>
      <c r="I1310">
        <v>25.316348415037758</v>
      </c>
      <c r="J1310">
        <v>27.670336673876061</v>
      </c>
      <c r="K1310">
        <v>1465.1084348354971</v>
      </c>
      <c r="L1310">
        <v>1</v>
      </c>
      <c r="M1310" t="s">
        <v>66</v>
      </c>
    </row>
    <row r="1311" spans="1:13" x14ac:dyDescent="0.3">
      <c r="A1311" t="s">
        <v>15</v>
      </c>
      <c r="B1311" t="s">
        <v>30</v>
      </c>
      <c r="C1311">
        <v>42.950340926710219</v>
      </c>
      <c r="D1311">
        <v>1.9100194369813519</v>
      </c>
      <c r="E1311">
        <v>1.9915258934623361</v>
      </c>
      <c r="F1311">
        <v>7.3265593505254731</v>
      </c>
      <c r="G1311">
        <v>6.1448141304014179</v>
      </c>
      <c r="H1311">
        <v>26.362121469758261</v>
      </c>
      <c r="I1311">
        <v>19.059403325832459</v>
      </c>
      <c r="J1311">
        <v>28.312576839163398</v>
      </c>
      <c r="K1311">
        <v>2003.8608627353981</v>
      </c>
      <c r="L1311">
        <v>1</v>
      </c>
      <c r="M1311" t="s">
        <v>66</v>
      </c>
    </row>
    <row r="1312" spans="1:13" x14ac:dyDescent="0.3">
      <c r="A1312" t="s">
        <v>22</v>
      </c>
      <c r="B1312" t="s">
        <v>53</v>
      </c>
      <c r="C1312">
        <v>28.00320365176383</v>
      </c>
      <c r="D1312">
        <v>1.068907310991235</v>
      </c>
      <c r="E1312">
        <v>1.928927418626907</v>
      </c>
      <c r="F1312">
        <v>5.2036477540470969</v>
      </c>
      <c r="G1312">
        <v>6.3911756539794284</v>
      </c>
      <c r="H1312">
        <v>20.12686994398663</v>
      </c>
      <c r="I1312">
        <v>25.449103512250769</v>
      </c>
      <c r="J1312">
        <v>20.721931559402542</v>
      </c>
      <c r="K1312">
        <v>1255.610523811705</v>
      </c>
      <c r="L1312">
        <v>1</v>
      </c>
      <c r="M1312" t="s">
        <v>66</v>
      </c>
    </row>
    <row r="1313" spans="1:13" x14ac:dyDescent="0.3">
      <c r="A1313" t="s">
        <v>18</v>
      </c>
      <c r="B1313" t="s">
        <v>41</v>
      </c>
      <c r="C1313">
        <v>124.5375689653697</v>
      </c>
      <c r="D1313">
        <v>6.7255840567673051</v>
      </c>
      <c r="E1313">
        <v>8.0066094751231738</v>
      </c>
      <c r="F1313">
        <v>15.903949737153811</v>
      </c>
      <c r="G1313">
        <v>4.3986360324808436</v>
      </c>
      <c r="H1313">
        <v>55.182235490619398</v>
      </c>
      <c r="I1313">
        <v>19.963858234094271</v>
      </c>
      <c r="J1313">
        <v>20.954933950704199</v>
      </c>
      <c r="K1313">
        <v>1666.4093950096751</v>
      </c>
      <c r="L1313">
        <v>1</v>
      </c>
      <c r="M1313" t="s">
        <v>66</v>
      </c>
    </row>
    <row r="1314" spans="1:13" x14ac:dyDescent="0.3">
      <c r="A1314" t="s">
        <v>24</v>
      </c>
      <c r="B1314" t="s">
        <v>61</v>
      </c>
      <c r="C1314">
        <v>654.88905563086291</v>
      </c>
      <c r="D1314">
        <v>39.288030284561337</v>
      </c>
      <c r="E1314">
        <v>54.069808368081993</v>
      </c>
      <c r="F1314">
        <v>120.7135628354529</v>
      </c>
      <c r="G1314">
        <v>5.8593544508883468</v>
      </c>
      <c r="H1314">
        <v>71.860766610703664</v>
      </c>
      <c r="I1314">
        <v>30.056866168313579</v>
      </c>
      <c r="J1314">
        <v>31.5905957894973</v>
      </c>
      <c r="K1314">
        <v>11</v>
      </c>
      <c r="L1314">
        <v>-1</v>
      </c>
      <c r="M1314" t="s">
        <v>66</v>
      </c>
    </row>
    <row r="1315" spans="1:13" x14ac:dyDescent="0.3">
      <c r="A1315" t="s">
        <v>15</v>
      </c>
      <c r="B1315" t="s">
        <v>33</v>
      </c>
      <c r="C1315">
        <v>72.970445099073885</v>
      </c>
      <c r="D1315">
        <v>3.243776576323707</v>
      </c>
      <c r="E1315">
        <v>4.5205048953377389</v>
      </c>
      <c r="F1315">
        <v>11.332029561730399</v>
      </c>
      <c r="G1315">
        <v>5.3266778794151231</v>
      </c>
      <c r="H1315">
        <v>33.625554583610011</v>
      </c>
      <c r="I1315">
        <v>18.378477781106991</v>
      </c>
      <c r="J1315">
        <v>17.660378839426201</v>
      </c>
      <c r="K1315">
        <v>1903.5607677007581</v>
      </c>
      <c r="L1315">
        <v>1</v>
      </c>
      <c r="M1315" t="s">
        <v>66</v>
      </c>
    </row>
    <row r="1316" spans="1:13" x14ac:dyDescent="0.3">
      <c r="A1316" t="s">
        <v>22</v>
      </c>
      <c r="B1316" t="s">
        <v>53</v>
      </c>
      <c r="C1316">
        <v>80.488572929939934</v>
      </c>
      <c r="D1316">
        <v>2.998892610904563</v>
      </c>
      <c r="E1316">
        <v>5.0692983653657091</v>
      </c>
      <c r="F1316">
        <v>10.324414764626759</v>
      </c>
      <c r="G1316">
        <v>6.0997677997861768</v>
      </c>
      <c r="H1316">
        <v>36.567138432733742</v>
      </c>
      <c r="I1316">
        <v>26.685719710263491</v>
      </c>
      <c r="J1316">
        <v>21.42946413176394</v>
      </c>
      <c r="K1316">
        <v>1362.825502656204</v>
      </c>
      <c r="L1316">
        <v>1</v>
      </c>
      <c r="M1316" t="s">
        <v>66</v>
      </c>
    </row>
    <row r="1317" spans="1:13" x14ac:dyDescent="0.3">
      <c r="A1317" t="s">
        <v>21</v>
      </c>
      <c r="B1317" t="s">
        <v>52</v>
      </c>
      <c r="C1317">
        <v>21.502727930177169</v>
      </c>
      <c r="D1317">
        <v>1.0641468154357361</v>
      </c>
      <c r="E1317">
        <v>0.97977768384393915</v>
      </c>
      <c r="F1317">
        <v>3.0518425757540188</v>
      </c>
      <c r="G1317">
        <v>6.2700029719147006</v>
      </c>
      <c r="H1317">
        <v>25.520338085337698</v>
      </c>
      <c r="I1317">
        <v>25.85528002625864</v>
      </c>
      <c r="J1317">
        <v>22.578394239274392</v>
      </c>
      <c r="K1317">
        <v>1236.015011790138</v>
      </c>
      <c r="L1317">
        <v>1</v>
      </c>
      <c r="M1317" t="s">
        <v>66</v>
      </c>
    </row>
    <row r="1318" spans="1:13" x14ac:dyDescent="0.3">
      <c r="A1318" t="s">
        <v>24</v>
      </c>
      <c r="B1318" t="s">
        <v>58</v>
      </c>
      <c r="C1318">
        <v>27.785452574799951</v>
      </c>
      <c r="D1318">
        <v>1.099713810926034</v>
      </c>
      <c r="E1318">
        <v>1.4705890794896299</v>
      </c>
      <c r="F1318">
        <v>4.0753478021466947</v>
      </c>
      <c r="G1318">
        <v>6.1255474742782434</v>
      </c>
      <c r="H1318">
        <v>38.963443205968282</v>
      </c>
      <c r="I1318">
        <v>24.593386062567919</v>
      </c>
      <c r="J1318">
        <v>23.83143454873192</v>
      </c>
      <c r="K1318">
        <v>738.83369506829354</v>
      </c>
      <c r="L1318">
        <v>0</v>
      </c>
      <c r="M1318" t="s">
        <v>66</v>
      </c>
    </row>
    <row r="1319" spans="1:13" x14ac:dyDescent="0.3">
      <c r="A1319" t="s">
        <v>15</v>
      </c>
      <c r="B1319" t="s">
        <v>34</v>
      </c>
      <c r="C1319">
        <v>121.94145438127239</v>
      </c>
      <c r="D1319">
        <v>5.1041090690879827</v>
      </c>
      <c r="E1319">
        <v>7.5636246541646219</v>
      </c>
      <c r="F1319">
        <v>19.3956048519556</v>
      </c>
      <c r="G1319">
        <v>6.1309642973996068</v>
      </c>
      <c r="H1319">
        <v>28.643212321879901</v>
      </c>
      <c r="I1319">
        <v>23.422352953084779</v>
      </c>
      <c r="J1319">
        <v>18.448817075200491</v>
      </c>
      <c r="K1319">
        <v>2110.838853233533</v>
      </c>
      <c r="L1319">
        <v>1</v>
      </c>
      <c r="M1319" t="s">
        <v>66</v>
      </c>
    </row>
    <row r="1320" spans="1:13" x14ac:dyDescent="0.3">
      <c r="A1320" t="s">
        <v>15</v>
      </c>
      <c r="B1320" t="s">
        <v>32</v>
      </c>
      <c r="C1320">
        <v>6.9739284153229022</v>
      </c>
      <c r="D1320">
        <v>0</v>
      </c>
      <c r="E1320">
        <v>0</v>
      </c>
      <c r="F1320">
        <v>1.0380897430362861</v>
      </c>
      <c r="G1320">
        <v>6.6498497528343501</v>
      </c>
      <c r="H1320">
        <v>27.634263876365932</v>
      </c>
      <c r="I1320">
        <v>22.46528980127151</v>
      </c>
      <c r="J1320">
        <v>19.880282498530701</v>
      </c>
      <c r="K1320">
        <v>1590.603524366446</v>
      </c>
      <c r="L1320">
        <v>1</v>
      </c>
      <c r="M1320" t="s">
        <v>66</v>
      </c>
    </row>
    <row r="1321" spans="1:13" x14ac:dyDescent="0.3">
      <c r="A1321" t="s">
        <v>17</v>
      </c>
      <c r="B1321" t="s">
        <v>39</v>
      </c>
      <c r="C1321">
        <v>19.273136953473621</v>
      </c>
      <c r="D1321">
        <v>0</v>
      </c>
      <c r="E1321">
        <v>0.92459268103313175</v>
      </c>
      <c r="F1321">
        <v>1.4314442572680459</v>
      </c>
      <c r="G1321">
        <v>5.4849713503274096</v>
      </c>
      <c r="H1321">
        <v>20.612656308485711</v>
      </c>
      <c r="I1321">
        <v>20.691910738317439</v>
      </c>
      <c r="J1321">
        <v>26.352998679167172</v>
      </c>
      <c r="K1321">
        <v>2220.725203401958</v>
      </c>
      <c r="L1321">
        <v>1</v>
      </c>
      <c r="M1321" t="s">
        <v>66</v>
      </c>
    </row>
    <row r="1322" spans="1:13" x14ac:dyDescent="0.3">
      <c r="A1322" t="s">
        <v>24</v>
      </c>
      <c r="B1322" t="s">
        <v>57</v>
      </c>
      <c r="C1322">
        <v>64.149899314063191</v>
      </c>
      <c r="D1322">
        <v>3.32309026546401</v>
      </c>
      <c r="E1322">
        <v>3.970130042495061</v>
      </c>
      <c r="F1322">
        <v>10.868096448902209</v>
      </c>
      <c r="G1322">
        <v>6.3333618329308603</v>
      </c>
      <c r="H1322">
        <v>18.05853248362455</v>
      </c>
      <c r="I1322">
        <v>22.406423184390139</v>
      </c>
      <c r="J1322">
        <v>21.240841733122561</v>
      </c>
      <c r="K1322">
        <v>1546.461409646344</v>
      </c>
      <c r="L1322">
        <v>1</v>
      </c>
      <c r="M1322" t="s">
        <v>66</v>
      </c>
    </row>
    <row r="1323" spans="1:13" x14ac:dyDescent="0.3">
      <c r="A1323" t="s">
        <v>18</v>
      </c>
      <c r="B1323" t="s">
        <v>42</v>
      </c>
      <c r="C1323">
        <v>29.321907019093871</v>
      </c>
      <c r="D1323">
        <v>1.0530351384151639</v>
      </c>
      <c r="E1323">
        <v>1.8314469662939741</v>
      </c>
      <c r="F1323">
        <v>4.4664453175143422</v>
      </c>
      <c r="G1323">
        <v>5.520209858526667</v>
      </c>
      <c r="H1323">
        <v>24.64295809748981</v>
      </c>
      <c r="I1323">
        <v>21.0245308397323</v>
      </c>
      <c r="J1323">
        <v>26.82073362113076</v>
      </c>
      <c r="K1323">
        <v>1881.655183893816</v>
      </c>
      <c r="L1323">
        <v>1</v>
      </c>
      <c r="M1323" t="s">
        <v>66</v>
      </c>
    </row>
    <row r="1324" spans="1:13" x14ac:dyDescent="0.3">
      <c r="A1324" t="s">
        <v>20</v>
      </c>
      <c r="B1324" t="s">
        <v>49</v>
      </c>
      <c r="C1324">
        <v>38.523767024083647</v>
      </c>
      <c r="D1324">
        <v>1.033091393459697</v>
      </c>
      <c r="E1324">
        <v>2.0323955946894481</v>
      </c>
      <c r="F1324">
        <v>5.7766824636138239</v>
      </c>
      <c r="G1324">
        <v>6.1656391971797833</v>
      </c>
      <c r="H1324">
        <v>16.868760992508609</v>
      </c>
      <c r="I1324">
        <v>32.182797414993288</v>
      </c>
      <c r="J1324">
        <v>26.834696057564688</v>
      </c>
      <c r="K1324">
        <v>1186.6165945850551</v>
      </c>
      <c r="L1324">
        <v>0</v>
      </c>
      <c r="M1324" t="s">
        <v>66</v>
      </c>
    </row>
    <row r="1325" spans="1:13" x14ac:dyDescent="0.3">
      <c r="A1325" t="s">
        <v>19</v>
      </c>
      <c r="B1325" t="s">
        <v>46</v>
      </c>
      <c r="C1325">
        <v>24.28192430746277</v>
      </c>
      <c r="D1325">
        <v>0.8905755771649293</v>
      </c>
      <c r="E1325">
        <v>0.85467253257092413</v>
      </c>
      <c r="F1325">
        <v>3.205670172609544</v>
      </c>
      <c r="G1325">
        <v>6.2352155838300432</v>
      </c>
      <c r="H1325">
        <v>30.423463846555951</v>
      </c>
      <c r="I1325">
        <v>24.296032935679332</v>
      </c>
      <c r="J1325">
        <v>26.19423691939145</v>
      </c>
      <c r="K1325">
        <v>1365.7532013900709</v>
      </c>
      <c r="L1325">
        <v>1</v>
      </c>
      <c r="M1325" t="s">
        <v>66</v>
      </c>
    </row>
    <row r="1326" spans="1:13" x14ac:dyDescent="0.3">
      <c r="A1326" t="s">
        <v>20</v>
      </c>
      <c r="B1326" t="s">
        <v>51</v>
      </c>
      <c r="C1326">
        <v>74.240468853501639</v>
      </c>
      <c r="D1326">
        <v>2.866409886506478</v>
      </c>
      <c r="E1326">
        <v>4.9620783215854933</v>
      </c>
      <c r="F1326">
        <v>9.5443258523621548</v>
      </c>
      <c r="G1326">
        <v>6.3382363077175938</v>
      </c>
      <c r="H1326">
        <v>59.457930203030863</v>
      </c>
      <c r="I1326">
        <v>19.936300618340379</v>
      </c>
      <c r="J1326">
        <v>21.841532969370519</v>
      </c>
      <c r="K1326">
        <v>1520.4921154537769</v>
      </c>
      <c r="L1326">
        <v>1</v>
      </c>
      <c r="M1326" t="s">
        <v>66</v>
      </c>
    </row>
    <row r="1327" spans="1:13" x14ac:dyDescent="0.3">
      <c r="A1327" t="s">
        <v>16</v>
      </c>
      <c r="B1327" t="s">
        <v>35</v>
      </c>
      <c r="C1327">
        <v>19.171306290048349</v>
      </c>
      <c r="D1327">
        <v>0</v>
      </c>
      <c r="E1327">
        <v>1.022363745620396</v>
      </c>
      <c r="F1327">
        <v>2.0966090885425182</v>
      </c>
      <c r="G1327">
        <v>5.8090099280421503</v>
      </c>
      <c r="H1327">
        <v>21.444061434638702</v>
      </c>
      <c r="I1327">
        <v>23.102772020399719</v>
      </c>
      <c r="J1327">
        <v>30.280166353325239</v>
      </c>
      <c r="K1327">
        <v>2067.7904813933819</v>
      </c>
      <c r="L1327">
        <v>1</v>
      </c>
      <c r="M1327" t="s">
        <v>66</v>
      </c>
    </row>
    <row r="1328" spans="1:13" x14ac:dyDescent="0.3">
      <c r="A1328" t="s">
        <v>19</v>
      </c>
      <c r="B1328" t="s">
        <v>45</v>
      </c>
      <c r="C1328">
        <v>19.526257769014801</v>
      </c>
      <c r="D1328">
        <v>0.82038242092958003</v>
      </c>
      <c r="E1328">
        <v>1.2367439937463529</v>
      </c>
      <c r="F1328">
        <v>2.528405161892739</v>
      </c>
      <c r="G1328">
        <v>6.2633179280961748</v>
      </c>
      <c r="H1328">
        <v>18.977593936759838</v>
      </c>
      <c r="I1328">
        <v>29.951735834397859</v>
      </c>
      <c r="J1328">
        <v>23.37796206654366</v>
      </c>
      <c r="K1328">
        <v>1342.6530382705751</v>
      </c>
      <c r="L1328">
        <v>0</v>
      </c>
      <c r="M1328" t="s">
        <v>66</v>
      </c>
    </row>
    <row r="1329" spans="1:13" x14ac:dyDescent="0.3">
      <c r="A1329" t="s">
        <v>25</v>
      </c>
      <c r="B1329" t="s">
        <v>62</v>
      </c>
      <c r="C1329">
        <v>25.725765508583049</v>
      </c>
      <c r="D1329">
        <v>1.096691058576778</v>
      </c>
      <c r="E1329">
        <v>0.99703813597772317</v>
      </c>
      <c r="F1329">
        <v>3.2355906744074581</v>
      </c>
      <c r="G1329">
        <v>6.3720459015194466</v>
      </c>
      <c r="H1329">
        <v>68.079520634192065</v>
      </c>
      <c r="I1329">
        <v>20.748995824662209</v>
      </c>
      <c r="J1329">
        <v>24.035871921412369</v>
      </c>
      <c r="K1329">
        <v>1187.5055343858651</v>
      </c>
      <c r="L1329">
        <v>0</v>
      </c>
      <c r="M1329" t="s">
        <v>66</v>
      </c>
    </row>
    <row r="1330" spans="1:13" x14ac:dyDescent="0.3">
      <c r="A1330" t="s">
        <v>21</v>
      </c>
      <c r="B1330" t="s">
        <v>52</v>
      </c>
      <c r="C1330">
        <v>54.028153858291297</v>
      </c>
      <c r="D1330">
        <v>1.89624063753558</v>
      </c>
      <c r="E1330">
        <v>2.9847076514545261</v>
      </c>
      <c r="F1330">
        <v>7.590778787299735</v>
      </c>
      <c r="G1330">
        <v>6.3389707391720718</v>
      </c>
      <c r="H1330">
        <v>36.765196999667673</v>
      </c>
      <c r="I1330">
        <v>21.855100426213379</v>
      </c>
      <c r="J1330">
        <v>19.3178475469484</v>
      </c>
      <c r="K1330">
        <v>1236.583646897149</v>
      </c>
      <c r="L1330">
        <v>1</v>
      </c>
      <c r="M1330" t="s">
        <v>66</v>
      </c>
    </row>
    <row r="1331" spans="1:13" x14ac:dyDescent="0.3">
      <c r="A1331" t="s">
        <v>18</v>
      </c>
      <c r="B1331" t="s">
        <v>41</v>
      </c>
      <c r="C1331">
        <v>5.6520127826170921</v>
      </c>
      <c r="D1331">
        <v>0</v>
      </c>
      <c r="E1331">
        <v>0</v>
      </c>
      <c r="F1331">
        <v>-1.7763568394002501E-15</v>
      </c>
      <c r="G1331">
        <v>6.2244546904733626</v>
      </c>
      <c r="H1331">
        <v>23.600012849395728</v>
      </c>
      <c r="I1331">
        <v>28.69932156105563</v>
      </c>
      <c r="J1331">
        <v>34.283717954938453</v>
      </c>
      <c r="K1331">
        <v>1830.8504398850939</v>
      </c>
      <c r="L1331">
        <v>1</v>
      </c>
      <c r="M1331" t="s">
        <v>66</v>
      </c>
    </row>
    <row r="1332" spans="1:13" x14ac:dyDescent="0.3">
      <c r="A1332" t="s">
        <v>22</v>
      </c>
      <c r="B1332" t="s">
        <v>53</v>
      </c>
      <c r="C1332">
        <v>32.96517741678862</v>
      </c>
      <c r="D1332">
        <v>1.2253441121480211</v>
      </c>
      <c r="E1332">
        <v>2.0999537210323509</v>
      </c>
      <c r="F1332">
        <v>5.4777566475037416</v>
      </c>
      <c r="G1332">
        <v>6.2721922128239207</v>
      </c>
      <c r="H1332">
        <v>20.923691896011139</v>
      </c>
      <c r="I1332">
        <v>24.929858967327799</v>
      </c>
      <c r="J1332">
        <v>20.378812074197839</v>
      </c>
      <c r="K1332">
        <v>1311.387523116239</v>
      </c>
      <c r="L1332">
        <v>1</v>
      </c>
      <c r="M1332" t="s">
        <v>66</v>
      </c>
    </row>
    <row r="1333" spans="1:13" x14ac:dyDescent="0.3">
      <c r="A1333" t="s">
        <v>20</v>
      </c>
      <c r="B1333" t="s">
        <v>51</v>
      </c>
      <c r="C1333">
        <v>76.439225997144334</v>
      </c>
      <c r="D1333">
        <v>3.0200105790881469</v>
      </c>
      <c r="E1333">
        <v>4.1199897553113631</v>
      </c>
      <c r="F1333">
        <v>9.6621616030471085</v>
      </c>
      <c r="G1333">
        <v>6.3596553124984014</v>
      </c>
      <c r="H1333">
        <v>27.738714132429209</v>
      </c>
      <c r="I1333">
        <v>19.974662068532531</v>
      </c>
      <c r="J1333">
        <v>19.83269514651732</v>
      </c>
      <c r="K1333">
        <v>1553.7474141017869</v>
      </c>
      <c r="L1333">
        <v>1</v>
      </c>
      <c r="M1333" t="s">
        <v>66</v>
      </c>
    </row>
    <row r="1334" spans="1:13" x14ac:dyDescent="0.3">
      <c r="A1334" t="s">
        <v>21</v>
      </c>
      <c r="B1334" t="s">
        <v>52</v>
      </c>
      <c r="C1334">
        <v>64.408734001493428</v>
      </c>
      <c r="D1334">
        <v>3.172120103655645</v>
      </c>
      <c r="E1334">
        <v>4.5720177689050541</v>
      </c>
      <c r="F1334">
        <v>9.3331678912596487</v>
      </c>
      <c r="G1334">
        <v>5.611079446137893</v>
      </c>
      <c r="H1334">
        <v>30.261320719079311</v>
      </c>
      <c r="I1334">
        <v>21.15234489082367</v>
      </c>
      <c r="J1334">
        <v>20.14331504552533</v>
      </c>
      <c r="K1334">
        <v>1541.0604324320459</v>
      </c>
      <c r="L1334">
        <v>1</v>
      </c>
      <c r="M1334" t="s">
        <v>66</v>
      </c>
    </row>
    <row r="1335" spans="1:13" x14ac:dyDescent="0.3">
      <c r="A1335" t="s">
        <v>15</v>
      </c>
      <c r="B1335" t="s">
        <v>33</v>
      </c>
      <c r="C1335">
        <v>99.45076041767588</v>
      </c>
      <c r="D1335">
        <v>2.6171052677901789</v>
      </c>
      <c r="E1335">
        <v>4.695924971212758</v>
      </c>
      <c r="F1335">
        <v>10.494880487248199</v>
      </c>
      <c r="G1335">
        <v>6.0737817662629876</v>
      </c>
      <c r="H1335">
        <v>31.62228782693494</v>
      </c>
      <c r="I1335">
        <v>16.575766891224291</v>
      </c>
      <c r="J1335">
        <v>19.181538747372151</v>
      </c>
      <c r="K1335">
        <v>2095.1883162898698</v>
      </c>
      <c r="L1335">
        <v>1</v>
      </c>
      <c r="M1335" t="s">
        <v>66</v>
      </c>
    </row>
    <row r="1336" spans="1:13" x14ac:dyDescent="0.3">
      <c r="A1336" t="s">
        <v>15</v>
      </c>
      <c r="B1336" t="s">
        <v>33</v>
      </c>
      <c r="C1336">
        <v>70.219448575465918</v>
      </c>
      <c r="D1336">
        <v>2.7078773452194338</v>
      </c>
      <c r="E1336">
        <v>4.3495546614983542</v>
      </c>
      <c r="F1336">
        <v>8.9993083841577697</v>
      </c>
      <c r="G1336">
        <v>5.7720870581782053</v>
      </c>
      <c r="H1336">
        <v>35.419324066963618</v>
      </c>
      <c r="I1336">
        <v>20.65123197848872</v>
      </c>
      <c r="J1336">
        <v>18.822588279037578</v>
      </c>
      <c r="K1336">
        <v>1946.4685120782381</v>
      </c>
      <c r="L1336">
        <v>1</v>
      </c>
      <c r="M1336" t="s">
        <v>66</v>
      </c>
    </row>
    <row r="1337" spans="1:13" x14ac:dyDescent="0.3">
      <c r="A1337" t="s">
        <v>17</v>
      </c>
      <c r="B1337" t="s">
        <v>39</v>
      </c>
      <c r="C1337">
        <v>19.2413601780266</v>
      </c>
      <c r="D1337">
        <v>0</v>
      </c>
      <c r="E1337">
        <v>1.1766844238993279</v>
      </c>
      <c r="F1337">
        <v>3.2453889805263931</v>
      </c>
      <c r="G1337">
        <v>5.4250251075229334</v>
      </c>
      <c r="H1337">
        <v>26.172586889826341</v>
      </c>
      <c r="I1337">
        <v>20.923841939919079</v>
      </c>
      <c r="J1337">
        <v>21.161678649967332</v>
      </c>
      <c r="K1337">
        <v>2094.45537037231</v>
      </c>
      <c r="L1337">
        <v>1</v>
      </c>
      <c r="M1337" t="s">
        <v>66</v>
      </c>
    </row>
    <row r="1338" spans="1:13" x14ac:dyDescent="0.3">
      <c r="A1338" t="s">
        <v>16</v>
      </c>
      <c r="B1338" t="s">
        <v>35</v>
      </c>
      <c r="C1338">
        <v>84.754934529310177</v>
      </c>
      <c r="D1338">
        <v>3.8105510069054009</v>
      </c>
      <c r="E1338">
        <v>6.0696293208730072</v>
      </c>
      <c r="F1338">
        <v>14.60777892042103</v>
      </c>
      <c r="G1338">
        <v>6.3500116972414551</v>
      </c>
      <c r="H1338">
        <v>37.954500345956347</v>
      </c>
      <c r="I1338">
        <v>21.998948981057222</v>
      </c>
      <c r="J1338">
        <v>28.58794255216435</v>
      </c>
      <c r="K1338">
        <v>2115.1792083792438</v>
      </c>
      <c r="L1338">
        <v>1</v>
      </c>
      <c r="M1338" t="s">
        <v>66</v>
      </c>
    </row>
    <row r="1339" spans="1:13" x14ac:dyDescent="0.3">
      <c r="A1339" t="s">
        <v>20</v>
      </c>
      <c r="B1339" t="s">
        <v>50</v>
      </c>
      <c r="C1339">
        <v>47.528078926172199</v>
      </c>
      <c r="D1339">
        <v>2.1587939070961371</v>
      </c>
      <c r="E1339">
        <v>2.784523559149005</v>
      </c>
      <c r="F1339">
        <v>7.1005876279590989</v>
      </c>
      <c r="G1339">
        <v>5.7996092556278693</v>
      </c>
      <c r="H1339">
        <v>26.592072147943291</v>
      </c>
      <c r="I1339">
        <v>18.001957848747288</v>
      </c>
      <c r="J1339">
        <v>22.243687092568379</v>
      </c>
      <c r="K1339">
        <v>1734.514476586832</v>
      </c>
      <c r="L1339">
        <v>1</v>
      </c>
      <c r="M1339" t="s">
        <v>66</v>
      </c>
    </row>
    <row r="1340" spans="1:13" x14ac:dyDescent="0.3">
      <c r="A1340" t="s">
        <v>15</v>
      </c>
      <c r="B1340" t="s">
        <v>34</v>
      </c>
      <c r="C1340">
        <v>118.1648780000682</v>
      </c>
      <c r="D1340">
        <v>5.5243903854643843</v>
      </c>
      <c r="E1340">
        <v>6.7604904169591276</v>
      </c>
      <c r="F1340">
        <v>17.821535212327589</v>
      </c>
      <c r="G1340">
        <v>5.8622957993206111</v>
      </c>
      <c r="H1340">
        <v>42.83177223319354</v>
      </c>
      <c r="I1340">
        <v>16.407596799107981</v>
      </c>
      <c r="J1340">
        <v>28.418835442502651</v>
      </c>
      <c r="K1340">
        <v>1627.619891278579</v>
      </c>
      <c r="L1340">
        <v>1</v>
      </c>
      <c r="M1340" t="s">
        <v>66</v>
      </c>
    </row>
    <row r="1341" spans="1:13" x14ac:dyDescent="0.3">
      <c r="A1341" t="s">
        <v>15</v>
      </c>
      <c r="B1341" t="s">
        <v>31</v>
      </c>
      <c r="C1341">
        <v>19.753458008893801</v>
      </c>
      <c r="D1341">
        <v>1.0469196603041351</v>
      </c>
      <c r="E1341">
        <v>0.96614403877391997</v>
      </c>
      <c r="F1341">
        <v>3.0218190521747839</v>
      </c>
      <c r="G1341">
        <v>6.4996539435868632</v>
      </c>
      <c r="H1341">
        <v>37.117438167358273</v>
      </c>
      <c r="I1341">
        <v>25.86140984874929</v>
      </c>
      <c r="J1341">
        <v>19.966432552172112</v>
      </c>
      <c r="K1341">
        <v>1623.847507818175</v>
      </c>
      <c r="L1341">
        <v>1</v>
      </c>
      <c r="M1341" t="s">
        <v>66</v>
      </c>
    </row>
    <row r="1342" spans="1:13" x14ac:dyDescent="0.3">
      <c r="A1342" t="s">
        <v>25</v>
      </c>
      <c r="B1342" t="s">
        <v>62</v>
      </c>
      <c r="C1342">
        <v>93.378857879487143</v>
      </c>
      <c r="D1342">
        <v>3.6231581287089338</v>
      </c>
      <c r="E1342">
        <v>6.3860157382893803</v>
      </c>
      <c r="F1342">
        <v>15.104049751379719</v>
      </c>
      <c r="G1342">
        <v>6.714653055124904</v>
      </c>
      <c r="H1342">
        <v>13.92193306894197</v>
      </c>
      <c r="I1342">
        <v>31.114136957968221</v>
      </c>
      <c r="J1342">
        <v>31.613675475025861</v>
      </c>
      <c r="K1342">
        <v>47.879956560688022</v>
      </c>
      <c r="L1342">
        <v>-1</v>
      </c>
      <c r="M1342" t="s">
        <v>66</v>
      </c>
    </row>
    <row r="1343" spans="1:13" x14ac:dyDescent="0.3">
      <c r="A1343" t="s">
        <v>16</v>
      </c>
      <c r="B1343" t="s">
        <v>36</v>
      </c>
      <c r="C1343">
        <v>22.238564204790219</v>
      </c>
      <c r="D1343">
        <v>1.025337644485145</v>
      </c>
      <c r="E1343">
        <v>1.010702371777507</v>
      </c>
      <c r="F1343">
        <v>3.0124627422548791</v>
      </c>
      <c r="G1343">
        <v>6.2321558061776621</v>
      </c>
      <c r="H1343">
        <v>26.454542384640391</v>
      </c>
      <c r="I1343">
        <v>22.067633354615079</v>
      </c>
      <c r="J1343">
        <v>21.240606977470382</v>
      </c>
      <c r="K1343">
        <v>1707.1830943849161</v>
      </c>
      <c r="L1343">
        <v>1</v>
      </c>
      <c r="M1343" t="s">
        <v>66</v>
      </c>
    </row>
    <row r="1344" spans="1:13" x14ac:dyDescent="0.3">
      <c r="A1344" t="s">
        <v>20</v>
      </c>
      <c r="B1344" t="s">
        <v>51</v>
      </c>
      <c r="C1344">
        <v>44.15585280129654</v>
      </c>
      <c r="D1344">
        <v>1.8423111159345329</v>
      </c>
      <c r="E1344">
        <v>3.3225643265661682</v>
      </c>
      <c r="F1344">
        <v>6.3281052878674888</v>
      </c>
      <c r="G1344">
        <v>5.8115554463456238</v>
      </c>
      <c r="H1344">
        <v>23.131845866702129</v>
      </c>
      <c r="I1344">
        <v>20.17003636615744</v>
      </c>
      <c r="J1344">
        <v>21.57010970973267</v>
      </c>
      <c r="K1344">
        <v>1529.202969057136</v>
      </c>
      <c r="L1344">
        <v>1</v>
      </c>
      <c r="M1344" t="s">
        <v>66</v>
      </c>
    </row>
    <row r="1345" spans="1:13" x14ac:dyDescent="0.3">
      <c r="A1345" t="s">
        <v>19</v>
      </c>
      <c r="B1345" t="s">
        <v>48</v>
      </c>
      <c r="C1345">
        <v>59.707413167732668</v>
      </c>
      <c r="D1345">
        <v>3.1039998025833619</v>
      </c>
      <c r="E1345">
        <v>3.7598121238716118</v>
      </c>
      <c r="F1345">
        <v>11.679537671098</v>
      </c>
      <c r="G1345">
        <v>6.177118624796659</v>
      </c>
      <c r="H1345">
        <v>17.733435461422282</v>
      </c>
      <c r="I1345">
        <v>33.328484501948189</v>
      </c>
      <c r="J1345">
        <v>27.453085547046381</v>
      </c>
      <c r="K1345">
        <v>1160.478569403851</v>
      </c>
      <c r="L1345">
        <v>0</v>
      </c>
      <c r="M1345" t="s">
        <v>66</v>
      </c>
    </row>
    <row r="1346" spans="1:13" x14ac:dyDescent="0.3">
      <c r="A1346" t="s">
        <v>17</v>
      </c>
      <c r="B1346" t="s">
        <v>39</v>
      </c>
      <c r="C1346">
        <v>17.71495060798874</v>
      </c>
      <c r="D1346">
        <v>0</v>
      </c>
      <c r="E1346">
        <v>1.110358487504544</v>
      </c>
      <c r="F1346">
        <v>2.046803177518667</v>
      </c>
      <c r="G1346">
        <v>5.4385877843730528</v>
      </c>
      <c r="H1346">
        <v>22.368089246782269</v>
      </c>
      <c r="I1346">
        <v>21.684217064214749</v>
      </c>
      <c r="J1346">
        <v>26.802695743415779</v>
      </c>
      <c r="K1346">
        <v>2201.729402311918</v>
      </c>
      <c r="L1346">
        <v>1</v>
      </c>
      <c r="M1346" t="s">
        <v>66</v>
      </c>
    </row>
    <row r="1347" spans="1:13" x14ac:dyDescent="0.3">
      <c r="A1347" t="s">
        <v>19</v>
      </c>
      <c r="B1347" t="s">
        <v>44</v>
      </c>
      <c r="C1347">
        <v>30.481214175371679</v>
      </c>
      <c r="D1347">
        <v>0.97695378494961371</v>
      </c>
      <c r="E1347">
        <v>2.3261507297457702</v>
      </c>
      <c r="F1347">
        <v>3.9170450310856779</v>
      </c>
      <c r="G1347">
        <v>5.9306946721284257</v>
      </c>
      <c r="H1347">
        <v>21.26787957304791</v>
      </c>
      <c r="I1347">
        <v>17.196349549752469</v>
      </c>
      <c r="J1347">
        <v>21.340452220361559</v>
      </c>
      <c r="K1347">
        <v>1752.882298796859</v>
      </c>
      <c r="L1347">
        <v>1</v>
      </c>
      <c r="M1347" t="s">
        <v>66</v>
      </c>
    </row>
    <row r="1348" spans="1:13" x14ac:dyDescent="0.3">
      <c r="A1348" t="s">
        <v>19</v>
      </c>
      <c r="B1348" t="s">
        <v>44</v>
      </c>
      <c r="C1348">
        <v>30.410541265387089</v>
      </c>
      <c r="D1348">
        <v>1.1036159866296389</v>
      </c>
      <c r="E1348">
        <v>2.0663064561755511</v>
      </c>
      <c r="F1348">
        <v>3.3283501043687589</v>
      </c>
      <c r="G1348">
        <v>6.0595907789459007</v>
      </c>
      <c r="H1348">
        <v>20.98486438425369</v>
      </c>
      <c r="I1348">
        <v>20.465134597386101</v>
      </c>
      <c r="J1348">
        <v>19.69444321677754</v>
      </c>
      <c r="K1348">
        <v>1955.5015332796891</v>
      </c>
      <c r="L1348">
        <v>1</v>
      </c>
      <c r="M1348" t="s">
        <v>66</v>
      </c>
    </row>
    <row r="1349" spans="1:13" x14ac:dyDescent="0.3">
      <c r="A1349" t="s">
        <v>24</v>
      </c>
      <c r="B1349" t="s">
        <v>60</v>
      </c>
      <c r="C1349">
        <v>568.45039433960403</v>
      </c>
      <c r="D1349">
        <v>31.507958131327989</v>
      </c>
      <c r="E1349">
        <v>40.969653411638653</v>
      </c>
      <c r="F1349">
        <v>87.085859905950173</v>
      </c>
      <c r="G1349">
        <v>5.9601127102051272</v>
      </c>
      <c r="H1349">
        <v>81.133781784952291</v>
      </c>
      <c r="I1349">
        <v>30.996191356522921</v>
      </c>
      <c r="J1349">
        <v>30.272918137180099</v>
      </c>
      <c r="K1349">
        <v>11</v>
      </c>
      <c r="L1349">
        <v>-1</v>
      </c>
      <c r="M1349" t="s">
        <v>66</v>
      </c>
    </row>
    <row r="1350" spans="1:13" x14ac:dyDescent="0.3">
      <c r="A1350" t="s">
        <v>22</v>
      </c>
      <c r="B1350" t="s">
        <v>53</v>
      </c>
      <c r="C1350">
        <v>33.638408100825558</v>
      </c>
      <c r="D1350">
        <v>1.006923871457208</v>
      </c>
      <c r="E1350">
        <v>2.126930913223299</v>
      </c>
      <c r="F1350">
        <v>5.042191026561003</v>
      </c>
      <c r="G1350">
        <v>6.385643994928321</v>
      </c>
      <c r="H1350">
        <v>22.600863677508389</v>
      </c>
      <c r="I1350">
        <v>24.913468356839662</v>
      </c>
      <c r="J1350">
        <v>19.638846117183789</v>
      </c>
      <c r="K1350">
        <v>1249.9845240323989</v>
      </c>
      <c r="L1350">
        <v>1</v>
      </c>
      <c r="M1350" t="s">
        <v>66</v>
      </c>
    </row>
    <row r="1351" spans="1:13" x14ac:dyDescent="0.3">
      <c r="A1351" t="s">
        <v>19</v>
      </c>
      <c r="B1351" t="s">
        <v>46</v>
      </c>
      <c r="C1351">
        <v>78.940351654645141</v>
      </c>
      <c r="D1351">
        <v>3.607958849850962</v>
      </c>
      <c r="E1351">
        <v>5.167287984956582</v>
      </c>
      <c r="F1351">
        <v>10.7135420344989</v>
      </c>
      <c r="G1351">
        <v>5.6692306385450104</v>
      </c>
      <c r="H1351">
        <v>29.215151429626928</v>
      </c>
      <c r="I1351">
        <v>25.948412392697211</v>
      </c>
      <c r="J1351">
        <v>26.92510377026154</v>
      </c>
      <c r="K1351">
        <v>1467.9291627145101</v>
      </c>
      <c r="L1351">
        <v>1</v>
      </c>
      <c r="M1351" t="s">
        <v>66</v>
      </c>
    </row>
    <row r="1352" spans="1:13" x14ac:dyDescent="0.3">
      <c r="A1352" t="s">
        <v>17</v>
      </c>
      <c r="B1352" t="s">
        <v>39</v>
      </c>
      <c r="C1352">
        <v>146.6562084992851</v>
      </c>
      <c r="D1352">
        <v>5.8193989240905966</v>
      </c>
      <c r="E1352">
        <v>8.9160218684947115</v>
      </c>
      <c r="F1352">
        <v>20.691945185933729</v>
      </c>
      <c r="G1352">
        <v>5.1352926227836448</v>
      </c>
      <c r="H1352">
        <v>19.215927975672461</v>
      </c>
      <c r="I1352">
        <v>18.376764370761581</v>
      </c>
      <c r="J1352">
        <v>20.592722645737801</v>
      </c>
      <c r="K1352">
        <v>1894.456005999948</v>
      </c>
      <c r="L1352">
        <v>1</v>
      </c>
      <c r="M1352" t="s">
        <v>66</v>
      </c>
    </row>
    <row r="1353" spans="1:13" x14ac:dyDescent="0.3">
      <c r="A1353" t="s">
        <v>20</v>
      </c>
      <c r="B1353" t="s">
        <v>49</v>
      </c>
      <c r="C1353">
        <v>41.880745365959129</v>
      </c>
      <c r="D1353">
        <v>1.864764681863416</v>
      </c>
      <c r="E1353">
        <v>3.378710358210665</v>
      </c>
      <c r="F1353">
        <v>6.0216579666467824</v>
      </c>
      <c r="G1353">
        <v>5.6145755651288329</v>
      </c>
      <c r="H1353">
        <v>18.903306619330341</v>
      </c>
      <c r="I1353">
        <v>32.698034559955502</v>
      </c>
      <c r="J1353">
        <v>26.288764293916479</v>
      </c>
      <c r="K1353">
        <v>1173.2469286480659</v>
      </c>
      <c r="L1353">
        <v>0</v>
      </c>
      <c r="M1353" t="s">
        <v>66</v>
      </c>
    </row>
    <row r="1354" spans="1:13" x14ac:dyDescent="0.3">
      <c r="A1354" t="s">
        <v>17</v>
      </c>
      <c r="B1354" t="s">
        <v>39</v>
      </c>
      <c r="C1354">
        <v>12.57728947691059</v>
      </c>
      <c r="D1354">
        <v>0</v>
      </c>
      <c r="E1354">
        <v>0</v>
      </c>
      <c r="F1354">
        <v>1.9527992489104471</v>
      </c>
      <c r="G1354">
        <v>5.0574165593524594</v>
      </c>
      <c r="H1354">
        <v>26.493396912354889</v>
      </c>
      <c r="I1354">
        <v>20.172987163629941</v>
      </c>
      <c r="J1354">
        <v>22.758246393993598</v>
      </c>
      <c r="K1354">
        <v>2084.365496530269</v>
      </c>
      <c r="L1354">
        <v>1</v>
      </c>
      <c r="M1354" t="s">
        <v>66</v>
      </c>
    </row>
    <row r="1355" spans="1:13" x14ac:dyDescent="0.3">
      <c r="A1355" t="s">
        <v>16</v>
      </c>
      <c r="B1355" t="s">
        <v>38</v>
      </c>
      <c r="C1355">
        <v>3.8875882799357409</v>
      </c>
      <c r="D1355">
        <v>0</v>
      </c>
      <c r="E1355">
        <v>0</v>
      </c>
      <c r="F1355">
        <v>-1.7763568394002501E-15</v>
      </c>
      <c r="G1355">
        <v>6.1308034083072966</v>
      </c>
      <c r="H1355">
        <v>23.04560701809994</v>
      </c>
      <c r="I1355">
        <v>17.59990350318175</v>
      </c>
      <c r="J1355">
        <v>24.029587313041649</v>
      </c>
      <c r="K1355">
        <v>1483.66326546391</v>
      </c>
      <c r="L1355">
        <v>1</v>
      </c>
      <c r="M1355" t="s">
        <v>66</v>
      </c>
    </row>
    <row r="1356" spans="1:13" x14ac:dyDescent="0.3">
      <c r="A1356" t="s">
        <v>15</v>
      </c>
      <c r="B1356" t="s">
        <v>34</v>
      </c>
      <c r="C1356">
        <v>106.29211018467841</v>
      </c>
      <c r="D1356">
        <v>5.6687128260638078</v>
      </c>
      <c r="E1356">
        <v>5.7924137437978063</v>
      </c>
      <c r="F1356">
        <v>18.203445831975369</v>
      </c>
      <c r="G1356">
        <v>5.9842276173397586</v>
      </c>
      <c r="H1356">
        <v>39.928502796824013</v>
      </c>
      <c r="I1356">
        <v>24.07973041048896</v>
      </c>
      <c r="J1356">
        <v>19.8429558372858</v>
      </c>
      <c r="K1356">
        <v>2038.0975632824991</v>
      </c>
      <c r="L1356">
        <v>1</v>
      </c>
      <c r="M1356" t="s">
        <v>66</v>
      </c>
    </row>
    <row r="1357" spans="1:13" x14ac:dyDescent="0.3">
      <c r="A1357" t="s">
        <v>24</v>
      </c>
      <c r="B1357" t="s">
        <v>61</v>
      </c>
      <c r="C1357">
        <v>121.90971402984</v>
      </c>
      <c r="D1357">
        <v>5.6210172814421506</v>
      </c>
      <c r="E1357">
        <v>7.5715232680213767</v>
      </c>
      <c r="F1357">
        <v>20.52008675259323</v>
      </c>
      <c r="G1357">
        <v>6.4877877773096913</v>
      </c>
      <c r="H1357">
        <v>19.242295650028542</v>
      </c>
      <c r="I1357">
        <v>29.315857606871621</v>
      </c>
      <c r="J1357">
        <v>30.4744911237133</v>
      </c>
      <c r="K1357">
        <v>49.057975406168453</v>
      </c>
      <c r="L1357">
        <v>-1</v>
      </c>
      <c r="M1357" t="s">
        <v>66</v>
      </c>
    </row>
    <row r="1358" spans="1:13" x14ac:dyDescent="0.3">
      <c r="A1358" t="s">
        <v>21</v>
      </c>
      <c r="B1358" t="s">
        <v>52</v>
      </c>
      <c r="C1358">
        <v>22.100853310945691</v>
      </c>
      <c r="D1358">
        <v>0.9214517028528606</v>
      </c>
      <c r="E1358">
        <v>0.98404444684002712</v>
      </c>
      <c r="F1358">
        <v>2.8597014345854639</v>
      </c>
      <c r="G1358">
        <v>6.3828681160744889</v>
      </c>
      <c r="H1358">
        <v>52.700063252734431</v>
      </c>
      <c r="I1358">
        <v>23.03455059626031</v>
      </c>
      <c r="J1358">
        <v>20.81799522215751</v>
      </c>
      <c r="K1358">
        <v>1268.130419050799</v>
      </c>
      <c r="L1358">
        <v>1</v>
      </c>
      <c r="M1358" t="s">
        <v>66</v>
      </c>
    </row>
    <row r="1359" spans="1:13" x14ac:dyDescent="0.3">
      <c r="A1359" t="s">
        <v>19</v>
      </c>
      <c r="B1359" t="s">
        <v>44</v>
      </c>
      <c r="C1359">
        <v>35.410750468529322</v>
      </c>
      <c r="D1359">
        <v>0.93195727981152743</v>
      </c>
      <c r="E1359">
        <v>1.9795604699934919</v>
      </c>
      <c r="F1359">
        <v>5.7622083559155683</v>
      </c>
      <c r="G1359">
        <v>5.4738184086950756</v>
      </c>
      <c r="H1359">
        <v>28.595819752681649</v>
      </c>
      <c r="I1359">
        <v>17.721669263387589</v>
      </c>
      <c r="J1359">
        <v>21.163672075548881</v>
      </c>
      <c r="K1359">
        <v>1712.4096748780751</v>
      </c>
      <c r="L1359">
        <v>1</v>
      </c>
      <c r="M1359" t="s">
        <v>66</v>
      </c>
    </row>
    <row r="1360" spans="1:13" x14ac:dyDescent="0.3">
      <c r="A1360" t="s">
        <v>19</v>
      </c>
      <c r="B1360" t="s">
        <v>46</v>
      </c>
      <c r="C1360">
        <v>47.017434631072859</v>
      </c>
      <c r="D1360">
        <v>1.915668556514343</v>
      </c>
      <c r="E1360">
        <v>2.8209519702083141</v>
      </c>
      <c r="F1360">
        <v>2.0759687350519691</v>
      </c>
      <c r="G1360">
        <v>6.1410813809052449</v>
      </c>
      <c r="H1360">
        <v>20.211026311376909</v>
      </c>
      <c r="I1360">
        <v>29.42758444173484</v>
      </c>
      <c r="J1360">
        <v>26.119407683020029</v>
      </c>
      <c r="K1360">
        <v>738.16995303951296</v>
      </c>
      <c r="L1360">
        <v>-1</v>
      </c>
      <c r="M1360" t="s">
        <v>66</v>
      </c>
    </row>
    <row r="1361" spans="1:13" x14ac:dyDescent="0.3">
      <c r="A1361" t="s">
        <v>21</v>
      </c>
      <c r="B1361" t="s">
        <v>52</v>
      </c>
      <c r="C1361">
        <v>137.70444071532299</v>
      </c>
      <c r="D1361">
        <v>5.2644396865357974</v>
      </c>
      <c r="E1361">
        <v>8.7440636796780247</v>
      </c>
      <c r="F1361">
        <v>18.648157867537659</v>
      </c>
      <c r="G1361">
        <v>5.2677030343814719</v>
      </c>
      <c r="H1361">
        <v>56.363098922959487</v>
      </c>
      <c r="I1361">
        <v>28.483589978823069</v>
      </c>
      <c r="J1361">
        <v>25.701657233871892</v>
      </c>
      <c r="K1361">
        <v>755.08109148567564</v>
      </c>
      <c r="L1361">
        <v>0</v>
      </c>
      <c r="M1361" t="s">
        <v>66</v>
      </c>
    </row>
    <row r="1362" spans="1:13" x14ac:dyDescent="0.3">
      <c r="A1362" t="s">
        <v>20</v>
      </c>
      <c r="B1362" t="s">
        <v>50</v>
      </c>
      <c r="C1362">
        <v>24.236641326531711</v>
      </c>
      <c r="D1362">
        <v>0.96651820233431351</v>
      </c>
      <c r="E1362">
        <v>0.88927084289767677</v>
      </c>
      <c r="F1362">
        <v>3.1933631629419441</v>
      </c>
      <c r="G1362">
        <v>5.9417093507773462</v>
      </c>
      <c r="H1362">
        <v>39.425014902614457</v>
      </c>
      <c r="I1362">
        <v>22.41252301716726</v>
      </c>
      <c r="J1362">
        <v>20.159006725150039</v>
      </c>
      <c r="K1362">
        <v>1621.1693282307631</v>
      </c>
      <c r="L1362">
        <v>1</v>
      </c>
      <c r="M1362" t="s">
        <v>66</v>
      </c>
    </row>
    <row r="1363" spans="1:13" x14ac:dyDescent="0.3">
      <c r="A1363" t="s">
        <v>19</v>
      </c>
      <c r="B1363" t="s">
        <v>46</v>
      </c>
      <c r="C1363">
        <v>26.78340172047935</v>
      </c>
      <c r="D1363">
        <v>1.021484275401199</v>
      </c>
      <c r="E1363">
        <v>0.96308829516623007</v>
      </c>
      <c r="F1363">
        <v>2.8744872084540098</v>
      </c>
      <c r="G1363">
        <v>6.0244626797238663</v>
      </c>
      <c r="H1363">
        <v>28.459116456847202</v>
      </c>
      <c r="I1363">
        <v>25.029703507569032</v>
      </c>
      <c r="J1363">
        <v>27.020023052278269</v>
      </c>
      <c r="K1363">
        <v>1379.253308975665</v>
      </c>
      <c r="L1363">
        <v>1</v>
      </c>
      <c r="M1363" t="s">
        <v>66</v>
      </c>
    </row>
    <row r="1364" spans="1:13" x14ac:dyDescent="0.3">
      <c r="A1364" t="s">
        <v>16</v>
      </c>
      <c r="B1364" t="s">
        <v>36</v>
      </c>
      <c r="C1364">
        <v>16.24515266411936</v>
      </c>
      <c r="D1364">
        <v>0</v>
      </c>
      <c r="E1364">
        <v>0.93595610252163741</v>
      </c>
      <c r="F1364">
        <v>1.947164441223173</v>
      </c>
      <c r="G1364">
        <v>5.3368333406580106</v>
      </c>
      <c r="H1364">
        <v>28.586456077430778</v>
      </c>
      <c r="I1364">
        <v>24.832955023702588</v>
      </c>
      <c r="J1364">
        <v>26.91741356223843</v>
      </c>
      <c r="K1364">
        <v>2057.0287500625641</v>
      </c>
      <c r="L1364">
        <v>1</v>
      </c>
      <c r="M1364" t="s">
        <v>66</v>
      </c>
    </row>
    <row r="1365" spans="1:13" x14ac:dyDescent="0.3">
      <c r="A1365" t="s">
        <v>18</v>
      </c>
      <c r="B1365" t="s">
        <v>41</v>
      </c>
      <c r="C1365">
        <v>0</v>
      </c>
      <c r="D1365">
        <v>0</v>
      </c>
      <c r="E1365">
        <v>0</v>
      </c>
      <c r="F1365">
        <v>-1.7763568394002501E-15</v>
      </c>
      <c r="G1365">
        <v>7.0891539440089684</v>
      </c>
      <c r="H1365">
        <v>14.072096877479179</v>
      </c>
      <c r="I1365">
        <v>36.185652998391127</v>
      </c>
      <c r="J1365">
        <v>33.011871850142242</v>
      </c>
      <c r="K1365">
        <v>1804.6022544028669</v>
      </c>
      <c r="L1365">
        <v>1</v>
      </c>
      <c r="M1365" t="s">
        <v>66</v>
      </c>
    </row>
    <row r="1366" spans="1:13" x14ac:dyDescent="0.3">
      <c r="A1366" t="s">
        <v>16</v>
      </c>
      <c r="B1366" t="s">
        <v>37</v>
      </c>
      <c r="C1366">
        <v>4.8037785215152979</v>
      </c>
      <c r="D1366">
        <v>0</v>
      </c>
      <c r="E1366">
        <v>0</v>
      </c>
      <c r="F1366">
        <v>-1.7763568394002501E-15</v>
      </c>
      <c r="G1366">
        <v>6.3873905182747039</v>
      </c>
      <c r="H1366">
        <v>21.298065335121759</v>
      </c>
      <c r="I1366">
        <v>16.370042613670471</v>
      </c>
      <c r="J1366">
        <v>22.290573483430329</v>
      </c>
      <c r="K1366">
        <v>1528.443359744575</v>
      </c>
      <c r="L1366">
        <v>1</v>
      </c>
      <c r="M1366" t="s">
        <v>66</v>
      </c>
    </row>
    <row r="1367" spans="1:13" x14ac:dyDescent="0.3">
      <c r="A1367" t="s">
        <v>23</v>
      </c>
      <c r="B1367" t="s">
        <v>56</v>
      </c>
      <c r="C1367">
        <v>84.038821287884772</v>
      </c>
      <c r="D1367">
        <v>4.4003806791231446</v>
      </c>
      <c r="E1367">
        <v>5.2299517089249932</v>
      </c>
      <c r="F1367">
        <v>11.87665101919362</v>
      </c>
      <c r="G1367">
        <v>6.1926111629162399</v>
      </c>
      <c r="H1367">
        <v>24.075284930528721</v>
      </c>
      <c r="I1367">
        <v>21.541325872361501</v>
      </c>
      <c r="J1367">
        <v>18.99702089083797</v>
      </c>
      <c r="K1367">
        <v>1640.925483532413</v>
      </c>
      <c r="L1367">
        <v>1</v>
      </c>
      <c r="M1367" t="s">
        <v>66</v>
      </c>
    </row>
    <row r="1368" spans="1:13" x14ac:dyDescent="0.3">
      <c r="A1368" t="s">
        <v>19</v>
      </c>
      <c r="B1368" t="s">
        <v>48</v>
      </c>
      <c r="C1368">
        <v>64.391037090368059</v>
      </c>
      <c r="D1368">
        <v>3.3815708697004281</v>
      </c>
      <c r="E1368">
        <v>3.7524084033981171</v>
      </c>
      <c r="F1368">
        <v>10.33123519463596</v>
      </c>
      <c r="G1368">
        <v>6.4209465790731031</v>
      </c>
      <c r="H1368">
        <v>19.406646014196738</v>
      </c>
      <c r="I1368">
        <v>33.288286493839117</v>
      </c>
      <c r="J1368">
        <v>25.138996164445501</v>
      </c>
      <c r="K1368">
        <v>1219.4880475154459</v>
      </c>
      <c r="L1368">
        <v>0</v>
      </c>
      <c r="M1368" t="s">
        <v>66</v>
      </c>
    </row>
    <row r="1369" spans="1:13" x14ac:dyDescent="0.3">
      <c r="A1369" t="s">
        <v>15</v>
      </c>
      <c r="B1369" t="s">
        <v>33</v>
      </c>
      <c r="C1369">
        <v>79.500574954946018</v>
      </c>
      <c r="D1369">
        <v>3.7889125981333742</v>
      </c>
      <c r="E1369">
        <v>4.1419202896031377</v>
      </c>
      <c r="F1369">
        <v>11.3899080465214</v>
      </c>
      <c r="G1369">
        <v>5.4605926274863323</v>
      </c>
      <c r="H1369">
        <v>26.274648243446698</v>
      </c>
      <c r="I1369">
        <v>19.023571905475851</v>
      </c>
      <c r="J1369">
        <v>17.381972800222862</v>
      </c>
      <c r="K1369">
        <v>1963.8773234353489</v>
      </c>
      <c r="L1369">
        <v>1</v>
      </c>
      <c r="M1369" t="s">
        <v>66</v>
      </c>
    </row>
    <row r="1370" spans="1:13" x14ac:dyDescent="0.3">
      <c r="A1370" t="s">
        <v>18</v>
      </c>
      <c r="B1370" t="s">
        <v>42</v>
      </c>
      <c r="C1370">
        <v>36.351596401813993</v>
      </c>
      <c r="D1370">
        <v>0.99674200726815831</v>
      </c>
      <c r="E1370">
        <v>1.708496885035522</v>
      </c>
      <c r="F1370">
        <v>4.3296131563121847</v>
      </c>
      <c r="G1370">
        <v>5.5103458183560026</v>
      </c>
      <c r="H1370">
        <v>24.321671157374428</v>
      </c>
      <c r="I1370">
        <v>19.92640897217909</v>
      </c>
      <c r="J1370">
        <v>26.531837843298359</v>
      </c>
      <c r="K1370">
        <v>1872.6192686996569</v>
      </c>
      <c r="L1370">
        <v>1</v>
      </c>
      <c r="M1370" t="s">
        <v>66</v>
      </c>
    </row>
    <row r="1371" spans="1:13" x14ac:dyDescent="0.3">
      <c r="A1371" t="s">
        <v>24</v>
      </c>
      <c r="B1371" t="s">
        <v>57</v>
      </c>
      <c r="C1371">
        <v>7.2388727099133376</v>
      </c>
      <c r="D1371">
        <v>0</v>
      </c>
      <c r="E1371">
        <v>0</v>
      </c>
      <c r="F1371">
        <v>0.99242621886156535</v>
      </c>
      <c r="G1371">
        <v>6.0841152776391532</v>
      </c>
      <c r="H1371">
        <v>37.969966980300967</v>
      </c>
      <c r="I1371">
        <v>23.61557932742534</v>
      </c>
      <c r="J1371">
        <v>24.147464930243771</v>
      </c>
      <c r="K1371">
        <v>740.95437862882238</v>
      </c>
      <c r="L1371">
        <v>0</v>
      </c>
      <c r="M1371" t="s">
        <v>66</v>
      </c>
    </row>
    <row r="1372" spans="1:13" x14ac:dyDescent="0.3">
      <c r="A1372" t="s">
        <v>24</v>
      </c>
      <c r="B1372" t="s">
        <v>59</v>
      </c>
      <c r="C1372">
        <v>328.39809813555439</v>
      </c>
      <c r="D1372">
        <v>16.875761920119039</v>
      </c>
      <c r="E1372">
        <v>19.215973417126239</v>
      </c>
      <c r="F1372">
        <v>52.748975860554857</v>
      </c>
      <c r="G1372">
        <v>5.0251422250468716</v>
      </c>
      <c r="H1372">
        <v>69.335280594630305</v>
      </c>
      <c r="I1372">
        <v>31.220694738352691</v>
      </c>
      <c r="J1372">
        <v>30.724534825264421</v>
      </c>
      <c r="K1372">
        <v>11</v>
      </c>
      <c r="L1372">
        <v>-1</v>
      </c>
      <c r="M1372" t="s">
        <v>66</v>
      </c>
    </row>
    <row r="1373" spans="1:13" x14ac:dyDescent="0.3">
      <c r="A1373" t="s">
        <v>25</v>
      </c>
      <c r="B1373" t="s">
        <v>62</v>
      </c>
      <c r="C1373">
        <v>88.535137220226872</v>
      </c>
      <c r="D1373">
        <v>4.2521516160685557</v>
      </c>
      <c r="E1373">
        <v>5.6928584830098732</v>
      </c>
      <c r="F1373">
        <v>14.946166712867511</v>
      </c>
      <c r="G1373">
        <v>6.7851720972242022</v>
      </c>
      <c r="H1373">
        <v>13.9</v>
      </c>
      <c r="I1373">
        <v>32.276367928939187</v>
      </c>
      <c r="J1373">
        <v>30.281981373130279</v>
      </c>
      <c r="K1373">
        <v>47.483220026441813</v>
      </c>
      <c r="L1373">
        <v>-1</v>
      </c>
      <c r="M1373" t="s">
        <v>66</v>
      </c>
    </row>
    <row r="1374" spans="1:13" x14ac:dyDescent="0.3">
      <c r="A1374" t="s">
        <v>21</v>
      </c>
      <c r="B1374" t="s">
        <v>52</v>
      </c>
      <c r="C1374">
        <v>22.02308942090599</v>
      </c>
      <c r="D1374">
        <v>0.79373093560908448</v>
      </c>
      <c r="E1374">
        <v>1.236994964683565</v>
      </c>
      <c r="F1374">
        <v>2.671788608815675</v>
      </c>
      <c r="G1374">
        <v>6.1031347169550516</v>
      </c>
      <c r="H1374">
        <v>48.461223404229933</v>
      </c>
      <c r="I1374">
        <v>21.918182916436191</v>
      </c>
      <c r="J1374">
        <v>20.021239771373828</v>
      </c>
      <c r="K1374">
        <v>1237.2924030933409</v>
      </c>
      <c r="L1374">
        <v>1</v>
      </c>
      <c r="M1374" t="s">
        <v>66</v>
      </c>
    </row>
    <row r="1375" spans="1:13" x14ac:dyDescent="0.3">
      <c r="A1375" t="s">
        <v>18</v>
      </c>
      <c r="B1375" t="s">
        <v>40</v>
      </c>
      <c r="C1375">
        <v>110.45682800567241</v>
      </c>
      <c r="D1375">
        <v>5.4688112283130303</v>
      </c>
      <c r="E1375">
        <v>8.8969509194611245</v>
      </c>
      <c r="F1375">
        <v>19.955824677572291</v>
      </c>
      <c r="G1375">
        <v>4.9332340958302927</v>
      </c>
      <c r="H1375">
        <v>51.541288782924177</v>
      </c>
      <c r="I1375">
        <v>20.590874875338741</v>
      </c>
      <c r="J1375">
        <v>20.154825356721709</v>
      </c>
      <c r="K1375">
        <v>1675.173490796697</v>
      </c>
      <c r="L1375">
        <v>1</v>
      </c>
      <c r="M1375" t="s">
        <v>66</v>
      </c>
    </row>
    <row r="1376" spans="1:13" x14ac:dyDescent="0.3">
      <c r="A1376" t="s">
        <v>18</v>
      </c>
      <c r="B1376" t="s">
        <v>43</v>
      </c>
      <c r="C1376">
        <v>64.663100492934902</v>
      </c>
      <c r="D1376">
        <v>1.951740423164928</v>
      </c>
      <c r="E1376">
        <v>2.8958232211035719</v>
      </c>
      <c r="F1376">
        <v>8.1962268763552242</v>
      </c>
      <c r="G1376">
        <v>5.7660469317076677</v>
      </c>
      <c r="H1376">
        <v>59.031527148779382</v>
      </c>
      <c r="I1376">
        <v>21.701629240559239</v>
      </c>
      <c r="J1376">
        <v>20.15356548457471</v>
      </c>
      <c r="K1376">
        <v>1952.3097996882909</v>
      </c>
      <c r="L1376">
        <v>1</v>
      </c>
      <c r="M1376" t="s">
        <v>66</v>
      </c>
    </row>
    <row r="1377" spans="1:13" x14ac:dyDescent="0.3">
      <c r="A1377" t="s">
        <v>22</v>
      </c>
      <c r="B1377" t="s">
        <v>53</v>
      </c>
      <c r="C1377">
        <v>69.961448556411241</v>
      </c>
      <c r="D1377">
        <v>3.0322410699256479</v>
      </c>
      <c r="E1377">
        <v>4.6840962345042909</v>
      </c>
      <c r="F1377">
        <v>13.2742870803629</v>
      </c>
      <c r="G1377">
        <v>6.3262786289683426</v>
      </c>
      <c r="H1377">
        <v>31.937862872424681</v>
      </c>
      <c r="I1377">
        <v>26.47034054086815</v>
      </c>
      <c r="J1377">
        <v>22.678714921827751</v>
      </c>
      <c r="K1377">
        <v>1392.563247883711</v>
      </c>
      <c r="L1377">
        <v>1</v>
      </c>
      <c r="M1377" t="s">
        <v>66</v>
      </c>
    </row>
    <row r="1378" spans="1:13" x14ac:dyDescent="0.3">
      <c r="A1378" t="s">
        <v>18</v>
      </c>
      <c r="B1378" t="s">
        <v>42</v>
      </c>
      <c r="C1378">
        <v>5.6153358329969336</v>
      </c>
      <c r="D1378">
        <v>0</v>
      </c>
      <c r="E1378">
        <v>0</v>
      </c>
      <c r="F1378">
        <v>-1.7763568394002501E-15</v>
      </c>
      <c r="G1378">
        <v>5.8844581050771296</v>
      </c>
      <c r="H1378">
        <v>22.258119651680449</v>
      </c>
      <c r="I1378">
        <v>20.17543946301609</v>
      </c>
      <c r="J1378">
        <v>24.735386914276479</v>
      </c>
      <c r="K1378">
        <v>1835.591052002382</v>
      </c>
      <c r="L1378">
        <v>1</v>
      </c>
      <c r="M1378" t="s">
        <v>66</v>
      </c>
    </row>
    <row r="1379" spans="1:13" x14ac:dyDescent="0.3">
      <c r="A1379" t="s">
        <v>20</v>
      </c>
      <c r="B1379" t="s">
        <v>51</v>
      </c>
      <c r="C1379">
        <v>22.98232217966337</v>
      </c>
      <c r="D1379">
        <v>1.1361369746328529</v>
      </c>
      <c r="E1379">
        <v>1.1561175750318839</v>
      </c>
      <c r="F1379">
        <v>3.8052271325280582</v>
      </c>
      <c r="G1379">
        <v>6.3804439334089658</v>
      </c>
      <c r="H1379">
        <v>42.155222467526883</v>
      </c>
      <c r="I1379">
        <v>23.140413880312689</v>
      </c>
      <c r="J1379">
        <v>20.926134924169421</v>
      </c>
      <c r="K1379">
        <v>1626.282161307759</v>
      </c>
      <c r="L1379">
        <v>1</v>
      </c>
      <c r="M1379" t="s">
        <v>66</v>
      </c>
    </row>
    <row r="1380" spans="1:13" x14ac:dyDescent="0.3">
      <c r="A1380" t="s">
        <v>18</v>
      </c>
      <c r="B1380" t="s">
        <v>42</v>
      </c>
      <c r="C1380">
        <v>45.183256065438989</v>
      </c>
      <c r="D1380">
        <v>1.656888262465094</v>
      </c>
      <c r="E1380">
        <v>2.4163219346294702</v>
      </c>
      <c r="F1380">
        <v>6.872042163338687</v>
      </c>
      <c r="G1380">
        <v>5.5637631222922721</v>
      </c>
      <c r="H1380">
        <v>19.731624347747061</v>
      </c>
      <c r="I1380">
        <v>22.582460734365458</v>
      </c>
      <c r="J1380">
        <v>28.492198648236279</v>
      </c>
      <c r="K1380">
        <v>1570.2684689914231</v>
      </c>
      <c r="L1380">
        <v>1</v>
      </c>
      <c r="M1380" t="s">
        <v>66</v>
      </c>
    </row>
    <row r="1381" spans="1:13" x14ac:dyDescent="0.3">
      <c r="A1381" t="s">
        <v>17</v>
      </c>
      <c r="B1381" t="s">
        <v>39</v>
      </c>
      <c r="C1381">
        <v>38.626576474844427</v>
      </c>
      <c r="D1381">
        <v>0.99764938122620883</v>
      </c>
      <c r="E1381">
        <v>2.2260757973173728</v>
      </c>
      <c r="F1381">
        <v>5.9031805085916096</v>
      </c>
      <c r="G1381">
        <v>6.3740364075131781</v>
      </c>
      <c r="H1381">
        <v>25.511134650125541</v>
      </c>
      <c r="I1381">
        <v>16.891560608600901</v>
      </c>
      <c r="J1381">
        <v>23.545348013037831</v>
      </c>
      <c r="K1381">
        <v>1455.649632466829</v>
      </c>
      <c r="L1381">
        <v>1</v>
      </c>
      <c r="M1381" t="s">
        <v>66</v>
      </c>
    </row>
    <row r="1382" spans="1:13" x14ac:dyDescent="0.3">
      <c r="A1382" t="s">
        <v>21</v>
      </c>
      <c r="B1382" t="s">
        <v>52</v>
      </c>
      <c r="C1382">
        <v>72.677713906252436</v>
      </c>
      <c r="D1382">
        <v>3.1331961463520641</v>
      </c>
      <c r="E1382">
        <v>3.97283184644095</v>
      </c>
      <c r="F1382">
        <v>10.22150254262983</v>
      </c>
      <c r="G1382">
        <v>5.8140816863930809</v>
      </c>
      <c r="H1382">
        <v>29.456187587842031</v>
      </c>
      <c r="I1382">
        <v>19.81042719131656</v>
      </c>
      <c r="J1382">
        <v>20.367123039552421</v>
      </c>
      <c r="K1382">
        <v>1517.4417294435809</v>
      </c>
      <c r="L1382">
        <v>1</v>
      </c>
      <c r="M1382" t="s">
        <v>66</v>
      </c>
    </row>
    <row r="1383" spans="1:13" x14ac:dyDescent="0.3">
      <c r="A1383" t="s">
        <v>16</v>
      </c>
      <c r="B1383" t="s">
        <v>35</v>
      </c>
      <c r="C1383">
        <v>61.840973720417139</v>
      </c>
      <c r="D1383">
        <v>3.2707221224620682</v>
      </c>
      <c r="E1383">
        <v>5.1261808255165189</v>
      </c>
      <c r="F1383">
        <v>8.5916406997784023</v>
      </c>
      <c r="G1383">
        <v>6.0898343801677246</v>
      </c>
      <c r="H1383">
        <v>34.514049799993003</v>
      </c>
      <c r="I1383">
        <v>20.940101295339481</v>
      </c>
      <c r="J1383">
        <v>27.747814540896499</v>
      </c>
      <c r="K1383">
        <v>2042.7692784023141</v>
      </c>
      <c r="L1383">
        <v>1</v>
      </c>
      <c r="M1383" t="s">
        <v>66</v>
      </c>
    </row>
    <row r="1384" spans="1:13" x14ac:dyDescent="0.3">
      <c r="A1384" t="s">
        <v>16</v>
      </c>
      <c r="B1384" t="s">
        <v>36</v>
      </c>
      <c r="C1384">
        <v>21.87834401278489</v>
      </c>
      <c r="D1384">
        <v>0.99435089812930899</v>
      </c>
      <c r="E1384">
        <v>0.84534953824867998</v>
      </c>
      <c r="F1384">
        <v>3.4799619638577499</v>
      </c>
      <c r="G1384">
        <v>6.1838143531751131</v>
      </c>
      <c r="H1384">
        <v>27.03658441410521</v>
      </c>
      <c r="I1384">
        <v>22.815301241644551</v>
      </c>
      <c r="J1384">
        <v>22.023405881003889</v>
      </c>
      <c r="K1384">
        <v>1716.6215744498411</v>
      </c>
      <c r="L1384">
        <v>1</v>
      </c>
      <c r="M1384" t="s">
        <v>66</v>
      </c>
    </row>
    <row r="1385" spans="1:13" x14ac:dyDescent="0.3">
      <c r="A1385" t="s">
        <v>24</v>
      </c>
      <c r="B1385" t="s">
        <v>61</v>
      </c>
      <c r="C1385">
        <v>348.83594137349007</v>
      </c>
      <c r="D1385">
        <v>16.600728543189479</v>
      </c>
      <c r="E1385">
        <v>22.144282711923221</v>
      </c>
      <c r="F1385">
        <v>54.591433967181217</v>
      </c>
      <c r="G1385">
        <v>4.591567150454563</v>
      </c>
      <c r="H1385">
        <v>55.71575403092271</v>
      </c>
      <c r="I1385">
        <v>29.93058256836974</v>
      </c>
      <c r="J1385">
        <v>30.648915566895539</v>
      </c>
      <c r="K1385">
        <v>14.341765240503721</v>
      </c>
      <c r="L1385">
        <v>-1</v>
      </c>
      <c r="M1385" t="s">
        <v>66</v>
      </c>
    </row>
    <row r="1386" spans="1:13" x14ac:dyDescent="0.3">
      <c r="A1386" t="s">
        <v>15</v>
      </c>
      <c r="B1386" t="s">
        <v>33</v>
      </c>
      <c r="C1386">
        <v>81.102476997177376</v>
      </c>
      <c r="D1386">
        <v>3.4142398708087449</v>
      </c>
      <c r="E1386">
        <v>4.7704843469761551</v>
      </c>
      <c r="F1386">
        <v>10.470046012240999</v>
      </c>
      <c r="G1386">
        <v>5.7475744424052992</v>
      </c>
      <c r="H1386">
        <v>31.02313663235185</v>
      </c>
      <c r="I1386">
        <v>17.044000242757988</v>
      </c>
      <c r="J1386">
        <v>17.22461894641587</v>
      </c>
      <c r="K1386">
        <v>1785.9400822438911</v>
      </c>
      <c r="L1386">
        <v>1</v>
      </c>
      <c r="M1386" t="s">
        <v>66</v>
      </c>
    </row>
    <row r="1387" spans="1:13" x14ac:dyDescent="0.3">
      <c r="A1387" t="s">
        <v>17</v>
      </c>
      <c r="B1387" t="s">
        <v>39</v>
      </c>
      <c r="C1387">
        <v>19.569985066790689</v>
      </c>
      <c r="D1387">
        <v>0</v>
      </c>
      <c r="E1387">
        <v>1.2289217711832909</v>
      </c>
      <c r="F1387">
        <v>3.5543240095768578</v>
      </c>
      <c r="G1387">
        <v>5.313438262860692</v>
      </c>
      <c r="H1387">
        <v>25.896174732789301</v>
      </c>
      <c r="I1387">
        <v>19.417618215365049</v>
      </c>
      <c r="J1387">
        <v>21.926519158145041</v>
      </c>
      <c r="K1387">
        <v>2123.017022154665</v>
      </c>
      <c r="L1387">
        <v>1</v>
      </c>
      <c r="M1387" t="s">
        <v>66</v>
      </c>
    </row>
    <row r="1388" spans="1:13" x14ac:dyDescent="0.3">
      <c r="A1388" t="s">
        <v>15</v>
      </c>
      <c r="B1388" t="s">
        <v>33</v>
      </c>
      <c r="C1388">
        <v>75.031928583947703</v>
      </c>
      <c r="D1388">
        <v>2.8577899995631828</v>
      </c>
      <c r="E1388">
        <v>4.4785888666461808</v>
      </c>
      <c r="F1388">
        <v>11.513844406842511</v>
      </c>
      <c r="G1388">
        <v>5.6490835527184018</v>
      </c>
      <c r="H1388">
        <v>32.242123386285613</v>
      </c>
      <c r="I1388">
        <v>17.942140645095229</v>
      </c>
      <c r="J1388">
        <v>18.94554258120445</v>
      </c>
      <c r="K1388">
        <v>1974.6058851447481</v>
      </c>
      <c r="L1388">
        <v>1</v>
      </c>
      <c r="M1388" t="s">
        <v>66</v>
      </c>
    </row>
    <row r="1389" spans="1:13" x14ac:dyDescent="0.3">
      <c r="A1389" t="s">
        <v>20</v>
      </c>
      <c r="B1389" t="s">
        <v>51</v>
      </c>
      <c r="C1389">
        <v>89.975715381654055</v>
      </c>
      <c r="D1389">
        <v>3.5597042030804</v>
      </c>
      <c r="E1389">
        <v>5.1633831922565943</v>
      </c>
      <c r="F1389">
        <v>16.24333116005516</v>
      </c>
      <c r="G1389">
        <v>6.2410136719719418</v>
      </c>
      <c r="H1389">
        <v>37.365158987583669</v>
      </c>
      <c r="I1389">
        <v>21.773148501828832</v>
      </c>
      <c r="J1389">
        <v>19.55176515305444</v>
      </c>
      <c r="K1389">
        <v>1601.04993962308</v>
      </c>
      <c r="L1389">
        <v>1</v>
      </c>
      <c r="M1389" t="s">
        <v>66</v>
      </c>
    </row>
    <row r="1390" spans="1:13" x14ac:dyDescent="0.3">
      <c r="A1390" t="s">
        <v>17</v>
      </c>
      <c r="B1390" t="s">
        <v>39</v>
      </c>
      <c r="C1390">
        <v>14.127874931963451</v>
      </c>
      <c r="D1390">
        <v>0</v>
      </c>
      <c r="E1390">
        <v>0</v>
      </c>
      <c r="F1390">
        <v>1.857772064560862</v>
      </c>
      <c r="G1390">
        <v>5.3035100034669354</v>
      </c>
      <c r="H1390">
        <v>28.569100436419351</v>
      </c>
      <c r="I1390">
        <v>20.267125365004151</v>
      </c>
      <c r="J1390">
        <v>24.629336992834752</v>
      </c>
      <c r="K1390">
        <v>2118.5558168625098</v>
      </c>
      <c r="L1390">
        <v>1</v>
      </c>
      <c r="M1390" t="s">
        <v>66</v>
      </c>
    </row>
    <row r="1391" spans="1:13" x14ac:dyDescent="0.3">
      <c r="A1391" t="s">
        <v>18</v>
      </c>
      <c r="B1391" t="s">
        <v>42</v>
      </c>
      <c r="C1391">
        <v>6.2946929502941487</v>
      </c>
      <c r="D1391">
        <v>0</v>
      </c>
      <c r="E1391">
        <v>0</v>
      </c>
      <c r="F1391">
        <v>-1.7763568394002501E-15</v>
      </c>
      <c r="G1391">
        <v>5.7609946728786028</v>
      </c>
      <c r="H1391">
        <v>21.487276432139399</v>
      </c>
      <c r="I1391">
        <v>21.453708867222051</v>
      </c>
      <c r="J1391">
        <v>25.69559281922059</v>
      </c>
      <c r="K1391">
        <v>1853.485262965987</v>
      </c>
      <c r="L1391">
        <v>1</v>
      </c>
      <c r="M1391" t="s">
        <v>66</v>
      </c>
    </row>
    <row r="1392" spans="1:13" x14ac:dyDescent="0.3">
      <c r="A1392" t="s">
        <v>19</v>
      </c>
      <c r="B1392" t="s">
        <v>48</v>
      </c>
      <c r="C1392">
        <v>57.794082223675993</v>
      </c>
      <c r="D1392">
        <v>2.9780331414398908</v>
      </c>
      <c r="E1392">
        <v>4.071349823826985</v>
      </c>
      <c r="F1392">
        <v>9.511236894850196</v>
      </c>
      <c r="G1392">
        <v>6.3473804971925576</v>
      </c>
      <c r="H1392">
        <v>19.348568890685129</v>
      </c>
      <c r="I1392">
        <v>34.562510582400982</v>
      </c>
      <c r="J1392">
        <v>25.927292705962511</v>
      </c>
      <c r="K1392">
        <v>1205.7688065798709</v>
      </c>
      <c r="L1392">
        <v>0</v>
      </c>
      <c r="M1392" t="s">
        <v>66</v>
      </c>
    </row>
    <row r="1393" spans="1:13" x14ac:dyDescent="0.3">
      <c r="A1393" t="s">
        <v>18</v>
      </c>
      <c r="B1393" t="s">
        <v>42</v>
      </c>
      <c r="C1393">
        <v>27.177154632579491</v>
      </c>
      <c r="D1393">
        <v>1.097301723445901</v>
      </c>
      <c r="E1393">
        <v>0.90754731961994928</v>
      </c>
      <c r="F1393">
        <v>3.4573251756909991</v>
      </c>
      <c r="G1393">
        <v>5.3207370005651269</v>
      </c>
      <c r="H1393">
        <v>29.789973280765061</v>
      </c>
      <c r="I1393">
        <v>19.355629490985908</v>
      </c>
      <c r="J1393">
        <v>25.77720871478315</v>
      </c>
      <c r="K1393">
        <v>1909.5936207806251</v>
      </c>
      <c r="L1393">
        <v>1</v>
      </c>
      <c r="M1393" t="s">
        <v>66</v>
      </c>
    </row>
    <row r="1394" spans="1:13" x14ac:dyDescent="0.3">
      <c r="A1394" t="s">
        <v>20</v>
      </c>
      <c r="B1394" t="s">
        <v>51</v>
      </c>
      <c r="C1394">
        <v>256.50268223788589</v>
      </c>
      <c r="D1394">
        <v>13.988053361932289</v>
      </c>
      <c r="E1394">
        <v>19.800959779804408</v>
      </c>
      <c r="F1394">
        <v>29.705500700570681</v>
      </c>
      <c r="G1394">
        <v>5.0590907682259862</v>
      </c>
      <c r="H1394">
        <v>28.781995368170151</v>
      </c>
      <c r="I1394">
        <v>19.524987627104359</v>
      </c>
      <c r="J1394">
        <v>19.686874936147429</v>
      </c>
      <c r="K1394">
        <v>1534.672507351022</v>
      </c>
      <c r="L1394">
        <v>1</v>
      </c>
      <c r="M1394" t="s">
        <v>66</v>
      </c>
    </row>
    <row r="1395" spans="1:13" x14ac:dyDescent="0.3">
      <c r="A1395" t="s">
        <v>24</v>
      </c>
      <c r="B1395" t="s">
        <v>61</v>
      </c>
      <c r="C1395">
        <v>73.770911138307952</v>
      </c>
      <c r="D1395">
        <v>4.568449493769041</v>
      </c>
      <c r="E1395">
        <v>5.0471705402009306</v>
      </c>
      <c r="F1395">
        <v>13.02005045375947</v>
      </c>
      <c r="G1395">
        <v>6.1538772694118409</v>
      </c>
      <c r="H1395">
        <v>14.81042315518115</v>
      </c>
      <c r="I1395">
        <v>35.007526612117609</v>
      </c>
      <c r="J1395">
        <v>31.861236818415382</v>
      </c>
      <c r="K1395">
        <v>50.607752184133012</v>
      </c>
      <c r="L1395">
        <v>-1</v>
      </c>
      <c r="M1395" t="s">
        <v>66</v>
      </c>
    </row>
    <row r="1396" spans="1:13" x14ac:dyDescent="0.3">
      <c r="A1396" t="s">
        <v>24</v>
      </c>
      <c r="B1396" t="s">
        <v>61</v>
      </c>
      <c r="C1396">
        <v>174.1598909660558</v>
      </c>
      <c r="D1396">
        <v>8.3359681113627939</v>
      </c>
      <c r="E1396">
        <v>11.94631400111823</v>
      </c>
      <c r="F1396">
        <v>29.917537716651381</v>
      </c>
      <c r="G1396">
        <v>6.3279410028206122</v>
      </c>
      <c r="H1396">
        <v>26.831885060689039</v>
      </c>
      <c r="I1396">
        <v>29.778112667426232</v>
      </c>
      <c r="J1396">
        <v>31.712219545216279</v>
      </c>
      <c r="K1396">
        <v>14.045337049020871</v>
      </c>
      <c r="L1396">
        <v>-1</v>
      </c>
      <c r="M1396" t="s">
        <v>66</v>
      </c>
    </row>
    <row r="1397" spans="1:13" x14ac:dyDescent="0.3">
      <c r="A1397" t="s">
        <v>19</v>
      </c>
      <c r="B1397" t="s">
        <v>44</v>
      </c>
      <c r="C1397">
        <v>22.318123008008499</v>
      </c>
      <c r="D1397">
        <v>1.1243429980376041</v>
      </c>
      <c r="E1397">
        <v>0.92178586802148654</v>
      </c>
      <c r="F1397">
        <v>2.9627094198116768</v>
      </c>
      <c r="G1397">
        <v>6.1216810994294351</v>
      </c>
      <c r="H1397">
        <v>20.651764407506739</v>
      </c>
      <c r="I1397">
        <v>20.71724617970392</v>
      </c>
      <c r="J1397">
        <v>18.809868947896561</v>
      </c>
      <c r="K1397">
        <v>1958.808401438775</v>
      </c>
      <c r="L1397">
        <v>1</v>
      </c>
      <c r="M1397" t="s">
        <v>66</v>
      </c>
    </row>
    <row r="1398" spans="1:13" x14ac:dyDescent="0.3">
      <c r="A1398" t="s">
        <v>18</v>
      </c>
      <c r="B1398" t="s">
        <v>42</v>
      </c>
      <c r="C1398">
        <v>30.083525292428181</v>
      </c>
      <c r="D1398">
        <v>1.0977414458801671</v>
      </c>
      <c r="E1398">
        <v>1.8246998513487109</v>
      </c>
      <c r="F1398">
        <v>4.7873789052167446</v>
      </c>
      <c r="G1398">
        <v>5.4214366975150456</v>
      </c>
      <c r="H1398">
        <v>24.773059374425401</v>
      </c>
      <c r="I1398">
        <v>18.927912709217772</v>
      </c>
      <c r="J1398">
        <v>25.203667988850899</v>
      </c>
      <c r="K1398">
        <v>1854.328041708729</v>
      </c>
      <c r="L1398">
        <v>1</v>
      </c>
      <c r="M1398" t="s">
        <v>66</v>
      </c>
    </row>
    <row r="1399" spans="1:13" x14ac:dyDescent="0.3">
      <c r="A1399" t="s">
        <v>16</v>
      </c>
      <c r="B1399" t="s">
        <v>38</v>
      </c>
      <c r="C1399">
        <v>960</v>
      </c>
      <c r="D1399">
        <v>47</v>
      </c>
      <c r="E1399">
        <v>62.048572826545133</v>
      </c>
      <c r="F1399">
        <v>148.11580770981999</v>
      </c>
      <c r="G1399">
        <v>5.3529902476931568</v>
      </c>
      <c r="H1399">
        <v>25.38034233636316</v>
      </c>
      <c r="I1399">
        <v>19.140003287377539</v>
      </c>
      <c r="J1399">
        <v>21.661691816404399</v>
      </c>
      <c r="K1399">
        <v>1475.319422565748</v>
      </c>
      <c r="L1399">
        <v>1</v>
      </c>
      <c r="M1399" t="s">
        <v>66</v>
      </c>
    </row>
    <row r="1400" spans="1:13" x14ac:dyDescent="0.3">
      <c r="A1400" t="s">
        <v>17</v>
      </c>
      <c r="B1400" t="s">
        <v>39</v>
      </c>
      <c r="C1400">
        <v>36.82468260873555</v>
      </c>
      <c r="D1400">
        <v>0.9354220939049096</v>
      </c>
      <c r="E1400">
        <v>1.8058540914795469</v>
      </c>
      <c r="F1400">
        <v>6.2827640471363342</v>
      </c>
      <c r="G1400">
        <v>6.2347820394531448</v>
      </c>
      <c r="H1400">
        <v>27.513283167235709</v>
      </c>
      <c r="I1400">
        <v>17.852509070268791</v>
      </c>
      <c r="J1400">
        <v>24.5462824224252</v>
      </c>
      <c r="K1400">
        <v>1478.2205466619091</v>
      </c>
      <c r="L1400">
        <v>1</v>
      </c>
      <c r="M1400" t="s">
        <v>66</v>
      </c>
    </row>
    <row r="1401" spans="1:13" x14ac:dyDescent="0.3">
      <c r="A1401" t="s">
        <v>24</v>
      </c>
      <c r="B1401" t="s">
        <v>61</v>
      </c>
      <c r="C1401">
        <v>663.50978542216262</v>
      </c>
      <c r="D1401">
        <v>43.718794952453138</v>
      </c>
      <c r="E1401">
        <v>43.817815725140051</v>
      </c>
      <c r="F1401">
        <v>118.89870543661669</v>
      </c>
      <c r="G1401">
        <v>6.1123568331919929</v>
      </c>
      <c r="H1401">
        <v>72.108407230927952</v>
      </c>
      <c r="I1401">
        <v>28.208009022113849</v>
      </c>
      <c r="J1401">
        <v>29.69040027594507</v>
      </c>
      <c r="K1401">
        <v>11.0336065397662</v>
      </c>
      <c r="L1401">
        <v>-1</v>
      </c>
      <c r="M1401" t="s">
        <v>66</v>
      </c>
    </row>
    <row r="1402" spans="1:13" x14ac:dyDescent="0.3">
      <c r="A1402" t="s">
        <v>19</v>
      </c>
      <c r="B1402" t="s">
        <v>45</v>
      </c>
      <c r="C1402">
        <v>21.274131915472541</v>
      </c>
      <c r="D1402">
        <v>0.85950297578155865</v>
      </c>
      <c r="E1402">
        <v>1.145121488630497</v>
      </c>
      <c r="F1402">
        <v>2.9578433364795109</v>
      </c>
      <c r="G1402">
        <v>6.1502120322491516</v>
      </c>
      <c r="H1402">
        <v>19.11325498516138</v>
      </c>
      <c r="I1402">
        <v>31.0353579587706</v>
      </c>
      <c r="J1402">
        <v>23.874531750984609</v>
      </c>
      <c r="K1402">
        <v>1351.5727270800419</v>
      </c>
      <c r="L1402">
        <v>0</v>
      </c>
      <c r="M1402" t="s">
        <v>66</v>
      </c>
    </row>
    <row r="1403" spans="1:13" x14ac:dyDescent="0.3">
      <c r="A1403" t="s">
        <v>20</v>
      </c>
      <c r="B1403" t="s">
        <v>51</v>
      </c>
      <c r="C1403">
        <v>44.399812697261957</v>
      </c>
      <c r="D1403">
        <v>2.1764840089690289</v>
      </c>
      <c r="E1403">
        <v>2.9255085053081178</v>
      </c>
      <c r="F1403">
        <v>7.1806497679945416</v>
      </c>
      <c r="G1403">
        <v>5.7430551131881096</v>
      </c>
      <c r="H1403">
        <v>24.335993152265161</v>
      </c>
      <c r="I1403">
        <v>21.886401021047192</v>
      </c>
      <c r="J1403">
        <v>21.16937307542694</v>
      </c>
      <c r="K1403">
        <v>1561.220229581681</v>
      </c>
      <c r="L1403">
        <v>1</v>
      </c>
      <c r="M1403" t="s">
        <v>66</v>
      </c>
    </row>
    <row r="1404" spans="1:13" x14ac:dyDescent="0.3">
      <c r="A1404" t="s">
        <v>25</v>
      </c>
      <c r="B1404" t="s">
        <v>62</v>
      </c>
      <c r="C1404">
        <v>90.507829791699024</v>
      </c>
      <c r="D1404">
        <v>3.5008028549965688</v>
      </c>
      <c r="E1404">
        <v>5.9396814032630383</v>
      </c>
      <c r="F1404">
        <v>13.227936105856161</v>
      </c>
      <c r="G1404">
        <v>6.9511135547621441</v>
      </c>
      <c r="H1404">
        <v>13.9</v>
      </c>
      <c r="I1404">
        <v>31.460929125679559</v>
      </c>
      <c r="J1404">
        <v>32.095454954899992</v>
      </c>
      <c r="K1404">
        <v>48.015105576679623</v>
      </c>
      <c r="L1404">
        <v>-1</v>
      </c>
      <c r="M1404" t="s">
        <v>66</v>
      </c>
    </row>
    <row r="1405" spans="1:13" x14ac:dyDescent="0.3">
      <c r="A1405" t="s">
        <v>19</v>
      </c>
      <c r="B1405" t="s">
        <v>44</v>
      </c>
      <c r="C1405">
        <v>52.131498588038887</v>
      </c>
      <c r="D1405">
        <v>1.5064461003947931</v>
      </c>
      <c r="E1405">
        <v>3.0316590230072111</v>
      </c>
      <c r="F1405">
        <v>8.4191618941221193</v>
      </c>
      <c r="G1405">
        <v>6.2733103284763256</v>
      </c>
      <c r="H1405">
        <v>23.586301615314309</v>
      </c>
      <c r="I1405">
        <v>19.257253946850941</v>
      </c>
      <c r="J1405">
        <v>30.753987891400069</v>
      </c>
      <c r="K1405">
        <v>2228.311273507687</v>
      </c>
      <c r="L1405">
        <v>1</v>
      </c>
      <c r="M1405" t="s">
        <v>66</v>
      </c>
    </row>
    <row r="1406" spans="1:13" x14ac:dyDescent="0.3">
      <c r="A1406" t="s">
        <v>17</v>
      </c>
      <c r="B1406" t="s">
        <v>39</v>
      </c>
      <c r="C1406">
        <v>19.742254576018411</v>
      </c>
      <c r="D1406">
        <v>0</v>
      </c>
      <c r="E1406">
        <v>0.85841664557606023</v>
      </c>
      <c r="F1406">
        <v>2.6038603919144538</v>
      </c>
      <c r="G1406">
        <v>5.5390678408785066</v>
      </c>
      <c r="H1406">
        <v>25.660605235359419</v>
      </c>
      <c r="I1406">
        <v>19.00107039729253</v>
      </c>
      <c r="J1406">
        <v>22.918479007260579</v>
      </c>
      <c r="K1406">
        <v>2112.1905389963458</v>
      </c>
      <c r="L1406">
        <v>1</v>
      </c>
      <c r="M1406" t="s">
        <v>66</v>
      </c>
    </row>
    <row r="1407" spans="1:13" x14ac:dyDescent="0.3">
      <c r="A1407" t="s">
        <v>15</v>
      </c>
      <c r="B1407" t="s">
        <v>34</v>
      </c>
      <c r="C1407">
        <v>103.1978612760529</v>
      </c>
      <c r="D1407">
        <v>5.2690820400888416</v>
      </c>
      <c r="E1407">
        <v>6.9570940763918978</v>
      </c>
      <c r="F1407">
        <v>17.556845338779581</v>
      </c>
      <c r="G1407">
        <v>5.7764129144545144</v>
      </c>
      <c r="H1407">
        <v>43.800387161655088</v>
      </c>
      <c r="I1407">
        <v>22.727627315711558</v>
      </c>
      <c r="J1407">
        <v>19.48027910866228</v>
      </c>
      <c r="K1407">
        <v>2025.064411843779</v>
      </c>
      <c r="L1407">
        <v>1</v>
      </c>
      <c r="M1407" t="s">
        <v>66</v>
      </c>
    </row>
    <row r="1408" spans="1:13" x14ac:dyDescent="0.3">
      <c r="A1408" t="s">
        <v>22</v>
      </c>
      <c r="B1408" t="s">
        <v>53</v>
      </c>
      <c r="C1408">
        <v>31.265301782014451</v>
      </c>
      <c r="D1408">
        <v>0.99683624275253413</v>
      </c>
      <c r="E1408">
        <v>2.2733413574319381</v>
      </c>
      <c r="F1408">
        <v>5.2258797398528749</v>
      </c>
      <c r="G1408">
        <v>6.4165545463586673</v>
      </c>
      <c r="H1408">
        <v>20.949705353355601</v>
      </c>
      <c r="I1408">
        <v>23.148451325056939</v>
      </c>
      <c r="J1408">
        <v>19.231258657760979</v>
      </c>
      <c r="K1408">
        <v>1230.2273622999419</v>
      </c>
      <c r="L1408">
        <v>1</v>
      </c>
      <c r="M1408" t="s">
        <v>66</v>
      </c>
    </row>
    <row r="1409" spans="1:13" x14ac:dyDescent="0.3">
      <c r="A1409" t="s">
        <v>18</v>
      </c>
      <c r="B1409" t="s">
        <v>43</v>
      </c>
      <c r="C1409">
        <v>30.824317011123149</v>
      </c>
      <c r="D1409">
        <v>0.95924893547317325</v>
      </c>
      <c r="E1409">
        <v>1.8989189549758709</v>
      </c>
      <c r="F1409">
        <v>3.127943785996409</v>
      </c>
      <c r="G1409">
        <v>5.8233796838826164</v>
      </c>
      <c r="H1409">
        <v>32.186792979258293</v>
      </c>
      <c r="I1409">
        <v>27.351673849237059</v>
      </c>
      <c r="J1409">
        <v>19.31021257172236</v>
      </c>
      <c r="K1409">
        <v>1808.5498736389179</v>
      </c>
      <c r="L1409">
        <v>1</v>
      </c>
      <c r="M1409" t="s">
        <v>66</v>
      </c>
    </row>
    <row r="1410" spans="1:13" x14ac:dyDescent="0.3">
      <c r="A1410" t="s">
        <v>20</v>
      </c>
      <c r="B1410" t="s">
        <v>50</v>
      </c>
      <c r="C1410">
        <v>51.3098382766279</v>
      </c>
      <c r="D1410">
        <v>1.9361364817532349</v>
      </c>
      <c r="E1410">
        <v>3.1831765260151639</v>
      </c>
      <c r="F1410">
        <v>6.6441548861762278</v>
      </c>
      <c r="G1410">
        <v>6.5446194687445169</v>
      </c>
      <c r="H1410">
        <v>20.521719639333309</v>
      </c>
      <c r="I1410">
        <v>22.040186364522999</v>
      </c>
      <c r="J1410">
        <v>20.848870029460219</v>
      </c>
      <c r="K1410">
        <v>1721.4465991135471</v>
      </c>
      <c r="L1410">
        <v>1</v>
      </c>
      <c r="M1410" t="s">
        <v>66</v>
      </c>
    </row>
    <row r="1411" spans="1:13" x14ac:dyDescent="0.3">
      <c r="A1411" t="s">
        <v>17</v>
      </c>
      <c r="B1411" t="s">
        <v>39</v>
      </c>
      <c r="C1411">
        <v>113.7719505277657</v>
      </c>
      <c r="D1411">
        <v>6.381623261307575</v>
      </c>
      <c r="E1411">
        <v>10.30466399734032</v>
      </c>
      <c r="F1411">
        <v>17.633536047984681</v>
      </c>
      <c r="G1411">
        <v>5.1438542969362997</v>
      </c>
      <c r="H1411">
        <v>19.281251636942951</v>
      </c>
      <c r="I1411">
        <v>19.060839704561271</v>
      </c>
      <c r="J1411">
        <v>20.742879970812499</v>
      </c>
      <c r="K1411">
        <v>1936.65411589368</v>
      </c>
      <c r="L1411">
        <v>1</v>
      </c>
      <c r="M1411" t="s">
        <v>66</v>
      </c>
    </row>
    <row r="1412" spans="1:13" x14ac:dyDescent="0.3">
      <c r="A1412" t="s">
        <v>16</v>
      </c>
      <c r="B1412" t="s">
        <v>35</v>
      </c>
      <c r="C1412">
        <v>86.083181413900022</v>
      </c>
      <c r="D1412">
        <v>4.3798674244407998</v>
      </c>
      <c r="E1412">
        <v>5.5459307161129532</v>
      </c>
      <c r="F1412">
        <v>12.551291883458489</v>
      </c>
      <c r="G1412">
        <v>6.3833378515941908</v>
      </c>
      <c r="H1412">
        <v>38.838780968704938</v>
      </c>
      <c r="I1412">
        <v>21.520625481966121</v>
      </c>
      <c r="J1412">
        <v>28.63916195613103</v>
      </c>
      <c r="K1412">
        <v>2118.8863350879969</v>
      </c>
      <c r="L1412">
        <v>1</v>
      </c>
      <c r="M1412" t="s">
        <v>66</v>
      </c>
    </row>
    <row r="1413" spans="1:13" x14ac:dyDescent="0.3">
      <c r="A1413" t="s">
        <v>17</v>
      </c>
      <c r="B1413" t="s">
        <v>39</v>
      </c>
      <c r="C1413">
        <v>13.062509483314431</v>
      </c>
      <c r="D1413">
        <v>0</v>
      </c>
      <c r="E1413">
        <v>0</v>
      </c>
      <c r="F1413">
        <v>2.159053686210211</v>
      </c>
      <c r="G1413">
        <v>5.4414532456145004</v>
      </c>
      <c r="H1413">
        <v>29.127193701234059</v>
      </c>
      <c r="I1413">
        <v>19.797395527697581</v>
      </c>
      <c r="J1413">
        <v>24.73774245870209</v>
      </c>
      <c r="K1413">
        <v>2205.3713334985391</v>
      </c>
      <c r="L1413">
        <v>1</v>
      </c>
      <c r="M1413" t="s">
        <v>66</v>
      </c>
    </row>
    <row r="1414" spans="1:13" x14ac:dyDescent="0.3">
      <c r="A1414" t="s">
        <v>17</v>
      </c>
      <c r="B1414" t="s">
        <v>39</v>
      </c>
      <c r="C1414">
        <v>740.84812428827445</v>
      </c>
      <c r="D1414">
        <v>45.027145266390903</v>
      </c>
      <c r="E1414">
        <v>67</v>
      </c>
      <c r="F1414">
        <v>115.4321936228195</v>
      </c>
      <c r="G1414">
        <v>5.4588525997160202</v>
      </c>
      <c r="H1414">
        <v>48.432273738330139</v>
      </c>
      <c r="I1414">
        <v>18.97320655433246</v>
      </c>
      <c r="J1414">
        <v>21.926830418316769</v>
      </c>
      <c r="K1414">
        <v>1485.0794045078021</v>
      </c>
      <c r="L1414">
        <v>1</v>
      </c>
      <c r="M1414" t="s">
        <v>66</v>
      </c>
    </row>
    <row r="1415" spans="1:13" x14ac:dyDescent="0.3">
      <c r="A1415" t="s">
        <v>22</v>
      </c>
      <c r="B1415" t="s">
        <v>54</v>
      </c>
      <c r="C1415">
        <v>47.981255892210967</v>
      </c>
      <c r="D1415">
        <v>1.835077791804913</v>
      </c>
      <c r="E1415">
        <v>3.1078125496149438</v>
      </c>
      <c r="F1415">
        <v>7.7731656886466407</v>
      </c>
      <c r="G1415">
        <v>7.5</v>
      </c>
      <c r="H1415">
        <v>44.143098353878912</v>
      </c>
      <c r="I1415">
        <v>31.149495600802972</v>
      </c>
      <c r="J1415">
        <v>21.586116614970791</v>
      </c>
      <c r="K1415">
        <v>1338.3408893115511</v>
      </c>
      <c r="L1415">
        <v>1</v>
      </c>
      <c r="M1415" t="s">
        <v>66</v>
      </c>
    </row>
    <row r="1416" spans="1:13" x14ac:dyDescent="0.3">
      <c r="A1416" t="s">
        <v>20</v>
      </c>
      <c r="B1416" t="s">
        <v>51</v>
      </c>
      <c r="C1416">
        <v>73.605170383810034</v>
      </c>
      <c r="D1416">
        <v>2.7102767975923521</v>
      </c>
      <c r="E1416">
        <v>4.659464177623744</v>
      </c>
      <c r="F1416">
        <v>11.16556339032336</v>
      </c>
      <c r="G1416">
        <v>6.1527996815855586</v>
      </c>
      <c r="H1416">
        <v>63.998710451702237</v>
      </c>
      <c r="I1416">
        <v>21.19127155291676</v>
      </c>
      <c r="J1416">
        <v>20.079680064506</v>
      </c>
      <c r="K1416">
        <v>1552.543173190717</v>
      </c>
      <c r="L1416">
        <v>1</v>
      </c>
      <c r="M1416" t="s">
        <v>66</v>
      </c>
    </row>
    <row r="1417" spans="1:13" x14ac:dyDescent="0.3">
      <c r="A1417" t="s">
        <v>20</v>
      </c>
      <c r="B1417" t="s">
        <v>49</v>
      </c>
      <c r="C1417">
        <v>66.949440950641602</v>
      </c>
      <c r="D1417">
        <v>3.2647867772577679</v>
      </c>
      <c r="E1417">
        <v>3.9679301921505719</v>
      </c>
      <c r="F1417">
        <v>11.54189363154841</v>
      </c>
      <c r="G1417">
        <v>5.6698022293103651</v>
      </c>
      <c r="H1417">
        <v>27.095983528242041</v>
      </c>
      <c r="I1417">
        <v>18.464693087519208</v>
      </c>
      <c r="J1417">
        <v>22.047609536092331</v>
      </c>
      <c r="K1417">
        <v>1734.800474382519</v>
      </c>
      <c r="L1417">
        <v>1</v>
      </c>
      <c r="M1417" t="s">
        <v>66</v>
      </c>
    </row>
    <row r="1418" spans="1:13" x14ac:dyDescent="0.3">
      <c r="A1418" t="s">
        <v>19</v>
      </c>
      <c r="B1418" t="s">
        <v>48</v>
      </c>
      <c r="C1418">
        <v>58.888021461386487</v>
      </c>
      <c r="D1418">
        <v>2.906107235322744</v>
      </c>
      <c r="E1418">
        <v>3.8838638350295032</v>
      </c>
      <c r="F1418">
        <v>9.0445161159430558</v>
      </c>
      <c r="G1418">
        <v>6.2395208484040046</v>
      </c>
      <c r="H1418">
        <v>18.777201347372689</v>
      </c>
      <c r="I1418">
        <v>33.957991741377363</v>
      </c>
      <c r="J1418">
        <v>25.914351470041339</v>
      </c>
      <c r="K1418">
        <v>1186.831151393161</v>
      </c>
      <c r="L1418">
        <v>0</v>
      </c>
      <c r="M1418" t="s">
        <v>66</v>
      </c>
    </row>
    <row r="1419" spans="1:13" x14ac:dyDescent="0.3">
      <c r="A1419" t="s">
        <v>15</v>
      </c>
      <c r="B1419" t="s">
        <v>33</v>
      </c>
      <c r="C1419">
        <v>77.525449925789474</v>
      </c>
      <c r="D1419">
        <v>2.9132482658325061</v>
      </c>
      <c r="E1419">
        <v>4.4423071355617649</v>
      </c>
      <c r="F1419">
        <v>10.977106784256041</v>
      </c>
      <c r="G1419">
        <v>5.413873461543421</v>
      </c>
      <c r="H1419">
        <v>25.96174532195209</v>
      </c>
      <c r="I1419">
        <v>17.409929299195689</v>
      </c>
      <c r="J1419">
        <v>17.96726190509164</v>
      </c>
      <c r="K1419">
        <v>1870.32857448598</v>
      </c>
      <c r="L1419">
        <v>1</v>
      </c>
      <c r="M1419" t="s">
        <v>66</v>
      </c>
    </row>
    <row r="1420" spans="1:13" x14ac:dyDescent="0.3">
      <c r="A1420" t="s">
        <v>15</v>
      </c>
      <c r="B1420" t="s">
        <v>34</v>
      </c>
      <c r="C1420">
        <v>189.6655758577499</v>
      </c>
      <c r="D1420">
        <v>8.1929709880137889</v>
      </c>
      <c r="E1420">
        <v>12.41341964886564</v>
      </c>
      <c r="F1420">
        <v>31.123149980739761</v>
      </c>
      <c r="G1420">
        <v>5.8551607741301934</v>
      </c>
      <c r="H1420">
        <v>42.680896275820608</v>
      </c>
      <c r="I1420">
        <v>24.359025609794092</v>
      </c>
      <c r="J1420">
        <v>20.122975478899491</v>
      </c>
      <c r="K1420">
        <v>2067.157946764024</v>
      </c>
      <c r="L1420">
        <v>1</v>
      </c>
      <c r="M1420" t="s">
        <v>66</v>
      </c>
    </row>
    <row r="1421" spans="1:13" x14ac:dyDescent="0.3">
      <c r="A1421" t="s">
        <v>20</v>
      </c>
      <c r="B1421" t="s">
        <v>49</v>
      </c>
      <c r="C1421">
        <v>91.987862941631377</v>
      </c>
      <c r="D1421">
        <v>4.9386127619476996</v>
      </c>
      <c r="E1421">
        <v>6.2798265278225509</v>
      </c>
      <c r="F1421">
        <v>13.37237109115194</v>
      </c>
      <c r="G1421">
        <v>5.5069516927556776</v>
      </c>
      <c r="H1421">
        <v>28.142401298922611</v>
      </c>
      <c r="I1421">
        <v>20.832041584654871</v>
      </c>
      <c r="J1421">
        <v>21.631106028366741</v>
      </c>
      <c r="K1421">
        <v>1808.9627005580469</v>
      </c>
      <c r="L1421">
        <v>1</v>
      </c>
      <c r="M1421" t="s">
        <v>66</v>
      </c>
    </row>
    <row r="1422" spans="1:13" x14ac:dyDescent="0.3">
      <c r="A1422" t="s">
        <v>18</v>
      </c>
      <c r="B1422" t="s">
        <v>40</v>
      </c>
      <c r="C1422">
        <v>118.5747351901163</v>
      </c>
      <c r="D1422">
        <v>5.4587097544556871</v>
      </c>
      <c r="E1422">
        <v>8.9147109148760055</v>
      </c>
      <c r="F1422">
        <v>23.530726236787999</v>
      </c>
      <c r="G1422">
        <v>6.2034484220753638</v>
      </c>
      <c r="H1422">
        <v>30.34820988135467</v>
      </c>
      <c r="I1422">
        <v>21.234299847516588</v>
      </c>
      <c r="J1422">
        <v>21.564155504851051</v>
      </c>
      <c r="K1422">
        <v>1642.008019767404</v>
      </c>
      <c r="L1422">
        <v>1</v>
      </c>
      <c r="M1422" t="s">
        <v>66</v>
      </c>
    </row>
    <row r="1423" spans="1:13" x14ac:dyDescent="0.3">
      <c r="A1423" t="s">
        <v>18</v>
      </c>
      <c r="B1423" t="s">
        <v>42</v>
      </c>
      <c r="C1423">
        <v>67.025189468638231</v>
      </c>
      <c r="D1423">
        <v>2.7780878775411439</v>
      </c>
      <c r="E1423">
        <v>3.4339873174723352</v>
      </c>
      <c r="F1423">
        <v>9.3967002032350955</v>
      </c>
      <c r="G1423">
        <v>5.7418452592576879</v>
      </c>
      <c r="H1423">
        <v>41.466919845858598</v>
      </c>
      <c r="I1423">
        <v>19.489859860865408</v>
      </c>
      <c r="J1423">
        <v>19.862129012906319</v>
      </c>
      <c r="K1423">
        <v>1804.7666217433041</v>
      </c>
      <c r="L1423">
        <v>1</v>
      </c>
      <c r="M1423" t="s">
        <v>66</v>
      </c>
    </row>
    <row r="1424" spans="1:13" x14ac:dyDescent="0.3">
      <c r="A1424" t="s">
        <v>15</v>
      </c>
      <c r="B1424" t="s">
        <v>34</v>
      </c>
      <c r="C1424">
        <v>109.8567149843816</v>
      </c>
      <c r="D1424">
        <v>4.7931911700150494</v>
      </c>
      <c r="E1424">
        <v>6.168237222286872</v>
      </c>
      <c r="F1424">
        <v>17.100079022287431</v>
      </c>
      <c r="G1424">
        <v>5.69855634188119</v>
      </c>
      <c r="H1424">
        <v>44.125365508055673</v>
      </c>
      <c r="I1424">
        <v>23.96198796026286</v>
      </c>
      <c r="J1424">
        <v>17.931017594544642</v>
      </c>
      <c r="K1424">
        <v>2065.3067588666809</v>
      </c>
      <c r="L1424">
        <v>1</v>
      </c>
      <c r="M1424" t="s">
        <v>66</v>
      </c>
    </row>
    <row r="1425" spans="1:13" x14ac:dyDescent="0.3">
      <c r="A1425" t="s">
        <v>19</v>
      </c>
      <c r="B1425" t="s">
        <v>44</v>
      </c>
      <c r="C1425">
        <v>45.798058175968599</v>
      </c>
      <c r="D1425">
        <v>1.7733368951073569</v>
      </c>
      <c r="E1425">
        <v>3.0531682081346592</v>
      </c>
      <c r="F1425">
        <v>6.5641659737477616</v>
      </c>
      <c r="G1425">
        <v>6.1083333358262584</v>
      </c>
      <c r="H1425">
        <v>23.043433043553168</v>
      </c>
      <c r="I1425">
        <v>19.24185103132859</v>
      </c>
      <c r="J1425">
        <v>29.118811082834419</v>
      </c>
      <c r="K1425">
        <v>2245.7027248395921</v>
      </c>
      <c r="L1425">
        <v>1</v>
      </c>
      <c r="M1425" t="s">
        <v>66</v>
      </c>
    </row>
    <row r="1426" spans="1:13" x14ac:dyDescent="0.3">
      <c r="A1426" t="s">
        <v>18</v>
      </c>
      <c r="B1426" t="s">
        <v>41</v>
      </c>
      <c r="C1426">
        <v>0</v>
      </c>
      <c r="D1426">
        <v>0</v>
      </c>
      <c r="E1426">
        <v>0</v>
      </c>
      <c r="F1426">
        <v>-1.7763568394002501E-15</v>
      </c>
      <c r="G1426">
        <v>7.0056176611807679</v>
      </c>
      <c r="H1426">
        <v>13.9</v>
      </c>
      <c r="I1426">
        <v>36.88957714804409</v>
      </c>
      <c r="J1426">
        <v>31.626674287273801</v>
      </c>
      <c r="K1426">
        <v>1785.9715118157669</v>
      </c>
      <c r="L1426">
        <v>1</v>
      </c>
      <c r="M1426" t="s">
        <v>66</v>
      </c>
    </row>
    <row r="1427" spans="1:13" x14ac:dyDescent="0.3">
      <c r="A1427" t="s">
        <v>18</v>
      </c>
      <c r="B1427" t="s">
        <v>42</v>
      </c>
      <c r="C1427">
        <v>27.1436168458706</v>
      </c>
      <c r="D1427">
        <v>0.9270586645833041</v>
      </c>
      <c r="E1427">
        <v>1.1329149084066741</v>
      </c>
      <c r="F1427">
        <v>3.5113806633783882</v>
      </c>
      <c r="G1427">
        <v>5.4113395966539732</v>
      </c>
      <c r="H1427">
        <v>31.692160270409129</v>
      </c>
      <c r="I1427">
        <v>18.07290892527595</v>
      </c>
      <c r="J1427">
        <v>24.790891012185021</v>
      </c>
      <c r="K1427">
        <v>1842.85601863186</v>
      </c>
      <c r="L1427">
        <v>1</v>
      </c>
      <c r="M1427" t="s">
        <v>66</v>
      </c>
    </row>
    <row r="1428" spans="1:13" x14ac:dyDescent="0.3">
      <c r="A1428" t="s">
        <v>18</v>
      </c>
      <c r="B1428" t="s">
        <v>41</v>
      </c>
      <c r="C1428">
        <v>132.1531848234462</v>
      </c>
      <c r="D1428">
        <v>5.9839555135327442</v>
      </c>
      <c r="E1428">
        <v>9.2861547956866204</v>
      </c>
      <c r="F1428">
        <v>19.533156095328831</v>
      </c>
      <c r="G1428">
        <v>4.359723769580568</v>
      </c>
      <c r="H1428">
        <v>57.094684182240201</v>
      </c>
      <c r="I1428">
        <v>20.105815491934688</v>
      </c>
      <c r="J1428">
        <v>20.66318468942228</v>
      </c>
      <c r="K1428">
        <v>1616.831524533889</v>
      </c>
      <c r="L1428">
        <v>1</v>
      </c>
      <c r="M1428" t="s">
        <v>66</v>
      </c>
    </row>
    <row r="1429" spans="1:13" x14ac:dyDescent="0.3">
      <c r="A1429" t="s">
        <v>15</v>
      </c>
      <c r="B1429" t="s">
        <v>33</v>
      </c>
      <c r="C1429">
        <v>73.053408555754302</v>
      </c>
      <c r="D1429">
        <v>2.8700386658160268</v>
      </c>
      <c r="E1429">
        <v>4.8366105158824837</v>
      </c>
      <c r="F1429">
        <v>10.3321561839672</v>
      </c>
      <c r="G1429">
        <v>5.682349041933116</v>
      </c>
      <c r="H1429">
        <v>25.410224917121429</v>
      </c>
      <c r="I1429">
        <v>19.2957245849244</v>
      </c>
      <c r="J1429">
        <v>17.62332453722594</v>
      </c>
      <c r="K1429">
        <v>1845.565626742924</v>
      </c>
      <c r="L1429">
        <v>1</v>
      </c>
      <c r="M1429" t="s">
        <v>66</v>
      </c>
    </row>
    <row r="1430" spans="1:13" x14ac:dyDescent="0.3">
      <c r="A1430" t="s">
        <v>18</v>
      </c>
      <c r="B1430" t="s">
        <v>43</v>
      </c>
      <c r="C1430">
        <v>35.709230029012147</v>
      </c>
      <c r="D1430">
        <v>0.9993066682398819</v>
      </c>
      <c r="E1430">
        <v>1.975001669990238</v>
      </c>
      <c r="F1430">
        <v>3.5491422925426228</v>
      </c>
      <c r="G1430">
        <v>6.1164382617168744</v>
      </c>
      <c r="H1430">
        <v>23.60379837189565</v>
      </c>
      <c r="I1430">
        <v>23.790945520925469</v>
      </c>
      <c r="J1430">
        <v>18.39909956443066</v>
      </c>
      <c r="K1430">
        <v>1763.988145586831</v>
      </c>
      <c r="L1430">
        <v>1</v>
      </c>
      <c r="M1430" t="s">
        <v>66</v>
      </c>
    </row>
    <row r="1431" spans="1:13" x14ac:dyDescent="0.3">
      <c r="A1431" t="s">
        <v>19</v>
      </c>
      <c r="B1431" t="s">
        <v>44</v>
      </c>
      <c r="C1431">
        <v>18.578502578536359</v>
      </c>
      <c r="D1431">
        <v>0</v>
      </c>
      <c r="E1431">
        <v>1.0303031238676501</v>
      </c>
      <c r="F1431">
        <v>3.098131971349861</v>
      </c>
      <c r="G1431">
        <v>5.3598887609543251</v>
      </c>
      <c r="H1431">
        <v>14.603825303097659</v>
      </c>
      <c r="I1431">
        <v>32.353557410767237</v>
      </c>
      <c r="J1431">
        <v>23.47579509477578</v>
      </c>
      <c r="K1431">
        <v>1328.2112878963619</v>
      </c>
      <c r="L1431">
        <v>0</v>
      </c>
      <c r="M1431" t="s">
        <v>66</v>
      </c>
    </row>
    <row r="1432" spans="1:13" x14ac:dyDescent="0.3">
      <c r="A1432" t="s">
        <v>19</v>
      </c>
      <c r="B1432" t="s">
        <v>45</v>
      </c>
      <c r="C1432">
        <v>15.684712529547181</v>
      </c>
      <c r="D1432">
        <v>0</v>
      </c>
      <c r="E1432">
        <v>1.0052882437351811</v>
      </c>
      <c r="F1432">
        <v>1.827703211685797</v>
      </c>
      <c r="G1432">
        <v>6.2011465101493028</v>
      </c>
      <c r="H1432">
        <v>35.865470373361902</v>
      </c>
      <c r="I1432">
        <v>23.100430168695262</v>
      </c>
      <c r="J1432">
        <v>27.518677968016441</v>
      </c>
      <c r="K1432">
        <v>1490.5968763308031</v>
      </c>
      <c r="L1432">
        <v>1</v>
      </c>
      <c r="M1432" t="s">
        <v>66</v>
      </c>
    </row>
    <row r="1433" spans="1:13" x14ac:dyDescent="0.3">
      <c r="A1433" t="s">
        <v>15</v>
      </c>
      <c r="B1433" t="s">
        <v>33</v>
      </c>
      <c r="C1433">
        <v>37.505366488346887</v>
      </c>
      <c r="D1433">
        <v>2.1150937218575501</v>
      </c>
      <c r="E1433">
        <v>2.1838658355472731</v>
      </c>
      <c r="F1433">
        <v>7.2030933585103414</v>
      </c>
      <c r="G1433">
        <v>6.1124823411997324</v>
      </c>
      <c r="H1433">
        <v>37.083121913604721</v>
      </c>
      <c r="I1433">
        <v>21.42493128502802</v>
      </c>
      <c r="J1433">
        <v>18.331026301835731</v>
      </c>
      <c r="K1433">
        <v>1944.7637474594851</v>
      </c>
      <c r="L1433">
        <v>1</v>
      </c>
      <c r="M1433" t="s">
        <v>66</v>
      </c>
    </row>
    <row r="1434" spans="1:13" x14ac:dyDescent="0.3">
      <c r="A1434" t="s">
        <v>24</v>
      </c>
      <c r="B1434" t="s">
        <v>61</v>
      </c>
      <c r="C1434">
        <v>336.15289311136002</v>
      </c>
      <c r="D1434">
        <v>17.40394860836766</v>
      </c>
      <c r="E1434">
        <v>23.80468969942067</v>
      </c>
      <c r="F1434">
        <v>54.589709815896981</v>
      </c>
      <c r="G1434">
        <v>4.6022288497227724</v>
      </c>
      <c r="H1434">
        <v>56.583117113486622</v>
      </c>
      <c r="I1434">
        <v>31.337895061829428</v>
      </c>
      <c r="J1434">
        <v>30.83499159388678</v>
      </c>
      <c r="K1434">
        <v>14.14876168352362</v>
      </c>
      <c r="L1434">
        <v>-1</v>
      </c>
      <c r="M1434" t="s">
        <v>66</v>
      </c>
    </row>
    <row r="1435" spans="1:13" x14ac:dyDescent="0.3">
      <c r="A1435" t="s">
        <v>19</v>
      </c>
      <c r="B1435" t="s">
        <v>45</v>
      </c>
      <c r="C1435">
        <v>19.04320615370267</v>
      </c>
      <c r="D1435">
        <v>0.8784697951214957</v>
      </c>
      <c r="E1435">
        <v>0.89424463132618559</v>
      </c>
      <c r="F1435">
        <v>3.1565165778405562</v>
      </c>
      <c r="G1435">
        <v>6.4182685312881791</v>
      </c>
      <c r="H1435">
        <v>17.881125515339381</v>
      </c>
      <c r="I1435">
        <v>32.719650322788453</v>
      </c>
      <c r="J1435">
        <v>24.697918701872592</v>
      </c>
      <c r="K1435">
        <v>1309.64179584204</v>
      </c>
      <c r="L1435">
        <v>0</v>
      </c>
      <c r="M1435" t="s">
        <v>66</v>
      </c>
    </row>
    <row r="1436" spans="1:13" x14ac:dyDescent="0.3">
      <c r="A1436" t="s">
        <v>21</v>
      </c>
      <c r="B1436" t="s">
        <v>52</v>
      </c>
      <c r="C1436">
        <v>30.478260790904319</v>
      </c>
      <c r="D1436">
        <v>1.0431579851216679</v>
      </c>
      <c r="E1436">
        <v>2.0334317870741652</v>
      </c>
      <c r="F1436">
        <v>4.9895398441223691</v>
      </c>
      <c r="G1436">
        <v>6.249392235797675</v>
      </c>
      <c r="H1436">
        <v>28.49783169340137</v>
      </c>
      <c r="I1436">
        <v>26.265559907411671</v>
      </c>
      <c r="J1436">
        <v>21.96439663593269</v>
      </c>
      <c r="K1436">
        <v>1176.4750234568701</v>
      </c>
      <c r="L1436">
        <v>1</v>
      </c>
      <c r="M1436" t="s">
        <v>66</v>
      </c>
    </row>
    <row r="1437" spans="1:13" x14ac:dyDescent="0.3">
      <c r="A1437" t="s">
        <v>16</v>
      </c>
      <c r="B1437" t="s">
        <v>35</v>
      </c>
      <c r="C1437">
        <v>93.708778124660867</v>
      </c>
      <c r="D1437">
        <v>3.7994833347704211</v>
      </c>
      <c r="E1437">
        <v>6.7182258201372491</v>
      </c>
      <c r="F1437">
        <v>11.686237185700209</v>
      </c>
      <c r="G1437">
        <v>6.1574693043820607</v>
      </c>
      <c r="H1437">
        <v>37.568547408556491</v>
      </c>
      <c r="I1437">
        <v>21.124722017330221</v>
      </c>
      <c r="J1437">
        <v>28.64188913247094</v>
      </c>
      <c r="K1437">
        <v>2028.6767622556949</v>
      </c>
      <c r="L1437">
        <v>1</v>
      </c>
      <c r="M1437" t="s">
        <v>66</v>
      </c>
    </row>
    <row r="1438" spans="1:13" x14ac:dyDescent="0.3">
      <c r="A1438" t="s">
        <v>19</v>
      </c>
      <c r="B1438" t="s">
        <v>47</v>
      </c>
      <c r="C1438">
        <v>32.190883395068902</v>
      </c>
      <c r="D1438">
        <v>0.97628191384203911</v>
      </c>
      <c r="E1438">
        <v>1.8929063849623371</v>
      </c>
      <c r="F1438">
        <v>3.9712251867898849</v>
      </c>
      <c r="G1438">
        <v>5.6750226425500978</v>
      </c>
      <c r="H1438">
        <v>21.477008491308279</v>
      </c>
      <c r="I1438">
        <v>29.19893024914326</v>
      </c>
      <c r="J1438">
        <v>26.20007862256567</v>
      </c>
      <c r="K1438">
        <v>750.17680803878216</v>
      </c>
      <c r="L1438">
        <v>-1</v>
      </c>
      <c r="M1438" t="s">
        <v>66</v>
      </c>
    </row>
    <row r="1439" spans="1:13" x14ac:dyDescent="0.3">
      <c r="A1439" t="s">
        <v>15</v>
      </c>
      <c r="B1439" t="s">
        <v>33</v>
      </c>
      <c r="C1439">
        <v>83.574642259356494</v>
      </c>
      <c r="D1439">
        <v>2.7208785802156079</v>
      </c>
      <c r="E1439">
        <v>4.7398621498202376</v>
      </c>
      <c r="F1439">
        <v>12.088864776127529</v>
      </c>
      <c r="G1439">
        <v>5.7679568809020507</v>
      </c>
      <c r="H1439">
        <v>25.305799082458659</v>
      </c>
      <c r="I1439">
        <v>18.427829552475391</v>
      </c>
      <c r="J1439">
        <v>17.250305823618081</v>
      </c>
      <c r="K1439">
        <v>1917.265139305307</v>
      </c>
      <c r="L1439">
        <v>1</v>
      </c>
      <c r="M1439" t="s">
        <v>66</v>
      </c>
    </row>
    <row r="1440" spans="1:13" x14ac:dyDescent="0.3">
      <c r="A1440" t="s">
        <v>24</v>
      </c>
      <c r="B1440" t="s">
        <v>58</v>
      </c>
      <c r="C1440">
        <v>13.484044786159879</v>
      </c>
      <c r="D1440">
        <v>0</v>
      </c>
      <c r="E1440">
        <v>0</v>
      </c>
      <c r="F1440">
        <v>2.4271635356131269</v>
      </c>
      <c r="G1440">
        <v>6.4131992486555109</v>
      </c>
      <c r="H1440">
        <v>39.585434266358767</v>
      </c>
      <c r="I1440">
        <v>23.675043803906622</v>
      </c>
      <c r="J1440">
        <v>24.434675709194149</v>
      </c>
      <c r="K1440">
        <v>716.7520546317794</v>
      </c>
      <c r="L1440">
        <v>0</v>
      </c>
      <c r="M1440" t="s">
        <v>66</v>
      </c>
    </row>
    <row r="1441" spans="1:13" x14ac:dyDescent="0.3">
      <c r="A1441" t="s">
        <v>18</v>
      </c>
      <c r="B1441" t="s">
        <v>41</v>
      </c>
      <c r="C1441">
        <v>6.6833425649381724</v>
      </c>
      <c r="D1441">
        <v>0</v>
      </c>
      <c r="E1441">
        <v>0</v>
      </c>
      <c r="F1441">
        <v>-1.7763568394002501E-15</v>
      </c>
      <c r="G1441">
        <v>6.6184925317385819</v>
      </c>
      <c r="H1441">
        <v>23.754954757037339</v>
      </c>
      <c r="I1441">
        <v>28.296766710687901</v>
      </c>
      <c r="J1441">
        <v>34.5</v>
      </c>
      <c r="K1441">
        <v>1828.502468969569</v>
      </c>
      <c r="L1441">
        <v>1</v>
      </c>
      <c r="M1441" t="s">
        <v>66</v>
      </c>
    </row>
    <row r="1442" spans="1:13" x14ac:dyDescent="0.3">
      <c r="A1442" t="s">
        <v>25</v>
      </c>
      <c r="B1442" t="s">
        <v>62</v>
      </c>
      <c r="C1442">
        <v>91.980515579038567</v>
      </c>
      <c r="D1442">
        <v>4.5620852978000483</v>
      </c>
      <c r="E1442">
        <v>5.1079686993702458</v>
      </c>
      <c r="F1442">
        <v>12.309547606951989</v>
      </c>
      <c r="G1442">
        <v>6.7479103324211476</v>
      </c>
      <c r="H1442">
        <v>13.9</v>
      </c>
      <c r="I1442">
        <v>32.050491485622253</v>
      </c>
      <c r="J1442">
        <v>30.68712339032356</v>
      </c>
      <c r="K1442">
        <v>47.816326783768773</v>
      </c>
      <c r="L1442">
        <v>-1</v>
      </c>
      <c r="M1442" t="s">
        <v>66</v>
      </c>
    </row>
    <row r="1443" spans="1:13" x14ac:dyDescent="0.3">
      <c r="A1443" t="s">
        <v>20</v>
      </c>
      <c r="B1443" t="s">
        <v>51</v>
      </c>
      <c r="C1443">
        <v>44.47669501225441</v>
      </c>
      <c r="D1443">
        <v>1.8921222267483011</v>
      </c>
      <c r="E1443">
        <v>2.988715858420953</v>
      </c>
      <c r="F1443">
        <v>6.7939520995634934</v>
      </c>
      <c r="G1443">
        <v>5.80925236539096</v>
      </c>
      <c r="H1443">
        <v>23.038358234085319</v>
      </c>
      <c r="I1443">
        <v>21.939363007066401</v>
      </c>
      <c r="J1443">
        <v>20.9150147412069</v>
      </c>
      <c r="K1443">
        <v>1482.248642600684</v>
      </c>
      <c r="L1443">
        <v>1</v>
      </c>
      <c r="M1443" t="s">
        <v>66</v>
      </c>
    </row>
    <row r="1444" spans="1:13" x14ac:dyDescent="0.3">
      <c r="A1444" t="s">
        <v>16</v>
      </c>
      <c r="B1444" t="s">
        <v>35</v>
      </c>
      <c r="C1444">
        <v>63.101353222108592</v>
      </c>
      <c r="D1444">
        <v>3.2016739054144199</v>
      </c>
      <c r="E1444">
        <v>3.6597083795812551</v>
      </c>
      <c r="F1444">
        <v>9.8694295630707352</v>
      </c>
      <c r="G1444">
        <v>5.8347206682437083</v>
      </c>
      <c r="H1444">
        <v>38.619487769823692</v>
      </c>
      <c r="I1444">
        <v>20.15580128322954</v>
      </c>
      <c r="J1444">
        <v>28.987831264286609</v>
      </c>
      <c r="K1444">
        <v>2051.4575481194202</v>
      </c>
      <c r="L1444">
        <v>1</v>
      </c>
      <c r="M1444" t="s">
        <v>66</v>
      </c>
    </row>
    <row r="1445" spans="1:13" x14ac:dyDescent="0.3">
      <c r="A1445" t="s">
        <v>18</v>
      </c>
      <c r="B1445" t="s">
        <v>41</v>
      </c>
      <c r="C1445">
        <v>122.451624302219</v>
      </c>
      <c r="D1445">
        <v>7.0001452963388129</v>
      </c>
      <c r="E1445">
        <v>8.8316492685895049</v>
      </c>
      <c r="F1445">
        <v>19.017151979567249</v>
      </c>
      <c r="G1445">
        <v>4.3</v>
      </c>
      <c r="H1445">
        <v>54.877869182811637</v>
      </c>
      <c r="I1445">
        <v>19.32137566577229</v>
      </c>
      <c r="J1445">
        <v>20.76066987461115</v>
      </c>
      <c r="K1445">
        <v>1684.8236159054029</v>
      </c>
      <c r="L1445">
        <v>1</v>
      </c>
      <c r="M1445" t="s">
        <v>66</v>
      </c>
    </row>
    <row r="1446" spans="1:13" x14ac:dyDescent="0.3">
      <c r="A1446" t="s">
        <v>16</v>
      </c>
      <c r="B1446" t="s">
        <v>37</v>
      </c>
      <c r="C1446">
        <v>12.571669137167619</v>
      </c>
      <c r="D1446">
        <v>0</v>
      </c>
      <c r="E1446">
        <v>0</v>
      </c>
      <c r="F1446">
        <v>1.10400003648199</v>
      </c>
      <c r="G1446">
        <v>6.5297596872662158</v>
      </c>
      <c r="H1446">
        <v>37.649452515573778</v>
      </c>
      <c r="I1446">
        <v>16.945781433045092</v>
      </c>
      <c r="J1446">
        <v>23.238463923680161</v>
      </c>
      <c r="K1446">
        <v>1443.493490352181</v>
      </c>
      <c r="L1446">
        <v>1</v>
      </c>
      <c r="M1446" t="s">
        <v>66</v>
      </c>
    </row>
    <row r="1447" spans="1:13" x14ac:dyDescent="0.3">
      <c r="A1447" t="s">
        <v>15</v>
      </c>
      <c r="B1447" t="s">
        <v>33</v>
      </c>
      <c r="C1447">
        <v>94.810749980064969</v>
      </c>
      <c r="D1447">
        <v>4.393274078182376</v>
      </c>
      <c r="E1447">
        <v>5.5870876646839518</v>
      </c>
      <c r="F1447">
        <v>15.879913012183</v>
      </c>
      <c r="G1447">
        <v>6.684588329189836</v>
      </c>
      <c r="H1447">
        <v>34.31053072626279</v>
      </c>
      <c r="I1447">
        <v>17.361090780362812</v>
      </c>
      <c r="J1447">
        <v>17.48595561068387</v>
      </c>
      <c r="K1447">
        <v>1984.994580051487</v>
      </c>
      <c r="L1447">
        <v>1</v>
      </c>
      <c r="M1447" t="s">
        <v>66</v>
      </c>
    </row>
    <row r="1448" spans="1:13" x14ac:dyDescent="0.3">
      <c r="A1448" t="s">
        <v>15</v>
      </c>
      <c r="B1448" t="s">
        <v>34</v>
      </c>
      <c r="C1448">
        <v>64.906681868242856</v>
      </c>
      <c r="D1448">
        <v>3.1546288470988939</v>
      </c>
      <c r="E1448">
        <v>3.5387907081488299</v>
      </c>
      <c r="F1448">
        <v>9.4279981201973317</v>
      </c>
      <c r="G1448">
        <v>6.1488298993727826</v>
      </c>
      <c r="H1448">
        <v>33.175804577912068</v>
      </c>
      <c r="I1448">
        <v>18.87670268851895</v>
      </c>
      <c r="J1448">
        <v>18.956649990936061</v>
      </c>
      <c r="K1448">
        <v>2210.3191101590101</v>
      </c>
      <c r="L1448">
        <v>1</v>
      </c>
      <c r="M1448" t="s">
        <v>66</v>
      </c>
    </row>
    <row r="1449" spans="1:13" x14ac:dyDescent="0.3">
      <c r="A1449" t="s">
        <v>24</v>
      </c>
      <c r="B1449" t="s">
        <v>59</v>
      </c>
      <c r="C1449">
        <v>355.02485886667358</v>
      </c>
      <c r="D1449">
        <v>17.940667646356459</v>
      </c>
      <c r="E1449">
        <v>24.34944759670018</v>
      </c>
      <c r="F1449">
        <v>53.371552293838903</v>
      </c>
      <c r="G1449">
        <v>5.2322675982176277</v>
      </c>
      <c r="H1449">
        <v>79.252449701417873</v>
      </c>
      <c r="I1449">
        <v>31.805335154993799</v>
      </c>
      <c r="J1449">
        <v>31.038029051856441</v>
      </c>
      <c r="K1449">
        <v>11</v>
      </c>
      <c r="L1449">
        <v>-1</v>
      </c>
      <c r="M1449" t="s">
        <v>66</v>
      </c>
    </row>
    <row r="1450" spans="1:13" x14ac:dyDescent="0.3">
      <c r="A1450" t="s">
        <v>24</v>
      </c>
      <c r="B1450" t="s">
        <v>61</v>
      </c>
      <c r="C1450">
        <v>322.1604982428716</v>
      </c>
      <c r="D1450">
        <v>17.598637790703481</v>
      </c>
      <c r="E1450">
        <v>25.091054797736518</v>
      </c>
      <c r="F1450">
        <v>45.726090321423207</v>
      </c>
      <c r="G1450">
        <v>4.3</v>
      </c>
      <c r="H1450">
        <v>59.393196022965959</v>
      </c>
      <c r="I1450">
        <v>29.720971975319209</v>
      </c>
      <c r="J1450">
        <v>31.848530751495669</v>
      </c>
      <c r="K1450">
        <v>14.065940325463091</v>
      </c>
      <c r="L1450">
        <v>-1</v>
      </c>
      <c r="M1450" t="s">
        <v>66</v>
      </c>
    </row>
    <row r="1451" spans="1:13" x14ac:dyDescent="0.3">
      <c r="A1451" t="s">
        <v>16</v>
      </c>
      <c r="B1451" t="s">
        <v>35</v>
      </c>
      <c r="C1451">
        <v>70.111670634139273</v>
      </c>
      <c r="D1451">
        <v>3.2933072603822859</v>
      </c>
      <c r="E1451">
        <v>4.4313047963156018</v>
      </c>
      <c r="F1451">
        <v>10.7044966442245</v>
      </c>
      <c r="G1451">
        <v>6.066153761901572</v>
      </c>
      <c r="H1451">
        <v>36.946573211394103</v>
      </c>
      <c r="I1451">
        <v>20.23578810386601</v>
      </c>
      <c r="J1451">
        <v>29.014804799928761</v>
      </c>
      <c r="K1451">
        <v>2042.5440589851439</v>
      </c>
      <c r="L1451">
        <v>1</v>
      </c>
      <c r="M1451" t="s">
        <v>66</v>
      </c>
    </row>
    <row r="1452" spans="1:13" x14ac:dyDescent="0.3">
      <c r="A1452" t="s">
        <v>19</v>
      </c>
      <c r="B1452" t="s">
        <v>46</v>
      </c>
      <c r="C1452">
        <v>23.067084872713441</v>
      </c>
      <c r="D1452">
        <v>0.90248380753515978</v>
      </c>
      <c r="E1452">
        <v>1.0240698307154761</v>
      </c>
      <c r="F1452">
        <v>2.6272167988121922</v>
      </c>
      <c r="G1452">
        <v>6.155309463077697</v>
      </c>
      <c r="H1452">
        <v>29.285830933520931</v>
      </c>
      <c r="I1452">
        <v>23.957864404535862</v>
      </c>
      <c r="J1452">
        <v>27.51316147006969</v>
      </c>
      <c r="K1452">
        <v>1425.43383065598</v>
      </c>
      <c r="L1452">
        <v>1</v>
      </c>
      <c r="M1452" t="s">
        <v>66</v>
      </c>
    </row>
    <row r="1453" spans="1:13" x14ac:dyDescent="0.3">
      <c r="A1453" t="s">
        <v>23</v>
      </c>
      <c r="B1453" t="s">
        <v>56</v>
      </c>
      <c r="C1453">
        <v>70.782325307523678</v>
      </c>
      <c r="D1453">
        <v>2.475451066710463</v>
      </c>
      <c r="E1453">
        <v>5.506170613344409</v>
      </c>
      <c r="F1453">
        <v>11.273205165099281</v>
      </c>
      <c r="G1453">
        <v>6.115775468620817</v>
      </c>
      <c r="H1453">
        <v>15.727688937391511</v>
      </c>
      <c r="I1453">
        <v>19.491050875762749</v>
      </c>
      <c r="J1453">
        <v>19.22266369279739</v>
      </c>
      <c r="K1453">
        <v>1600.634966695417</v>
      </c>
      <c r="L1453">
        <v>1</v>
      </c>
      <c r="M1453" t="s">
        <v>66</v>
      </c>
    </row>
    <row r="1454" spans="1:13" x14ac:dyDescent="0.3">
      <c r="A1454" t="s">
        <v>15</v>
      </c>
      <c r="B1454" t="s">
        <v>33</v>
      </c>
      <c r="C1454">
        <v>106.1977894848979</v>
      </c>
      <c r="D1454">
        <v>3.0769675115778279</v>
      </c>
      <c r="E1454">
        <v>3.7962631119418959</v>
      </c>
      <c r="F1454">
        <v>9.8838239541987249</v>
      </c>
      <c r="G1454">
        <v>6.176011072899195</v>
      </c>
      <c r="H1454">
        <v>33.695703212722798</v>
      </c>
      <c r="I1454">
        <v>16.65129448186859</v>
      </c>
      <c r="J1454">
        <v>20.014690465089579</v>
      </c>
      <c r="K1454">
        <v>2137.592501968566</v>
      </c>
      <c r="L1454">
        <v>1</v>
      </c>
      <c r="M1454" t="s">
        <v>66</v>
      </c>
    </row>
    <row r="1455" spans="1:13" x14ac:dyDescent="0.3">
      <c r="A1455" t="s">
        <v>19</v>
      </c>
      <c r="B1455" t="s">
        <v>44</v>
      </c>
      <c r="C1455">
        <v>25.510905569528649</v>
      </c>
      <c r="D1455">
        <v>1.0333331806321451</v>
      </c>
      <c r="E1455">
        <v>1.1312935924805889</v>
      </c>
      <c r="F1455">
        <v>3.0984474719184329</v>
      </c>
      <c r="G1455">
        <v>6.6276428719457554</v>
      </c>
      <c r="H1455">
        <v>21.326818695897732</v>
      </c>
      <c r="I1455">
        <v>26.379717348509391</v>
      </c>
      <c r="J1455">
        <v>24.081521352655461</v>
      </c>
      <c r="K1455">
        <v>1334.563800240529</v>
      </c>
      <c r="L1455">
        <v>0</v>
      </c>
      <c r="M1455" t="s">
        <v>66</v>
      </c>
    </row>
    <row r="1456" spans="1:13" x14ac:dyDescent="0.3">
      <c r="A1456" t="s">
        <v>21</v>
      </c>
      <c r="B1456" t="s">
        <v>52</v>
      </c>
      <c r="C1456">
        <v>135.60098869015721</v>
      </c>
      <c r="D1456">
        <v>5.9214634772432229</v>
      </c>
      <c r="E1456">
        <v>10.37749697504721</v>
      </c>
      <c r="F1456">
        <v>21.28327905153574</v>
      </c>
      <c r="G1456">
        <v>5.6785448314667617</v>
      </c>
      <c r="H1456">
        <v>55.966312616228628</v>
      </c>
      <c r="I1456">
        <v>28.045398824192521</v>
      </c>
      <c r="J1456">
        <v>24.433052867321589</v>
      </c>
      <c r="K1456">
        <v>744.9378778732306</v>
      </c>
      <c r="L1456">
        <v>0</v>
      </c>
      <c r="M1456" t="s">
        <v>66</v>
      </c>
    </row>
    <row r="1457" spans="1:13" x14ac:dyDescent="0.3">
      <c r="A1457" t="s">
        <v>15</v>
      </c>
      <c r="B1457" t="s">
        <v>33</v>
      </c>
      <c r="C1457">
        <v>70.616750452367512</v>
      </c>
      <c r="D1457">
        <v>3.469149951079439</v>
      </c>
      <c r="E1457">
        <v>3.8927781063056619</v>
      </c>
      <c r="F1457">
        <v>10.123025167972409</v>
      </c>
      <c r="G1457">
        <v>5.4625306648603651</v>
      </c>
      <c r="H1457">
        <v>34.602977466944402</v>
      </c>
      <c r="I1457">
        <v>21.71935161549667</v>
      </c>
      <c r="J1457">
        <v>19.012319798192991</v>
      </c>
      <c r="K1457">
        <v>1937.820258174818</v>
      </c>
      <c r="L1457">
        <v>1</v>
      </c>
      <c r="M1457" t="s">
        <v>66</v>
      </c>
    </row>
    <row r="1458" spans="1:13" x14ac:dyDescent="0.3">
      <c r="A1458" t="s">
        <v>24</v>
      </c>
      <c r="B1458" t="s">
        <v>57</v>
      </c>
      <c r="C1458">
        <v>64.044097498227018</v>
      </c>
      <c r="D1458">
        <v>3.0242508089199251</v>
      </c>
      <c r="E1458">
        <v>4.3393906121146122</v>
      </c>
      <c r="F1458">
        <v>12.38568381050073</v>
      </c>
      <c r="G1458">
        <v>6.1871709903928886</v>
      </c>
      <c r="H1458">
        <v>18.926661868074969</v>
      </c>
      <c r="I1458">
        <v>23.364325463532332</v>
      </c>
      <c r="J1458">
        <v>21.240231701935311</v>
      </c>
      <c r="K1458">
        <v>1561.257246394355</v>
      </c>
      <c r="L1458">
        <v>1</v>
      </c>
      <c r="M1458" t="s">
        <v>66</v>
      </c>
    </row>
    <row r="1459" spans="1:13" x14ac:dyDescent="0.3">
      <c r="A1459" t="s">
        <v>21</v>
      </c>
      <c r="B1459" t="s">
        <v>52</v>
      </c>
      <c r="C1459">
        <v>67.302872074224766</v>
      </c>
      <c r="D1459">
        <v>3.282676934590143</v>
      </c>
      <c r="E1459">
        <v>3.8888951281510322</v>
      </c>
      <c r="F1459">
        <v>8.6186610894649647</v>
      </c>
      <c r="G1459">
        <v>5.5965357367172803</v>
      </c>
      <c r="H1459">
        <v>29.192185362387519</v>
      </c>
      <c r="I1459">
        <v>19.065181320976649</v>
      </c>
      <c r="J1459">
        <v>19.586827930957071</v>
      </c>
      <c r="K1459">
        <v>1519.6792020077801</v>
      </c>
      <c r="L1459">
        <v>1</v>
      </c>
      <c r="M1459" t="s">
        <v>66</v>
      </c>
    </row>
    <row r="1460" spans="1:13" x14ac:dyDescent="0.3">
      <c r="A1460" t="s">
        <v>19</v>
      </c>
      <c r="B1460" t="s">
        <v>44</v>
      </c>
      <c r="C1460">
        <v>12.29217015107308</v>
      </c>
      <c r="D1460">
        <v>0</v>
      </c>
      <c r="E1460">
        <v>0</v>
      </c>
      <c r="F1460">
        <v>0.96825747900039438</v>
      </c>
      <c r="G1460">
        <v>6.4489007788141999</v>
      </c>
      <c r="H1460">
        <v>25.102909737955361</v>
      </c>
      <c r="I1460">
        <v>19.756496971873489</v>
      </c>
      <c r="J1460">
        <v>29.034876441513809</v>
      </c>
      <c r="K1460">
        <v>2252.2369757120932</v>
      </c>
      <c r="L1460">
        <v>1</v>
      </c>
      <c r="M1460" t="s">
        <v>66</v>
      </c>
    </row>
    <row r="1461" spans="1:13" x14ac:dyDescent="0.3">
      <c r="A1461" t="s">
        <v>18</v>
      </c>
      <c r="B1461" t="s">
        <v>41</v>
      </c>
      <c r="C1461">
        <v>6.050428180354487</v>
      </c>
      <c r="D1461">
        <v>0</v>
      </c>
      <c r="E1461">
        <v>0</v>
      </c>
      <c r="F1461">
        <v>-1.7763568394002501E-15</v>
      </c>
      <c r="G1461">
        <v>6.2747412180551034</v>
      </c>
      <c r="H1461">
        <v>25.621996697504969</v>
      </c>
      <c r="I1461">
        <v>29.387487919735701</v>
      </c>
      <c r="J1461">
        <v>34.188356929608553</v>
      </c>
      <c r="K1461">
        <v>1760.650564732405</v>
      </c>
      <c r="L1461">
        <v>1</v>
      </c>
      <c r="M1461" t="s">
        <v>66</v>
      </c>
    </row>
    <row r="1462" spans="1:13" x14ac:dyDescent="0.3">
      <c r="A1462" t="s">
        <v>19</v>
      </c>
      <c r="B1462" t="s">
        <v>45</v>
      </c>
      <c r="C1462">
        <v>50.765077502333298</v>
      </c>
      <c r="D1462">
        <v>2.1044712611947149</v>
      </c>
      <c r="E1462">
        <v>3.0176255404008012</v>
      </c>
      <c r="F1462">
        <v>7.9387084656908318</v>
      </c>
      <c r="G1462">
        <v>6.0874809032856527</v>
      </c>
      <c r="H1462">
        <v>39.154792288754358</v>
      </c>
      <c r="I1462">
        <v>25.288147934639081</v>
      </c>
      <c r="J1462">
        <v>25.803066905893068</v>
      </c>
      <c r="K1462">
        <v>1442.3159630965149</v>
      </c>
      <c r="L1462">
        <v>1</v>
      </c>
      <c r="M1462" t="s">
        <v>66</v>
      </c>
    </row>
    <row r="1463" spans="1:13" x14ac:dyDescent="0.3">
      <c r="A1463" t="s">
        <v>21</v>
      </c>
      <c r="B1463" t="s">
        <v>52</v>
      </c>
      <c r="C1463">
        <v>31.710613046222939</v>
      </c>
      <c r="D1463">
        <v>0.90966461299001278</v>
      </c>
      <c r="E1463">
        <v>2.2482990197240902</v>
      </c>
      <c r="F1463">
        <v>4.7711613072892547</v>
      </c>
      <c r="G1463">
        <v>6.1518906541839744</v>
      </c>
      <c r="H1463">
        <v>33.795974786508168</v>
      </c>
      <c r="I1463">
        <v>20.127138796435879</v>
      </c>
      <c r="J1463">
        <v>20.450600226711138</v>
      </c>
      <c r="K1463">
        <v>1544.30520203182</v>
      </c>
      <c r="L1463">
        <v>1</v>
      </c>
      <c r="M1463" t="s">
        <v>66</v>
      </c>
    </row>
    <row r="1464" spans="1:13" x14ac:dyDescent="0.3">
      <c r="A1464" t="s">
        <v>24</v>
      </c>
      <c r="B1464" t="s">
        <v>60</v>
      </c>
      <c r="C1464">
        <v>551.96928819100469</v>
      </c>
      <c r="D1464">
        <v>25.38352246208127</v>
      </c>
      <c r="E1464">
        <v>34.58311877285665</v>
      </c>
      <c r="F1464">
        <v>97.62885787368964</v>
      </c>
      <c r="G1464">
        <v>6.1505239293481981</v>
      </c>
      <c r="H1464">
        <v>78.459223186597981</v>
      </c>
      <c r="I1464">
        <v>30.541942700228692</v>
      </c>
      <c r="J1464">
        <v>28.684845495704771</v>
      </c>
      <c r="K1464">
        <v>11</v>
      </c>
      <c r="L1464">
        <v>-1</v>
      </c>
      <c r="M1464" t="s">
        <v>66</v>
      </c>
    </row>
    <row r="1465" spans="1:13" x14ac:dyDescent="0.3">
      <c r="A1465" t="s">
        <v>20</v>
      </c>
      <c r="B1465" t="s">
        <v>50</v>
      </c>
      <c r="C1465">
        <v>49.14060213036511</v>
      </c>
      <c r="D1465">
        <v>1.598263383024483</v>
      </c>
      <c r="E1465">
        <v>2.92914214272305</v>
      </c>
      <c r="F1465">
        <v>5.6033350303579654</v>
      </c>
      <c r="G1465">
        <v>6.0582845875503581</v>
      </c>
      <c r="H1465">
        <v>25.521397876365629</v>
      </c>
      <c r="I1465">
        <v>18.669866436672439</v>
      </c>
      <c r="J1465">
        <v>20.719676191547599</v>
      </c>
      <c r="K1465">
        <v>1722.0226478518441</v>
      </c>
      <c r="L1465">
        <v>1</v>
      </c>
      <c r="M1465" t="s">
        <v>66</v>
      </c>
    </row>
    <row r="1466" spans="1:13" x14ac:dyDescent="0.3">
      <c r="A1466" t="s">
        <v>15</v>
      </c>
      <c r="B1466" t="s">
        <v>34</v>
      </c>
      <c r="C1466">
        <v>113.0960865129223</v>
      </c>
      <c r="D1466">
        <v>4.9955921185264973</v>
      </c>
      <c r="E1466">
        <v>6.9394375840512446</v>
      </c>
      <c r="F1466">
        <v>17.368708732210859</v>
      </c>
      <c r="G1466">
        <v>5.917369597556557</v>
      </c>
      <c r="H1466">
        <v>39.822428755655658</v>
      </c>
      <c r="I1466">
        <v>25.681074575115289</v>
      </c>
      <c r="J1466">
        <v>19.72086784152528</v>
      </c>
      <c r="K1466">
        <v>2001.6710990111151</v>
      </c>
      <c r="L1466">
        <v>1</v>
      </c>
      <c r="M1466" t="s">
        <v>66</v>
      </c>
    </row>
    <row r="1467" spans="1:13" x14ac:dyDescent="0.3">
      <c r="A1467" t="s">
        <v>15</v>
      </c>
      <c r="B1467" t="s">
        <v>33</v>
      </c>
      <c r="C1467">
        <v>96.967457574415235</v>
      </c>
      <c r="D1467">
        <v>2.9855524891884482</v>
      </c>
      <c r="E1467">
        <v>4.0885661871358314</v>
      </c>
      <c r="F1467">
        <v>9.9640123475435338</v>
      </c>
      <c r="G1467">
        <v>5.6018227433505379</v>
      </c>
      <c r="H1467">
        <v>31.381699143682461</v>
      </c>
      <c r="I1467">
        <v>17.100195263271409</v>
      </c>
      <c r="J1467">
        <v>19.82841713419527</v>
      </c>
      <c r="K1467">
        <v>2067.6552760313989</v>
      </c>
      <c r="L1467">
        <v>1</v>
      </c>
      <c r="M1467" t="s">
        <v>66</v>
      </c>
    </row>
    <row r="1468" spans="1:13" x14ac:dyDescent="0.3">
      <c r="A1468" t="s">
        <v>25</v>
      </c>
      <c r="B1468" t="s">
        <v>62</v>
      </c>
      <c r="C1468">
        <v>32.407586105153953</v>
      </c>
      <c r="D1468">
        <v>1.044980938915774</v>
      </c>
      <c r="E1468">
        <v>2.4361664127745111</v>
      </c>
      <c r="F1468">
        <v>4.0225167004329663</v>
      </c>
      <c r="G1468">
        <v>6.3611763609813261</v>
      </c>
      <c r="H1468">
        <v>23.258138539424031</v>
      </c>
      <c r="I1468">
        <v>22.398016487891141</v>
      </c>
      <c r="J1468">
        <v>23.823930618529499</v>
      </c>
      <c r="K1468">
        <v>1207.9597771647809</v>
      </c>
      <c r="L1468">
        <v>0</v>
      </c>
      <c r="M1468" t="s">
        <v>66</v>
      </c>
    </row>
    <row r="1469" spans="1:13" x14ac:dyDescent="0.3">
      <c r="A1469" t="s">
        <v>24</v>
      </c>
      <c r="B1469" t="s">
        <v>61</v>
      </c>
      <c r="C1469">
        <v>83.203415268552959</v>
      </c>
      <c r="D1469">
        <v>4.8267322415758942</v>
      </c>
      <c r="E1469">
        <v>6.133316624296473</v>
      </c>
      <c r="F1469">
        <v>9.9940873070223191</v>
      </c>
      <c r="G1469">
        <v>6.1148365768009274</v>
      </c>
      <c r="H1469">
        <v>14.92115594742268</v>
      </c>
      <c r="I1469">
        <v>33.684547061573276</v>
      </c>
      <c r="J1469">
        <v>29.165346322362371</v>
      </c>
      <c r="K1469">
        <v>48.043173832118548</v>
      </c>
      <c r="L1469">
        <v>-1</v>
      </c>
      <c r="M1469" t="s">
        <v>66</v>
      </c>
    </row>
    <row r="1470" spans="1:13" x14ac:dyDescent="0.3">
      <c r="A1470" t="s">
        <v>20</v>
      </c>
      <c r="B1470" t="s">
        <v>51</v>
      </c>
      <c r="C1470">
        <v>73.020607480664466</v>
      </c>
      <c r="D1470">
        <v>3.0773563098610048</v>
      </c>
      <c r="E1470">
        <v>5.7400207662494314</v>
      </c>
      <c r="F1470">
        <v>9.8592670564278819</v>
      </c>
      <c r="G1470">
        <v>6.2183107300431137</v>
      </c>
      <c r="H1470">
        <v>66.058157021212025</v>
      </c>
      <c r="I1470">
        <v>20.455956069407051</v>
      </c>
      <c r="J1470">
        <v>21.17973541126053</v>
      </c>
      <c r="K1470">
        <v>1528.2891689401661</v>
      </c>
      <c r="L1470">
        <v>1</v>
      </c>
      <c r="M1470" t="s">
        <v>66</v>
      </c>
    </row>
    <row r="1471" spans="1:13" x14ac:dyDescent="0.3">
      <c r="A1471" t="s">
        <v>18</v>
      </c>
      <c r="B1471" t="s">
        <v>40</v>
      </c>
      <c r="C1471">
        <v>118.1244705316672</v>
      </c>
      <c r="D1471">
        <v>6.5232862605658886</v>
      </c>
      <c r="E1471">
        <v>6.5019777358758528</v>
      </c>
      <c r="F1471">
        <v>21.664669459089509</v>
      </c>
      <c r="G1471">
        <v>6.2454225587279204</v>
      </c>
      <c r="H1471">
        <v>27.268321558384411</v>
      </c>
      <c r="I1471">
        <v>22.51802607888138</v>
      </c>
      <c r="J1471">
        <v>20.793579593633758</v>
      </c>
      <c r="K1471">
        <v>1705.931279159777</v>
      </c>
      <c r="L1471">
        <v>1</v>
      </c>
      <c r="M1471" t="s">
        <v>66</v>
      </c>
    </row>
    <row r="1472" spans="1:13" x14ac:dyDescent="0.3">
      <c r="A1472" t="s">
        <v>19</v>
      </c>
      <c r="B1472" t="s">
        <v>48</v>
      </c>
      <c r="C1472">
        <v>62.050404924909159</v>
      </c>
      <c r="D1472">
        <v>3.052675037585086</v>
      </c>
      <c r="E1472">
        <v>4.5047558301443322</v>
      </c>
      <c r="F1472">
        <v>8.824976876334226</v>
      </c>
      <c r="G1472">
        <v>6.2814861652629777</v>
      </c>
      <c r="H1472">
        <v>17.38000234515297</v>
      </c>
      <c r="I1472">
        <v>35.946547635614728</v>
      </c>
      <c r="J1472">
        <v>26.05982431738714</v>
      </c>
      <c r="K1472">
        <v>1152.3655648637459</v>
      </c>
      <c r="L1472">
        <v>0</v>
      </c>
      <c r="M1472" t="s">
        <v>66</v>
      </c>
    </row>
    <row r="1473" spans="1:13" x14ac:dyDescent="0.3">
      <c r="A1473" t="s">
        <v>22</v>
      </c>
      <c r="B1473" t="s">
        <v>54</v>
      </c>
      <c r="C1473">
        <v>46.752836675777402</v>
      </c>
      <c r="D1473">
        <v>1.8264285850727411</v>
      </c>
      <c r="E1473">
        <v>2.7446243254180431</v>
      </c>
      <c r="F1473">
        <v>6.7051545105877324</v>
      </c>
      <c r="G1473">
        <v>7.5</v>
      </c>
      <c r="H1473">
        <v>41.691247628459678</v>
      </c>
      <c r="I1473">
        <v>31.82063661951711</v>
      </c>
      <c r="J1473">
        <v>22.348471910218091</v>
      </c>
      <c r="K1473">
        <v>1387.43873573672</v>
      </c>
      <c r="L1473">
        <v>1</v>
      </c>
      <c r="M1473" t="s">
        <v>66</v>
      </c>
    </row>
    <row r="1474" spans="1:13" x14ac:dyDescent="0.3">
      <c r="A1474" t="s">
        <v>17</v>
      </c>
      <c r="B1474" t="s">
        <v>39</v>
      </c>
      <c r="C1474">
        <v>19.16278542601469</v>
      </c>
      <c r="D1474">
        <v>0</v>
      </c>
      <c r="E1474">
        <v>0.87084813436764108</v>
      </c>
      <c r="F1474">
        <v>2.2192286872037692</v>
      </c>
      <c r="G1474">
        <v>5.6238127587167428</v>
      </c>
      <c r="H1474">
        <v>21.922387653252539</v>
      </c>
      <c r="I1474">
        <v>20.560328852181751</v>
      </c>
      <c r="J1474">
        <v>26.525550219630439</v>
      </c>
      <c r="K1474">
        <v>2138.7318867220852</v>
      </c>
      <c r="L1474">
        <v>1</v>
      </c>
      <c r="M1474" t="s">
        <v>66</v>
      </c>
    </row>
    <row r="1475" spans="1:13" x14ac:dyDescent="0.3">
      <c r="A1475" t="s">
        <v>20</v>
      </c>
      <c r="B1475" t="s">
        <v>51</v>
      </c>
      <c r="C1475">
        <v>79.001835505450728</v>
      </c>
      <c r="D1475">
        <v>3.4124163953860029</v>
      </c>
      <c r="E1475">
        <v>5.090251195747733</v>
      </c>
      <c r="F1475">
        <v>11.271595648718961</v>
      </c>
      <c r="G1475">
        <v>6.2448385028734741</v>
      </c>
      <c r="H1475">
        <v>67.033336184925403</v>
      </c>
      <c r="I1475">
        <v>20.947351288397169</v>
      </c>
      <c r="J1475">
        <v>20.73683482184958</v>
      </c>
      <c r="K1475">
        <v>1536.046218759049</v>
      </c>
      <c r="L1475">
        <v>1</v>
      </c>
      <c r="M1475" t="s">
        <v>66</v>
      </c>
    </row>
    <row r="1476" spans="1:13" x14ac:dyDescent="0.3">
      <c r="A1476" t="s">
        <v>17</v>
      </c>
      <c r="B1476" t="s">
        <v>39</v>
      </c>
      <c r="C1476">
        <v>13.62667295816391</v>
      </c>
      <c r="D1476">
        <v>0</v>
      </c>
      <c r="E1476">
        <v>0</v>
      </c>
      <c r="F1476">
        <v>1.933700527142866</v>
      </c>
      <c r="G1476">
        <v>5.401447581895412</v>
      </c>
      <c r="H1476">
        <v>27.38470131159314</v>
      </c>
      <c r="I1476">
        <v>19.600505930628181</v>
      </c>
      <c r="J1476">
        <v>26.988166126706581</v>
      </c>
      <c r="K1476">
        <v>2188.9000471061381</v>
      </c>
      <c r="L1476">
        <v>1</v>
      </c>
      <c r="M1476" t="s">
        <v>66</v>
      </c>
    </row>
    <row r="1477" spans="1:13" x14ac:dyDescent="0.3">
      <c r="A1477" t="s">
        <v>15</v>
      </c>
      <c r="B1477" t="s">
        <v>34</v>
      </c>
      <c r="C1477">
        <v>63.651192038249121</v>
      </c>
      <c r="D1477">
        <v>2.761538031863263</v>
      </c>
      <c r="E1477">
        <v>3.612625195091212</v>
      </c>
      <c r="F1477">
        <v>8.9913787650340691</v>
      </c>
      <c r="G1477">
        <v>6.0341053545600838</v>
      </c>
      <c r="H1477">
        <v>33.891209208414892</v>
      </c>
      <c r="I1477">
        <v>18.655857445463141</v>
      </c>
      <c r="J1477">
        <v>19.04088452786559</v>
      </c>
      <c r="K1477">
        <v>2093.4530962013559</v>
      </c>
      <c r="L1477">
        <v>1</v>
      </c>
      <c r="M1477" t="s">
        <v>66</v>
      </c>
    </row>
    <row r="1478" spans="1:13" x14ac:dyDescent="0.3">
      <c r="A1478" t="s">
        <v>21</v>
      </c>
      <c r="B1478" t="s">
        <v>52</v>
      </c>
      <c r="C1478">
        <v>48.990478058666909</v>
      </c>
      <c r="D1478">
        <v>1.9586939887937671</v>
      </c>
      <c r="E1478">
        <v>3.206832071128479</v>
      </c>
      <c r="F1478">
        <v>7.9026317235942667</v>
      </c>
      <c r="G1478">
        <v>6.2073788636594269</v>
      </c>
      <c r="H1478">
        <v>32.8207623110101</v>
      </c>
      <c r="I1478">
        <v>23.04045454082727</v>
      </c>
      <c r="J1478">
        <v>19.379082041995069</v>
      </c>
      <c r="K1478">
        <v>1261.77870929553</v>
      </c>
      <c r="L1478">
        <v>1</v>
      </c>
      <c r="M1478" t="s">
        <v>66</v>
      </c>
    </row>
    <row r="1479" spans="1:13" x14ac:dyDescent="0.3">
      <c r="A1479" t="s">
        <v>15</v>
      </c>
      <c r="B1479" t="s">
        <v>31</v>
      </c>
      <c r="C1479">
        <v>19.688937988600301</v>
      </c>
      <c r="D1479">
        <v>0.96809469030512041</v>
      </c>
      <c r="E1479">
        <v>0.99782967442701231</v>
      </c>
      <c r="F1479">
        <v>3.04483595861273</v>
      </c>
      <c r="G1479">
        <v>6.6089305836127066</v>
      </c>
      <c r="H1479">
        <v>37.331592954168862</v>
      </c>
      <c r="I1479">
        <v>24.019885292056522</v>
      </c>
      <c r="J1479">
        <v>19.523913703917689</v>
      </c>
      <c r="K1479">
        <v>1592.645718835593</v>
      </c>
      <c r="L1479">
        <v>1</v>
      </c>
      <c r="M1479" t="s">
        <v>66</v>
      </c>
    </row>
    <row r="1480" spans="1:13" x14ac:dyDescent="0.3">
      <c r="A1480" t="s">
        <v>19</v>
      </c>
      <c r="B1480" t="s">
        <v>48</v>
      </c>
      <c r="C1480">
        <v>103.5188831494457</v>
      </c>
      <c r="D1480">
        <v>4.7385831492108608</v>
      </c>
      <c r="E1480">
        <v>5.312515704527053</v>
      </c>
      <c r="F1480">
        <v>15.06457644349357</v>
      </c>
      <c r="G1480">
        <v>6.0663004070436566</v>
      </c>
      <c r="H1480">
        <v>35.807092253636938</v>
      </c>
      <c r="I1480">
        <v>24.871817069745301</v>
      </c>
      <c r="J1480">
        <v>24.450724318940381</v>
      </c>
      <c r="K1480">
        <v>696.26280133481714</v>
      </c>
      <c r="L1480">
        <v>1</v>
      </c>
      <c r="M1480" t="s">
        <v>66</v>
      </c>
    </row>
    <row r="1481" spans="1:13" x14ac:dyDescent="0.3">
      <c r="A1481" t="s">
        <v>24</v>
      </c>
      <c r="B1481" t="s">
        <v>61</v>
      </c>
      <c r="C1481">
        <v>123.5070285129584</v>
      </c>
      <c r="D1481">
        <v>5.1850433344733293</v>
      </c>
      <c r="E1481">
        <v>8.5533927394854139</v>
      </c>
      <c r="F1481">
        <v>22.739368586712761</v>
      </c>
      <c r="G1481">
        <v>6.2731741320486831</v>
      </c>
      <c r="H1481">
        <v>20.804352141817098</v>
      </c>
      <c r="I1481">
        <v>31.244829248549649</v>
      </c>
      <c r="J1481">
        <v>31.382819656357871</v>
      </c>
      <c r="K1481">
        <v>46.481775578650293</v>
      </c>
      <c r="L1481">
        <v>-1</v>
      </c>
      <c r="M1481" t="s">
        <v>66</v>
      </c>
    </row>
    <row r="1482" spans="1:13" x14ac:dyDescent="0.3">
      <c r="A1482" t="s">
        <v>24</v>
      </c>
      <c r="B1482" t="s">
        <v>58</v>
      </c>
      <c r="C1482">
        <v>33.371943538409738</v>
      </c>
      <c r="D1482">
        <v>1.1108212741461621</v>
      </c>
      <c r="E1482">
        <v>2.001924778933216</v>
      </c>
      <c r="F1482">
        <v>4.4914891396256174</v>
      </c>
      <c r="G1482">
        <v>6.5270783262003524</v>
      </c>
      <c r="H1482">
        <v>56.666229521205061</v>
      </c>
      <c r="I1482">
        <v>26.312677819674139</v>
      </c>
      <c r="J1482">
        <v>22.217495585462078</v>
      </c>
      <c r="K1482">
        <v>708.82238229173981</v>
      </c>
      <c r="L1482">
        <v>0</v>
      </c>
      <c r="M1482" t="s">
        <v>66</v>
      </c>
    </row>
    <row r="1483" spans="1:13" x14ac:dyDescent="0.3">
      <c r="A1483" t="s">
        <v>25</v>
      </c>
      <c r="B1483" t="s">
        <v>62</v>
      </c>
      <c r="C1483">
        <v>270.48293445122431</v>
      </c>
      <c r="D1483">
        <v>20.671068271936591</v>
      </c>
      <c r="E1483">
        <v>29.57280684270496</v>
      </c>
      <c r="F1483">
        <v>56.200391985952891</v>
      </c>
      <c r="G1483">
        <v>4.5910799929368711</v>
      </c>
      <c r="H1483">
        <v>81.035960975891555</v>
      </c>
      <c r="I1483">
        <v>30.734754763733321</v>
      </c>
      <c r="J1483">
        <v>23.789962249271859</v>
      </c>
      <c r="K1483">
        <v>701.71154937698259</v>
      </c>
      <c r="L1483">
        <v>0</v>
      </c>
      <c r="M1483" t="s">
        <v>66</v>
      </c>
    </row>
    <row r="1484" spans="1:13" x14ac:dyDescent="0.3">
      <c r="A1484" t="s">
        <v>15</v>
      </c>
      <c r="B1484" t="s">
        <v>34</v>
      </c>
      <c r="C1484">
        <v>58.816125022621812</v>
      </c>
      <c r="D1484">
        <v>2.9156317998862349</v>
      </c>
      <c r="E1484">
        <v>4.6507518170945614</v>
      </c>
      <c r="F1484">
        <v>9.8856990273601344</v>
      </c>
      <c r="G1484">
        <v>6.1081426756213162</v>
      </c>
      <c r="H1484">
        <v>37.444441687705442</v>
      </c>
      <c r="I1484">
        <v>18.169926810801769</v>
      </c>
      <c r="J1484">
        <v>19.22273796254569</v>
      </c>
      <c r="K1484">
        <v>2141.47995594862</v>
      </c>
      <c r="L1484">
        <v>1</v>
      </c>
      <c r="M1484" t="s">
        <v>66</v>
      </c>
    </row>
    <row r="1485" spans="1:13" x14ac:dyDescent="0.3">
      <c r="A1485" t="s">
        <v>20</v>
      </c>
      <c r="B1485" t="s">
        <v>51</v>
      </c>
      <c r="C1485">
        <v>77.697798223596976</v>
      </c>
      <c r="D1485">
        <v>2.6206474639917512</v>
      </c>
      <c r="E1485">
        <v>4.8773608626788292</v>
      </c>
      <c r="F1485">
        <v>10.56433684136327</v>
      </c>
      <c r="G1485">
        <v>6.3454510743712627</v>
      </c>
      <c r="H1485">
        <v>62.549049468043158</v>
      </c>
      <c r="I1485">
        <v>21.034218635303489</v>
      </c>
      <c r="J1485">
        <v>21.75890595786797</v>
      </c>
      <c r="K1485">
        <v>1458.3505180481261</v>
      </c>
      <c r="L1485">
        <v>1</v>
      </c>
      <c r="M1485" t="s">
        <v>66</v>
      </c>
    </row>
    <row r="1486" spans="1:13" x14ac:dyDescent="0.3">
      <c r="A1486" t="s">
        <v>22</v>
      </c>
      <c r="B1486" t="s">
        <v>53</v>
      </c>
      <c r="C1486">
        <v>54.275406098681003</v>
      </c>
      <c r="D1486">
        <v>2.0080303035110938</v>
      </c>
      <c r="E1486">
        <v>2.7972788780787168</v>
      </c>
      <c r="F1486">
        <v>7.5755896197891088</v>
      </c>
      <c r="G1486">
        <v>5.9138575205141732</v>
      </c>
      <c r="H1486">
        <v>28.646985827264029</v>
      </c>
      <c r="I1486">
        <v>25.77261335555994</v>
      </c>
      <c r="J1486">
        <v>23.630879449034719</v>
      </c>
      <c r="K1486">
        <v>1436.834814414688</v>
      </c>
      <c r="L1486">
        <v>1</v>
      </c>
      <c r="M1486" t="s">
        <v>66</v>
      </c>
    </row>
    <row r="1487" spans="1:13" x14ac:dyDescent="0.3">
      <c r="A1487" t="s">
        <v>18</v>
      </c>
      <c r="B1487" t="s">
        <v>42</v>
      </c>
      <c r="C1487">
        <v>28.02076417786061</v>
      </c>
      <c r="D1487">
        <v>1.1439912890131541</v>
      </c>
      <c r="E1487">
        <v>0.89983044428763659</v>
      </c>
      <c r="F1487">
        <v>3.5012247322494652</v>
      </c>
      <c r="G1487">
        <v>5.3110698149576381</v>
      </c>
      <c r="H1487">
        <v>27.140379105101658</v>
      </c>
      <c r="I1487">
        <v>19.3290851944043</v>
      </c>
      <c r="J1487">
        <v>25.912926749854861</v>
      </c>
      <c r="K1487">
        <v>1935.126334525982</v>
      </c>
      <c r="L1487">
        <v>1</v>
      </c>
      <c r="M1487" t="s">
        <v>66</v>
      </c>
    </row>
    <row r="1488" spans="1:13" x14ac:dyDescent="0.3">
      <c r="A1488" t="s">
        <v>16</v>
      </c>
      <c r="B1488" t="s">
        <v>38</v>
      </c>
      <c r="C1488">
        <v>4.3906497917487144</v>
      </c>
      <c r="D1488">
        <v>0</v>
      </c>
      <c r="E1488">
        <v>0</v>
      </c>
      <c r="F1488">
        <v>-1.7763568394002501E-15</v>
      </c>
      <c r="G1488">
        <v>6.4089442003312698</v>
      </c>
      <c r="H1488">
        <v>22.258962936220961</v>
      </c>
      <c r="I1488">
        <v>17.186358169872371</v>
      </c>
      <c r="J1488">
        <v>24.468600655663838</v>
      </c>
      <c r="K1488">
        <v>1486.300548227573</v>
      </c>
      <c r="L1488">
        <v>1</v>
      </c>
      <c r="M1488" t="s">
        <v>66</v>
      </c>
    </row>
    <row r="1489" spans="1:13" x14ac:dyDescent="0.3">
      <c r="A1489" t="s">
        <v>25</v>
      </c>
      <c r="B1489" t="s">
        <v>62</v>
      </c>
      <c r="C1489">
        <v>26.107383818831579</v>
      </c>
      <c r="D1489">
        <v>1.0401772812222749</v>
      </c>
      <c r="E1489">
        <v>1.0019513379179259</v>
      </c>
      <c r="F1489">
        <v>2.7547995052430299</v>
      </c>
      <c r="G1489">
        <v>6.2694369583532854</v>
      </c>
      <c r="H1489">
        <v>66.691453306262531</v>
      </c>
      <c r="I1489">
        <v>20.964501750996231</v>
      </c>
      <c r="J1489">
        <v>22.512178485414129</v>
      </c>
      <c r="K1489">
        <v>1218.1655074567091</v>
      </c>
      <c r="L1489">
        <v>0</v>
      </c>
      <c r="M1489" t="s">
        <v>66</v>
      </c>
    </row>
    <row r="1490" spans="1:13" x14ac:dyDescent="0.3">
      <c r="A1490" t="s">
        <v>15</v>
      </c>
      <c r="B1490" t="s">
        <v>33</v>
      </c>
      <c r="C1490">
        <v>83.875859366185409</v>
      </c>
      <c r="D1490">
        <v>3.61350856069663</v>
      </c>
      <c r="E1490">
        <v>6.2098284383629156</v>
      </c>
      <c r="F1490">
        <v>15.92584143765302</v>
      </c>
      <c r="G1490">
        <v>5.9748891009585314</v>
      </c>
      <c r="H1490">
        <v>31.665421127620419</v>
      </c>
      <c r="I1490">
        <v>20.202858384641981</v>
      </c>
      <c r="J1490">
        <v>19.234415770369509</v>
      </c>
      <c r="K1490">
        <v>2110.1763318599051</v>
      </c>
      <c r="L1490">
        <v>1</v>
      </c>
      <c r="M1490" t="s">
        <v>66</v>
      </c>
    </row>
    <row r="1491" spans="1:13" x14ac:dyDescent="0.3">
      <c r="A1491" t="s">
        <v>24</v>
      </c>
      <c r="B1491" t="s">
        <v>58</v>
      </c>
      <c r="C1491">
        <v>36.138670653538071</v>
      </c>
      <c r="D1491">
        <v>1.122035130474951</v>
      </c>
      <c r="E1491">
        <v>1.8886096745090979</v>
      </c>
      <c r="F1491">
        <v>4.3394815309344317</v>
      </c>
      <c r="G1491">
        <v>6.9578265643224562</v>
      </c>
      <c r="H1491">
        <v>56.045033203699603</v>
      </c>
      <c r="I1491">
        <v>25.037317824155039</v>
      </c>
      <c r="J1491">
        <v>22.812612575816999</v>
      </c>
      <c r="K1491">
        <v>715.97975375749286</v>
      </c>
      <c r="L1491">
        <v>0</v>
      </c>
      <c r="M1491" t="s">
        <v>66</v>
      </c>
    </row>
    <row r="1492" spans="1:13" x14ac:dyDescent="0.3">
      <c r="A1492" t="s">
        <v>15</v>
      </c>
      <c r="B1492" t="s">
        <v>34</v>
      </c>
      <c r="C1492">
        <v>152.56400930413949</v>
      </c>
      <c r="D1492">
        <v>6.5970681631772168</v>
      </c>
      <c r="E1492">
        <v>10.41613544460497</v>
      </c>
      <c r="F1492">
        <v>23.269794130797472</v>
      </c>
      <c r="G1492">
        <v>5.5812051811799366</v>
      </c>
      <c r="H1492">
        <v>26.728310313189951</v>
      </c>
      <c r="I1492">
        <v>24.612334005057232</v>
      </c>
      <c r="J1492">
        <v>18.898700205264031</v>
      </c>
      <c r="K1492">
        <v>2036.874009852457</v>
      </c>
      <c r="L1492">
        <v>1</v>
      </c>
      <c r="M1492" t="s">
        <v>66</v>
      </c>
    </row>
    <row r="1493" spans="1:13" x14ac:dyDescent="0.3">
      <c r="A1493" t="s">
        <v>25</v>
      </c>
      <c r="B1493" t="s">
        <v>62</v>
      </c>
      <c r="C1493">
        <v>579.85571215868822</v>
      </c>
      <c r="D1493">
        <v>28.213479968803071</v>
      </c>
      <c r="E1493">
        <v>39.761511262901713</v>
      </c>
      <c r="F1493">
        <v>89.417265998346977</v>
      </c>
      <c r="G1493">
        <v>4.512116902557179</v>
      </c>
      <c r="H1493">
        <v>88.4</v>
      </c>
      <c r="I1493">
        <v>27.432146926850141</v>
      </c>
      <c r="J1493">
        <v>23.237197547691189</v>
      </c>
      <c r="K1493">
        <v>727.34871965912441</v>
      </c>
      <c r="L1493">
        <v>0</v>
      </c>
      <c r="M1493" t="s">
        <v>66</v>
      </c>
    </row>
    <row r="1494" spans="1:13" x14ac:dyDescent="0.3">
      <c r="A1494" t="s">
        <v>19</v>
      </c>
      <c r="B1494" t="s">
        <v>48</v>
      </c>
      <c r="C1494">
        <v>26.682421786477089</v>
      </c>
      <c r="D1494">
        <v>0.97246589958196239</v>
      </c>
      <c r="E1494">
        <v>0.95400899083754265</v>
      </c>
      <c r="F1494">
        <v>4.2413931748227451</v>
      </c>
      <c r="G1494">
        <v>6.0096445926411848</v>
      </c>
      <c r="H1494">
        <v>15.59013208591665</v>
      </c>
      <c r="I1494">
        <v>29.776613191435779</v>
      </c>
      <c r="J1494">
        <v>23.607323710439129</v>
      </c>
      <c r="K1494">
        <v>1147.0404856029279</v>
      </c>
      <c r="L1494">
        <v>0</v>
      </c>
      <c r="M1494" t="s">
        <v>66</v>
      </c>
    </row>
    <row r="1495" spans="1:13" x14ac:dyDescent="0.3">
      <c r="A1495" t="s">
        <v>22</v>
      </c>
      <c r="B1495" t="s">
        <v>53</v>
      </c>
      <c r="C1495">
        <v>24.33497335445966</v>
      </c>
      <c r="D1495">
        <v>1.0849071148923921</v>
      </c>
      <c r="E1495">
        <v>0.8764892764576695</v>
      </c>
      <c r="F1495">
        <v>4.1995039448873506</v>
      </c>
      <c r="G1495">
        <v>6.8112867667822048</v>
      </c>
      <c r="H1495">
        <v>57.072497776262402</v>
      </c>
      <c r="I1495">
        <v>21.439273451801778</v>
      </c>
      <c r="J1495">
        <v>20.711804302217381</v>
      </c>
      <c r="K1495">
        <v>1273.7782524590259</v>
      </c>
      <c r="L1495">
        <v>1</v>
      </c>
      <c r="M1495" t="s">
        <v>66</v>
      </c>
    </row>
    <row r="1496" spans="1:13" x14ac:dyDescent="0.3">
      <c r="A1496" t="s">
        <v>17</v>
      </c>
      <c r="B1496" t="s">
        <v>39</v>
      </c>
      <c r="C1496">
        <v>14.043938849824711</v>
      </c>
      <c r="D1496">
        <v>0</v>
      </c>
      <c r="E1496">
        <v>0</v>
      </c>
      <c r="F1496">
        <v>1.692009531510152</v>
      </c>
      <c r="G1496">
        <v>5.4934621382135607</v>
      </c>
      <c r="H1496">
        <v>29.654635434095489</v>
      </c>
      <c r="I1496">
        <v>19.164417847202241</v>
      </c>
      <c r="J1496">
        <v>26.79107001694463</v>
      </c>
      <c r="K1496">
        <v>2145.2727412650661</v>
      </c>
      <c r="L1496">
        <v>1</v>
      </c>
      <c r="M1496" t="s">
        <v>66</v>
      </c>
    </row>
    <row r="1497" spans="1:13" x14ac:dyDescent="0.3">
      <c r="A1497" t="s">
        <v>18</v>
      </c>
      <c r="B1497" t="s">
        <v>40</v>
      </c>
      <c r="C1497">
        <v>127.29902450655111</v>
      </c>
      <c r="D1497">
        <v>5.9879242870769147</v>
      </c>
      <c r="E1497">
        <v>8.4626589776173766</v>
      </c>
      <c r="F1497">
        <v>19.275865941807581</v>
      </c>
      <c r="G1497">
        <v>4.827667193526243</v>
      </c>
      <c r="H1497">
        <v>53.688503555112881</v>
      </c>
      <c r="I1497">
        <v>20.57886872407909</v>
      </c>
      <c r="J1497">
        <v>21.12404240360809</v>
      </c>
      <c r="K1497">
        <v>1662.888011031841</v>
      </c>
      <c r="L1497">
        <v>1</v>
      </c>
      <c r="M1497" t="s">
        <v>66</v>
      </c>
    </row>
    <row r="1498" spans="1:13" x14ac:dyDescent="0.3">
      <c r="A1498" t="s">
        <v>16</v>
      </c>
      <c r="B1498" t="s">
        <v>36</v>
      </c>
      <c r="C1498">
        <v>22.740899734062239</v>
      </c>
      <c r="D1498">
        <v>1.095496960372907</v>
      </c>
      <c r="E1498">
        <v>1.022351712499096</v>
      </c>
      <c r="F1498">
        <v>3.1243251672054591</v>
      </c>
      <c r="G1498">
        <v>6.1512216700627631</v>
      </c>
      <c r="H1498">
        <v>26.9563022579507</v>
      </c>
      <c r="I1498">
        <v>23.60559511411029</v>
      </c>
      <c r="J1498">
        <v>22.114834142390819</v>
      </c>
      <c r="K1498">
        <v>1677.5847387893921</v>
      </c>
      <c r="L1498">
        <v>1</v>
      </c>
      <c r="M1498" t="s">
        <v>66</v>
      </c>
    </row>
    <row r="1499" spans="1:13" x14ac:dyDescent="0.3">
      <c r="A1499" t="s">
        <v>18</v>
      </c>
      <c r="B1499" t="s">
        <v>43</v>
      </c>
      <c r="C1499">
        <v>32.092396254656457</v>
      </c>
      <c r="D1499">
        <v>1.096707083903028</v>
      </c>
      <c r="E1499">
        <v>2.0239288535999851</v>
      </c>
      <c r="F1499">
        <v>4.4874682855779113</v>
      </c>
      <c r="G1499">
        <v>6.3182072912299709</v>
      </c>
      <c r="H1499">
        <v>24.309153066360189</v>
      </c>
      <c r="I1499">
        <v>24.154635844466519</v>
      </c>
      <c r="J1499">
        <v>18.09654497288949</v>
      </c>
      <c r="K1499">
        <v>1792.8343093112851</v>
      </c>
      <c r="L1499">
        <v>1</v>
      </c>
      <c r="M1499" t="s">
        <v>66</v>
      </c>
    </row>
    <row r="1500" spans="1:13" x14ac:dyDescent="0.3">
      <c r="A1500" t="s">
        <v>15</v>
      </c>
      <c r="B1500" t="s">
        <v>34</v>
      </c>
      <c r="C1500">
        <v>59.883472773153272</v>
      </c>
      <c r="D1500">
        <v>3.20965240292665</v>
      </c>
      <c r="E1500">
        <v>4.1110237310146109</v>
      </c>
      <c r="F1500">
        <v>10.14907556643599</v>
      </c>
      <c r="G1500">
        <v>6.016489336192631</v>
      </c>
      <c r="H1500">
        <v>32.725923860638872</v>
      </c>
      <c r="I1500">
        <v>18.587884564256491</v>
      </c>
      <c r="J1500">
        <v>19.036656461543249</v>
      </c>
      <c r="K1500">
        <v>2060.113298703312</v>
      </c>
      <c r="L1500">
        <v>1</v>
      </c>
      <c r="M1500" t="s">
        <v>66</v>
      </c>
    </row>
    <row r="1501" spans="1:13" x14ac:dyDescent="0.3">
      <c r="A1501" t="s">
        <v>21</v>
      </c>
      <c r="B1501" t="s">
        <v>52</v>
      </c>
      <c r="C1501">
        <v>21.269767062056911</v>
      </c>
      <c r="D1501">
        <v>0.94572449812534565</v>
      </c>
      <c r="E1501">
        <v>0.77388396462627274</v>
      </c>
      <c r="F1501">
        <v>3.0146888958325611</v>
      </c>
      <c r="G1501">
        <v>6.3429236553628403</v>
      </c>
      <c r="H1501">
        <v>31.01989523914617</v>
      </c>
      <c r="I1501">
        <v>22.922924784339269</v>
      </c>
      <c r="J1501">
        <v>19.448837790678731</v>
      </c>
      <c r="K1501">
        <v>1222.055472685922</v>
      </c>
      <c r="L1501">
        <v>1</v>
      </c>
      <c r="M1501" t="s">
        <v>66</v>
      </c>
    </row>
    <row r="1502" spans="1:13" x14ac:dyDescent="0.3">
      <c r="A1502" t="s">
        <v>15</v>
      </c>
      <c r="B1502" t="s">
        <v>33</v>
      </c>
      <c r="C1502">
        <v>99.059512701805474</v>
      </c>
      <c r="D1502">
        <v>3.8713019033174052</v>
      </c>
      <c r="E1502">
        <v>4.2231578860163568</v>
      </c>
      <c r="F1502">
        <v>14.50796404908478</v>
      </c>
      <c r="G1502">
        <v>6.8464092750886421</v>
      </c>
      <c r="H1502">
        <v>34.696453023712337</v>
      </c>
      <c r="I1502">
        <v>18.198074888455331</v>
      </c>
      <c r="J1502">
        <v>18.438749272586069</v>
      </c>
      <c r="K1502">
        <v>1916.3699764164701</v>
      </c>
      <c r="L1502">
        <v>1</v>
      </c>
      <c r="M1502" t="s">
        <v>66</v>
      </c>
    </row>
    <row r="1503" spans="1:13" x14ac:dyDescent="0.3">
      <c r="A1503" t="s">
        <v>25</v>
      </c>
      <c r="B1503" t="s">
        <v>62</v>
      </c>
      <c r="C1503">
        <v>25.50018622601905</v>
      </c>
      <c r="D1503">
        <v>0.95426161148016764</v>
      </c>
      <c r="E1503">
        <v>0.80780343567733848</v>
      </c>
      <c r="F1503">
        <v>3.0802682110135482</v>
      </c>
      <c r="G1503">
        <v>6.249656494835957</v>
      </c>
      <c r="H1503">
        <v>67.983521373405623</v>
      </c>
      <c r="I1503">
        <v>20.929264170892861</v>
      </c>
      <c r="J1503">
        <v>23.85003241191146</v>
      </c>
      <c r="K1503">
        <v>1224.5412399185011</v>
      </c>
      <c r="L1503">
        <v>0</v>
      </c>
      <c r="M1503" t="s">
        <v>66</v>
      </c>
    </row>
    <row r="1504" spans="1:13" x14ac:dyDescent="0.3">
      <c r="A1504" t="s">
        <v>24</v>
      </c>
      <c r="B1504" t="s">
        <v>61</v>
      </c>
      <c r="C1504">
        <v>134.08421824035619</v>
      </c>
      <c r="D1504">
        <v>6.0336646016016058</v>
      </c>
      <c r="E1504">
        <v>8.1108696389106498</v>
      </c>
      <c r="F1504">
        <v>20.915156754857222</v>
      </c>
      <c r="G1504">
        <v>6.3070549685143016</v>
      </c>
      <c r="H1504">
        <v>17.940641002038699</v>
      </c>
      <c r="I1504">
        <v>29.674054904622579</v>
      </c>
      <c r="J1504">
        <v>31.09603407202048</v>
      </c>
      <c r="K1504">
        <v>47.799124572270102</v>
      </c>
      <c r="L1504">
        <v>-1</v>
      </c>
      <c r="M1504" t="s">
        <v>66</v>
      </c>
    </row>
    <row r="1505" spans="1:13" x14ac:dyDescent="0.3">
      <c r="A1505" t="s">
        <v>20</v>
      </c>
      <c r="B1505" t="s">
        <v>50</v>
      </c>
      <c r="C1505">
        <v>54.105745442972392</v>
      </c>
      <c r="D1505">
        <v>2.1785784395301442</v>
      </c>
      <c r="E1505">
        <v>2.1893568606572691</v>
      </c>
      <c r="F1505">
        <v>6.1580030135917507</v>
      </c>
      <c r="G1505">
        <v>6.2854638681489261</v>
      </c>
      <c r="H1505">
        <v>25.667507851854381</v>
      </c>
      <c r="I1505">
        <v>17.978869293201541</v>
      </c>
      <c r="J1505">
        <v>21.166392774942391</v>
      </c>
      <c r="K1505">
        <v>1715.6379432825461</v>
      </c>
      <c r="L1505">
        <v>1</v>
      </c>
      <c r="M1505" t="s">
        <v>66</v>
      </c>
    </row>
    <row r="1506" spans="1:13" x14ac:dyDescent="0.3">
      <c r="A1506" t="s">
        <v>19</v>
      </c>
      <c r="B1506" t="s">
        <v>45</v>
      </c>
      <c r="C1506">
        <v>46.15956992006236</v>
      </c>
      <c r="D1506">
        <v>2.2872073826485289</v>
      </c>
      <c r="E1506">
        <v>3.4402552628700609</v>
      </c>
      <c r="F1506">
        <v>6.5145003831490342</v>
      </c>
      <c r="G1506">
        <v>6.0463420176522584</v>
      </c>
      <c r="H1506">
        <v>30.91836694492287</v>
      </c>
      <c r="I1506">
        <v>22.530281025086961</v>
      </c>
      <c r="J1506">
        <v>27.392783357133101</v>
      </c>
      <c r="K1506">
        <v>1406.4754533537689</v>
      </c>
      <c r="L1506">
        <v>1</v>
      </c>
      <c r="M1506" t="s">
        <v>66</v>
      </c>
    </row>
    <row r="1507" spans="1:13" x14ac:dyDescent="0.3">
      <c r="A1507" t="s">
        <v>22</v>
      </c>
      <c r="B1507" t="s">
        <v>55</v>
      </c>
      <c r="C1507">
        <v>6.8088735988998792</v>
      </c>
      <c r="D1507">
        <v>0</v>
      </c>
      <c r="E1507">
        <v>0</v>
      </c>
      <c r="F1507">
        <v>0.9474698231151617</v>
      </c>
      <c r="G1507">
        <v>6.0307102018363947</v>
      </c>
      <c r="H1507">
        <v>21.893212768947329</v>
      </c>
      <c r="I1507">
        <v>18.436749080468122</v>
      </c>
      <c r="J1507">
        <v>16.415750809988349</v>
      </c>
      <c r="K1507">
        <v>1739.249474326635</v>
      </c>
      <c r="L1507">
        <v>1</v>
      </c>
      <c r="M1507" t="s">
        <v>66</v>
      </c>
    </row>
    <row r="1508" spans="1:13" x14ac:dyDescent="0.3">
      <c r="A1508" t="s">
        <v>19</v>
      </c>
      <c r="B1508" t="s">
        <v>44</v>
      </c>
      <c r="C1508">
        <v>39.420681262283694</v>
      </c>
      <c r="D1508">
        <v>1.1315917356839791</v>
      </c>
      <c r="E1508">
        <v>2.04067925317332</v>
      </c>
      <c r="F1508">
        <v>4.694481288818519</v>
      </c>
      <c r="G1508">
        <v>5.4429750264688632</v>
      </c>
      <c r="H1508">
        <v>37.844254632376767</v>
      </c>
      <c r="I1508">
        <v>24.955775522628741</v>
      </c>
      <c r="J1508">
        <v>18.904101211994181</v>
      </c>
      <c r="K1508">
        <v>1883.195204993832</v>
      </c>
      <c r="L1508">
        <v>1</v>
      </c>
      <c r="M1508" t="s">
        <v>66</v>
      </c>
    </row>
    <row r="1509" spans="1:13" x14ac:dyDescent="0.3">
      <c r="A1509" t="s">
        <v>15</v>
      </c>
      <c r="B1509" t="s">
        <v>31</v>
      </c>
      <c r="C1509">
        <v>104.78747249172601</v>
      </c>
      <c r="D1509">
        <v>5.3910749048183257</v>
      </c>
      <c r="E1509">
        <v>6.9966653092274713</v>
      </c>
      <c r="F1509">
        <v>14.566940220749</v>
      </c>
      <c r="G1509">
        <v>5.4264354405043482</v>
      </c>
      <c r="H1509">
        <v>45.790568685058147</v>
      </c>
      <c r="I1509">
        <v>22.306751441899461</v>
      </c>
      <c r="J1509">
        <v>24.78998030889052</v>
      </c>
      <c r="K1509">
        <v>1862.1235583902189</v>
      </c>
      <c r="L1509">
        <v>1</v>
      </c>
      <c r="M1509" t="s">
        <v>66</v>
      </c>
    </row>
    <row r="1510" spans="1:13" x14ac:dyDescent="0.3">
      <c r="A1510" t="s">
        <v>24</v>
      </c>
      <c r="B1510" t="s">
        <v>58</v>
      </c>
      <c r="C1510">
        <v>30.359131586845319</v>
      </c>
      <c r="D1510">
        <v>1.1004456915035901</v>
      </c>
      <c r="E1510">
        <v>1.885101154277415</v>
      </c>
      <c r="F1510">
        <v>3.9199167138090409</v>
      </c>
      <c r="G1510">
        <v>6.9418507118633608</v>
      </c>
      <c r="H1510">
        <v>33.103770336419132</v>
      </c>
      <c r="I1510">
        <v>24.831014615366119</v>
      </c>
      <c r="J1510">
        <v>23.759313125943962</v>
      </c>
      <c r="K1510">
        <v>717.41675842462575</v>
      </c>
      <c r="L1510">
        <v>0</v>
      </c>
      <c r="M1510" t="s">
        <v>66</v>
      </c>
    </row>
    <row r="1511" spans="1:13" x14ac:dyDescent="0.3">
      <c r="A1511" t="s">
        <v>21</v>
      </c>
      <c r="B1511" t="s">
        <v>52</v>
      </c>
      <c r="C1511">
        <v>52.203608852087847</v>
      </c>
      <c r="D1511">
        <v>2.2447257661542461</v>
      </c>
      <c r="E1511">
        <v>3.5671918489861372</v>
      </c>
      <c r="F1511">
        <v>7.6516961118267837</v>
      </c>
      <c r="G1511">
        <v>6.318150244049467</v>
      </c>
      <c r="H1511">
        <v>35.426222480337778</v>
      </c>
      <c r="I1511">
        <v>21.341080512904021</v>
      </c>
      <c r="J1511">
        <v>20.659042541296351</v>
      </c>
      <c r="K1511">
        <v>1238.8194168785799</v>
      </c>
      <c r="L1511">
        <v>1</v>
      </c>
      <c r="M1511" t="s">
        <v>66</v>
      </c>
    </row>
    <row r="1512" spans="1:13" x14ac:dyDescent="0.3">
      <c r="A1512" t="s">
        <v>25</v>
      </c>
      <c r="B1512" t="s">
        <v>62</v>
      </c>
      <c r="C1512">
        <v>22.531382602103449</v>
      </c>
      <c r="D1512">
        <v>1.0547476536602769</v>
      </c>
      <c r="E1512">
        <v>0.90004392080611062</v>
      </c>
      <c r="F1512">
        <v>3.220728391317063</v>
      </c>
      <c r="G1512">
        <v>6.2157225267952239</v>
      </c>
      <c r="H1512">
        <v>62.320011145271778</v>
      </c>
      <c r="I1512">
        <v>20.969022448085731</v>
      </c>
      <c r="J1512">
        <v>23.725045081983399</v>
      </c>
      <c r="K1512">
        <v>1196.4823975553361</v>
      </c>
      <c r="L1512">
        <v>0</v>
      </c>
      <c r="M1512" t="s">
        <v>66</v>
      </c>
    </row>
    <row r="1513" spans="1:13" x14ac:dyDescent="0.3">
      <c r="A1513" t="s">
        <v>19</v>
      </c>
      <c r="B1513" t="s">
        <v>44</v>
      </c>
      <c r="C1513">
        <v>41.245887639198109</v>
      </c>
      <c r="D1513">
        <v>1.000979649530388</v>
      </c>
      <c r="E1513">
        <v>2.1787792944290501</v>
      </c>
      <c r="F1513">
        <v>5.2768458500408837</v>
      </c>
      <c r="G1513">
        <v>6.0009608739747913</v>
      </c>
      <c r="H1513">
        <v>26.614927790805829</v>
      </c>
      <c r="I1513">
        <v>20.11022932386836</v>
      </c>
      <c r="J1513">
        <v>18.933056309205121</v>
      </c>
      <c r="K1513">
        <v>1918.1045543354539</v>
      </c>
      <c r="L1513">
        <v>1</v>
      </c>
      <c r="M1513" t="s">
        <v>66</v>
      </c>
    </row>
    <row r="1514" spans="1:13" x14ac:dyDescent="0.3">
      <c r="A1514" t="s">
        <v>24</v>
      </c>
      <c r="B1514" t="s">
        <v>60</v>
      </c>
      <c r="C1514">
        <v>607.3685692351379</v>
      </c>
      <c r="D1514">
        <v>28.46029045250015</v>
      </c>
      <c r="E1514">
        <v>34.542895864105837</v>
      </c>
      <c r="F1514">
        <v>100.6049758054495</v>
      </c>
      <c r="G1514">
        <v>5.9938932959152638</v>
      </c>
      <c r="H1514">
        <v>76.988992906788454</v>
      </c>
      <c r="I1514">
        <v>29.224186952499519</v>
      </c>
      <c r="J1514">
        <v>31.295058797438699</v>
      </c>
      <c r="K1514">
        <v>11.50805918601168</v>
      </c>
      <c r="L1514">
        <v>-1</v>
      </c>
      <c r="M1514" t="s">
        <v>66</v>
      </c>
    </row>
    <row r="1515" spans="1:13" x14ac:dyDescent="0.3">
      <c r="A1515" t="s">
        <v>17</v>
      </c>
      <c r="B1515" t="s">
        <v>39</v>
      </c>
      <c r="C1515">
        <v>17.78241067829892</v>
      </c>
      <c r="D1515">
        <v>0</v>
      </c>
      <c r="E1515">
        <v>0.91943009100610418</v>
      </c>
      <c r="F1515">
        <v>1.8162416034505211</v>
      </c>
      <c r="G1515">
        <v>5.5171166312029571</v>
      </c>
      <c r="H1515">
        <v>21.462440056656661</v>
      </c>
      <c r="I1515">
        <v>19.297212247671851</v>
      </c>
      <c r="J1515">
        <v>28.091808928195341</v>
      </c>
      <c r="K1515">
        <v>2081.6924534266309</v>
      </c>
      <c r="L1515">
        <v>1</v>
      </c>
      <c r="M1515" t="s">
        <v>66</v>
      </c>
    </row>
    <row r="1516" spans="1:13" x14ac:dyDescent="0.3">
      <c r="A1516" t="s">
        <v>24</v>
      </c>
      <c r="B1516" t="s">
        <v>61</v>
      </c>
      <c r="C1516">
        <v>123.8794469349874</v>
      </c>
      <c r="D1516">
        <v>6.1586735055114987</v>
      </c>
      <c r="E1516">
        <v>6.1571468839358001</v>
      </c>
      <c r="F1516">
        <v>21.28588942300965</v>
      </c>
      <c r="G1516">
        <v>6.2119590688316668</v>
      </c>
      <c r="H1516">
        <v>18.995082127862691</v>
      </c>
      <c r="I1516">
        <v>30.952952012339662</v>
      </c>
      <c r="J1516">
        <v>29.58268290473881</v>
      </c>
      <c r="K1516">
        <v>47.909809773196457</v>
      </c>
      <c r="L1516">
        <v>-1</v>
      </c>
      <c r="M1516" t="s">
        <v>66</v>
      </c>
    </row>
    <row r="1517" spans="1:13" x14ac:dyDescent="0.3">
      <c r="A1517" t="s">
        <v>19</v>
      </c>
      <c r="B1517" t="s">
        <v>44</v>
      </c>
      <c r="C1517">
        <v>52.72740441457691</v>
      </c>
      <c r="D1517">
        <v>2.014202864093773</v>
      </c>
      <c r="E1517">
        <v>2.825930263608361</v>
      </c>
      <c r="F1517">
        <v>8.1942837656086702</v>
      </c>
      <c r="G1517">
        <v>6.0663898177144713</v>
      </c>
      <c r="H1517">
        <v>23.385744176558351</v>
      </c>
      <c r="I1517">
        <v>18.990774926914021</v>
      </c>
      <c r="J1517">
        <v>29.434856576392789</v>
      </c>
      <c r="K1517">
        <v>2206.1869843987588</v>
      </c>
      <c r="L1517">
        <v>1</v>
      </c>
      <c r="M1517" t="s">
        <v>66</v>
      </c>
    </row>
    <row r="1518" spans="1:13" x14ac:dyDescent="0.3">
      <c r="A1518" t="s">
        <v>24</v>
      </c>
      <c r="B1518" t="s">
        <v>58</v>
      </c>
      <c r="C1518">
        <v>12.53317303176814</v>
      </c>
      <c r="D1518">
        <v>0</v>
      </c>
      <c r="E1518">
        <v>0</v>
      </c>
      <c r="F1518">
        <v>2.246767393603228</v>
      </c>
      <c r="G1518">
        <v>6.5709757698906062</v>
      </c>
      <c r="H1518">
        <v>46.333372362479743</v>
      </c>
      <c r="I1518">
        <v>24.3790316940098</v>
      </c>
      <c r="J1518">
        <v>22.913996557031751</v>
      </c>
      <c r="K1518">
        <v>779.94088102137232</v>
      </c>
      <c r="L1518">
        <v>0</v>
      </c>
      <c r="M1518" t="s">
        <v>66</v>
      </c>
    </row>
    <row r="1519" spans="1:13" x14ac:dyDescent="0.3">
      <c r="A1519" t="s">
        <v>18</v>
      </c>
      <c r="B1519" t="s">
        <v>42</v>
      </c>
      <c r="C1519">
        <v>64.062410196452134</v>
      </c>
      <c r="D1519">
        <v>3.1721081508833291</v>
      </c>
      <c r="E1519">
        <v>3.6399141510936981</v>
      </c>
      <c r="F1519">
        <v>10.240039228954091</v>
      </c>
      <c r="G1519">
        <v>5.8228538336864446</v>
      </c>
      <c r="H1519">
        <v>44.00969726907784</v>
      </c>
      <c r="I1519">
        <v>20.665888870886</v>
      </c>
      <c r="J1519">
        <v>20.534704502008051</v>
      </c>
      <c r="K1519">
        <v>1805.786987245079</v>
      </c>
      <c r="L1519">
        <v>1</v>
      </c>
      <c r="M1519" t="s">
        <v>66</v>
      </c>
    </row>
    <row r="1520" spans="1:13" x14ac:dyDescent="0.3">
      <c r="A1520" t="s">
        <v>21</v>
      </c>
      <c r="B1520" t="s">
        <v>52</v>
      </c>
      <c r="C1520">
        <v>21.359373812485359</v>
      </c>
      <c r="D1520">
        <v>1.135596030419203</v>
      </c>
      <c r="E1520">
        <v>1.1109806705862271</v>
      </c>
      <c r="F1520">
        <v>2.78620731049315</v>
      </c>
      <c r="G1520">
        <v>6.1989927123357544</v>
      </c>
      <c r="H1520">
        <v>29.392689493929449</v>
      </c>
      <c r="I1520">
        <v>20.74328872576632</v>
      </c>
      <c r="J1520">
        <v>19.579308769903399</v>
      </c>
      <c r="K1520">
        <v>1213.998589302553</v>
      </c>
      <c r="L1520">
        <v>1</v>
      </c>
      <c r="M1520" t="s">
        <v>66</v>
      </c>
    </row>
    <row r="1521" spans="1:13" x14ac:dyDescent="0.3">
      <c r="A1521" t="s">
        <v>19</v>
      </c>
      <c r="B1521" t="s">
        <v>46</v>
      </c>
      <c r="C1521">
        <v>28.01636389178908</v>
      </c>
      <c r="D1521">
        <v>0.99693296530281428</v>
      </c>
      <c r="E1521">
        <v>0.95956746955683681</v>
      </c>
      <c r="F1521">
        <v>3.1557297066601691</v>
      </c>
      <c r="G1521">
        <v>6.002122756879559</v>
      </c>
      <c r="H1521">
        <v>20.550028861986931</v>
      </c>
      <c r="I1521">
        <v>31.45370830064331</v>
      </c>
      <c r="J1521">
        <v>26.61199616715577</v>
      </c>
      <c r="K1521">
        <v>739.67839014015181</v>
      </c>
      <c r="L1521">
        <v>-1</v>
      </c>
      <c r="M1521" t="s">
        <v>66</v>
      </c>
    </row>
    <row r="1522" spans="1:13" x14ac:dyDescent="0.3">
      <c r="A1522" t="s">
        <v>24</v>
      </c>
      <c r="B1522" t="s">
        <v>58</v>
      </c>
      <c r="C1522">
        <v>28.598120544662411</v>
      </c>
      <c r="D1522">
        <v>1.046664879436721</v>
      </c>
      <c r="E1522">
        <v>1.7869110405493569</v>
      </c>
      <c r="F1522">
        <v>3.9384437038565689</v>
      </c>
      <c r="G1522">
        <v>6.3736688988660353</v>
      </c>
      <c r="H1522">
        <v>40.9378118039374</v>
      </c>
      <c r="I1522">
        <v>24.18365961308681</v>
      </c>
      <c r="J1522">
        <v>23.747441168776241</v>
      </c>
      <c r="K1522">
        <v>725.21357179995414</v>
      </c>
      <c r="L1522">
        <v>0</v>
      </c>
      <c r="M1522" t="s">
        <v>66</v>
      </c>
    </row>
    <row r="1523" spans="1:13" x14ac:dyDescent="0.3">
      <c r="A1523" t="s">
        <v>17</v>
      </c>
      <c r="B1523" t="s">
        <v>39</v>
      </c>
      <c r="C1523">
        <v>19.139835176177751</v>
      </c>
      <c r="D1523">
        <v>0</v>
      </c>
      <c r="E1523">
        <v>1.0410844628150451</v>
      </c>
      <c r="F1523">
        <v>1.9361110549187059</v>
      </c>
      <c r="G1523">
        <v>5.4013556177319906</v>
      </c>
      <c r="H1523">
        <v>21.790540852147849</v>
      </c>
      <c r="I1523">
        <v>20.063228345738722</v>
      </c>
      <c r="J1523">
        <v>26.324467834681879</v>
      </c>
      <c r="K1523">
        <v>2139.3789015468492</v>
      </c>
      <c r="L1523">
        <v>1</v>
      </c>
      <c r="M1523" t="s">
        <v>66</v>
      </c>
    </row>
    <row r="1524" spans="1:13" x14ac:dyDescent="0.3">
      <c r="A1524" t="s">
        <v>18</v>
      </c>
      <c r="B1524" t="s">
        <v>43</v>
      </c>
      <c r="C1524">
        <v>30.827705875913111</v>
      </c>
      <c r="D1524">
        <v>0.87673206868622877</v>
      </c>
      <c r="E1524">
        <v>1.923823258074195</v>
      </c>
      <c r="F1524">
        <v>4.4696752781458997</v>
      </c>
      <c r="G1524">
        <v>5.7280230698582786</v>
      </c>
      <c r="H1524">
        <v>32.067910104326373</v>
      </c>
      <c r="I1524">
        <v>28.185173384993671</v>
      </c>
      <c r="J1524">
        <v>19.60759381077099</v>
      </c>
      <c r="K1524">
        <v>1792.5680775534031</v>
      </c>
      <c r="L1524">
        <v>1</v>
      </c>
      <c r="M1524" t="s">
        <v>66</v>
      </c>
    </row>
    <row r="1525" spans="1:13" x14ac:dyDescent="0.3">
      <c r="A1525" t="s">
        <v>22</v>
      </c>
      <c r="B1525" t="s">
        <v>53</v>
      </c>
      <c r="C1525">
        <v>335.39920874221309</v>
      </c>
      <c r="D1525">
        <v>16.309867241675061</v>
      </c>
      <c r="E1525">
        <v>17.99998291527081</v>
      </c>
      <c r="F1525">
        <v>59.065680129938677</v>
      </c>
      <c r="G1525">
        <v>6.145394420946177</v>
      </c>
      <c r="H1525">
        <v>33.908052207707961</v>
      </c>
      <c r="I1525">
        <v>27.204341773731681</v>
      </c>
      <c r="J1525">
        <v>22.125941885409041</v>
      </c>
      <c r="K1525">
        <v>1318.7812314255141</v>
      </c>
      <c r="L1525">
        <v>1</v>
      </c>
      <c r="M1525" t="s">
        <v>66</v>
      </c>
    </row>
    <row r="1526" spans="1:13" x14ac:dyDescent="0.3">
      <c r="A1526" t="s">
        <v>17</v>
      </c>
      <c r="B1526" t="s">
        <v>39</v>
      </c>
      <c r="C1526">
        <v>13.41136510526592</v>
      </c>
      <c r="D1526">
        <v>0</v>
      </c>
      <c r="E1526">
        <v>0</v>
      </c>
      <c r="F1526">
        <v>2.1981715927611671</v>
      </c>
      <c r="G1526">
        <v>5.457543356441624</v>
      </c>
      <c r="H1526">
        <v>26.93347816260545</v>
      </c>
      <c r="I1526">
        <v>19.83741466263232</v>
      </c>
      <c r="J1526">
        <v>26.649379915930961</v>
      </c>
      <c r="K1526">
        <v>2193.924834610822</v>
      </c>
      <c r="L1526">
        <v>1</v>
      </c>
      <c r="M1526" t="s">
        <v>66</v>
      </c>
    </row>
    <row r="1527" spans="1:13" x14ac:dyDescent="0.3">
      <c r="A1527" t="s">
        <v>18</v>
      </c>
      <c r="B1527" t="s">
        <v>43</v>
      </c>
      <c r="C1527">
        <v>27.344084803797909</v>
      </c>
      <c r="D1527">
        <v>0.93346747745302139</v>
      </c>
      <c r="E1527">
        <v>0.98636672371528089</v>
      </c>
      <c r="F1527">
        <v>3.5777730483006369</v>
      </c>
      <c r="G1527">
        <v>6.3701092817502323</v>
      </c>
      <c r="H1527">
        <v>27.152670110858569</v>
      </c>
      <c r="I1527">
        <v>26.534187259926391</v>
      </c>
      <c r="J1527">
        <v>19.185777932410421</v>
      </c>
      <c r="K1527">
        <v>1848.6290373052409</v>
      </c>
      <c r="L1527">
        <v>1</v>
      </c>
      <c r="M1527" t="s">
        <v>66</v>
      </c>
    </row>
    <row r="1528" spans="1:13" x14ac:dyDescent="0.3">
      <c r="A1528" t="s">
        <v>18</v>
      </c>
      <c r="B1528" t="s">
        <v>40</v>
      </c>
      <c r="C1528">
        <v>123.1902862965045</v>
      </c>
      <c r="D1528">
        <v>5.3084005339957372</v>
      </c>
      <c r="E1528">
        <v>7.1772479951055468</v>
      </c>
      <c r="F1528">
        <v>24.16196369889132</v>
      </c>
      <c r="G1528">
        <v>4.9481942119944451</v>
      </c>
      <c r="H1528">
        <v>53.263114991022903</v>
      </c>
      <c r="I1528">
        <v>19.751035473660089</v>
      </c>
      <c r="J1528">
        <v>20.7197687187548</v>
      </c>
      <c r="K1528">
        <v>1629.6408520478431</v>
      </c>
      <c r="L1528">
        <v>1</v>
      </c>
      <c r="M1528" t="s">
        <v>66</v>
      </c>
    </row>
    <row r="1529" spans="1:13" x14ac:dyDescent="0.3">
      <c r="A1529" t="s">
        <v>19</v>
      </c>
      <c r="B1529" t="s">
        <v>46</v>
      </c>
      <c r="C1529">
        <v>26.491312246117861</v>
      </c>
      <c r="D1529">
        <v>1.07792362085835</v>
      </c>
      <c r="E1529">
        <v>1.124826889169658</v>
      </c>
      <c r="F1529">
        <v>4.3560875080531787</v>
      </c>
      <c r="G1529">
        <v>6.039682248934513</v>
      </c>
      <c r="H1529">
        <v>19.981530454448659</v>
      </c>
      <c r="I1529">
        <v>32.142318615863331</v>
      </c>
      <c r="J1529">
        <v>24.792813024040381</v>
      </c>
      <c r="K1529">
        <v>749.30808047225594</v>
      </c>
      <c r="L1529">
        <v>-1</v>
      </c>
      <c r="M1529" t="s">
        <v>66</v>
      </c>
    </row>
    <row r="1530" spans="1:13" x14ac:dyDescent="0.3">
      <c r="A1530" t="s">
        <v>15</v>
      </c>
      <c r="B1530" t="s">
        <v>33</v>
      </c>
      <c r="C1530">
        <v>74.879190324449709</v>
      </c>
      <c r="D1530">
        <v>3.8052855140082351</v>
      </c>
      <c r="E1530">
        <v>4.3908175823073794</v>
      </c>
      <c r="F1530">
        <v>12.38982720798019</v>
      </c>
      <c r="G1530">
        <v>5.3349083005967639</v>
      </c>
      <c r="H1530">
        <v>34.853200249531817</v>
      </c>
      <c r="I1530">
        <v>18.150990687451301</v>
      </c>
      <c r="J1530">
        <v>18.48434154019002</v>
      </c>
      <c r="K1530">
        <v>1920.5376967548871</v>
      </c>
      <c r="L1530">
        <v>1</v>
      </c>
      <c r="M1530" t="s">
        <v>66</v>
      </c>
    </row>
    <row r="1531" spans="1:13" x14ac:dyDescent="0.3">
      <c r="A1531" t="s">
        <v>18</v>
      </c>
      <c r="B1531" t="s">
        <v>43</v>
      </c>
      <c r="C1531">
        <v>32.571730820734643</v>
      </c>
      <c r="D1531">
        <v>0.95672955535356063</v>
      </c>
      <c r="E1531">
        <v>1.8869619583897439</v>
      </c>
      <c r="F1531">
        <v>3.813851734774186</v>
      </c>
      <c r="G1531">
        <v>6.0715733578148097</v>
      </c>
      <c r="H1531">
        <v>22.856476655260732</v>
      </c>
      <c r="I1531">
        <v>23.001636690195269</v>
      </c>
      <c r="J1531">
        <v>18.357504426830101</v>
      </c>
      <c r="K1531">
        <v>1746.7788602541509</v>
      </c>
      <c r="L1531">
        <v>1</v>
      </c>
      <c r="M1531" t="s">
        <v>66</v>
      </c>
    </row>
    <row r="1532" spans="1:13" x14ac:dyDescent="0.3">
      <c r="A1532" t="s">
        <v>19</v>
      </c>
      <c r="B1532" t="s">
        <v>44</v>
      </c>
      <c r="C1532">
        <v>29.931974911047771</v>
      </c>
      <c r="D1532">
        <v>1.0406046342358171</v>
      </c>
      <c r="E1532">
        <v>2.2609190928066352</v>
      </c>
      <c r="F1532">
        <v>4.1860609180099999</v>
      </c>
      <c r="G1532">
        <v>5.4335416689281466</v>
      </c>
      <c r="H1532">
        <v>35.122256613036768</v>
      </c>
      <c r="I1532">
        <v>17.170132289555401</v>
      </c>
      <c r="J1532">
        <v>22.416320523113988</v>
      </c>
      <c r="K1532">
        <v>1777.469105903069</v>
      </c>
      <c r="L1532">
        <v>1</v>
      </c>
      <c r="M1532" t="s">
        <v>66</v>
      </c>
    </row>
    <row r="1533" spans="1:13" x14ac:dyDescent="0.3">
      <c r="A1533" t="s">
        <v>24</v>
      </c>
      <c r="B1533" t="s">
        <v>61</v>
      </c>
      <c r="C1533">
        <v>122.5050726199902</v>
      </c>
      <c r="D1533">
        <v>6.8838925297002138</v>
      </c>
      <c r="E1533">
        <v>6.5822738393392646</v>
      </c>
      <c r="F1533">
        <v>18.948695603257359</v>
      </c>
      <c r="G1533">
        <v>6.1491592193593618</v>
      </c>
      <c r="H1533">
        <v>21.305580749097281</v>
      </c>
      <c r="I1533">
        <v>31.029816982923059</v>
      </c>
      <c r="J1533">
        <v>30.61504803760613</v>
      </c>
      <c r="K1533">
        <v>46.447096490099973</v>
      </c>
      <c r="L1533">
        <v>-1</v>
      </c>
      <c r="M1533" t="s">
        <v>66</v>
      </c>
    </row>
    <row r="1534" spans="1:13" x14ac:dyDescent="0.3">
      <c r="A1534" t="s">
        <v>18</v>
      </c>
      <c r="B1534" t="s">
        <v>42</v>
      </c>
      <c r="C1534">
        <v>32.343046742537567</v>
      </c>
      <c r="D1534">
        <v>0.98337630000013432</v>
      </c>
      <c r="E1534">
        <v>1.8369361342253741</v>
      </c>
      <c r="F1534">
        <v>4.9982704734509298</v>
      </c>
      <c r="G1534">
        <v>5.8826693825707128</v>
      </c>
      <c r="H1534">
        <v>29.457320993726299</v>
      </c>
      <c r="I1534">
        <v>22.842943058378001</v>
      </c>
      <c r="J1534">
        <v>26.778022489918602</v>
      </c>
      <c r="K1534">
        <v>1653.242245320459</v>
      </c>
      <c r="L1534">
        <v>1</v>
      </c>
      <c r="M1534" t="s">
        <v>66</v>
      </c>
    </row>
    <row r="1535" spans="1:13" x14ac:dyDescent="0.3">
      <c r="A1535" t="s">
        <v>15</v>
      </c>
      <c r="B1535" t="s">
        <v>31</v>
      </c>
      <c r="C1535">
        <v>22.222627941279061</v>
      </c>
      <c r="D1535">
        <v>1.196856179742263</v>
      </c>
      <c r="E1535">
        <v>0.9565429593712631</v>
      </c>
      <c r="F1535">
        <v>2.7005894342413641</v>
      </c>
      <c r="G1535">
        <v>6.6823685651762936</v>
      </c>
      <c r="H1535">
        <v>37.29420647150841</v>
      </c>
      <c r="I1535">
        <v>23.969163940825482</v>
      </c>
      <c r="J1535">
        <v>20.50955833856429</v>
      </c>
      <c r="K1535">
        <v>1572.4283974219511</v>
      </c>
      <c r="L1535">
        <v>1</v>
      </c>
      <c r="M1535" t="s">
        <v>66</v>
      </c>
    </row>
    <row r="1536" spans="1:13" x14ac:dyDescent="0.3">
      <c r="A1536" t="s">
        <v>18</v>
      </c>
      <c r="B1536" t="s">
        <v>41</v>
      </c>
      <c r="C1536">
        <v>6.3593888842684123</v>
      </c>
      <c r="D1536">
        <v>0</v>
      </c>
      <c r="E1536">
        <v>0</v>
      </c>
      <c r="F1536">
        <v>-1.7763568394002501E-15</v>
      </c>
      <c r="G1536">
        <v>6.1599697811808216</v>
      </c>
      <c r="H1536">
        <v>22.959191409181081</v>
      </c>
      <c r="I1536">
        <v>27.708004350492811</v>
      </c>
      <c r="J1536">
        <v>32.837974639774707</v>
      </c>
      <c r="K1536">
        <v>1789.332121742174</v>
      </c>
      <c r="L1536">
        <v>1</v>
      </c>
      <c r="M1536" t="s">
        <v>66</v>
      </c>
    </row>
    <row r="1537" spans="1:13" x14ac:dyDescent="0.3">
      <c r="A1537" t="s">
        <v>19</v>
      </c>
      <c r="B1537" t="s">
        <v>44</v>
      </c>
      <c r="C1537">
        <v>12.878131309283191</v>
      </c>
      <c r="D1537">
        <v>0</v>
      </c>
      <c r="E1537">
        <v>0</v>
      </c>
      <c r="F1537">
        <v>1.100837263082711</v>
      </c>
      <c r="G1537">
        <v>6.6572615930090926</v>
      </c>
      <c r="H1537">
        <v>24.765383973609559</v>
      </c>
      <c r="I1537">
        <v>18.157081735881661</v>
      </c>
      <c r="J1537">
        <v>30.58048948319302</v>
      </c>
      <c r="K1537">
        <v>2215.4242335281092</v>
      </c>
      <c r="L1537">
        <v>1</v>
      </c>
      <c r="M1537" t="s">
        <v>66</v>
      </c>
    </row>
    <row r="1538" spans="1:13" x14ac:dyDescent="0.3">
      <c r="A1538" t="s">
        <v>24</v>
      </c>
      <c r="B1538" t="s">
        <v>61</v>
      </c>
      <c r="C1538">
        <v>667.07242482925164</v>
      </c>
      <c r="D1538">
        <v>39.053696986127193</v>
      </c>
      <c r="E1538">
        <v>46.185110595293978</v>
      </c>
      <c r="F1538">
        <v>88.324315060572474</v>
      </c>
      <c r="G1538">
        <v>5.7699613873194542</v>
      </c>
      <c r="H1538">
        <v>66.368263757249096</v>
      </c>
      <c r="I1538">
        <v>29.25695946876553</v>
      </c>
      <c r="J1538">
        <v>30.68724494163191</v>
      </c>
      <c r="K1538">
        <v>11.261715528071139</v>
      </c>
      <c r="L1538">
        <v>-1</v>
      </c>
      <c r="M1538" t="s">
        <v>66</v>
      </c>
    </row>
    <row r="1539" spans="1:13" x14ac:dyDescent="0.3">
      <c r="A1539" t="s">
        <v>19</v>
      </c>
      <c r="B1539" t="s">
        <v>48</v>
      </c>
      <c r="C1539">
        <v>101.2563736577243</v>
      </c>
      <c r="D1539">
        <v>4.4479333132463674</v>
      </c>
      <c r="E1539">
        <v>5.400980488093257</v>
      </c>
      <c r="F1539">
        <v>12.42080294382049</v>
      </c>
      <c r="G1539">
        <v>5.9256329499505203</v>
      </c>
      <c r="H1539">
        <v>37.07578792043887</v>
      </c>
      <c r="I1539">
        <v>24.274435028543579</v>
      </c>
      <c r="J1539">
        <v>26.037064746135641</v>
      </c>
      <c r="K1539">
        <v>696.30754591605137</v>
      </c>
      <c r="L1539">
        <v>1</v>
      </c>
      <c r="M1539" t="s">
        <v>66</v>
      </c>
    </row>
    <row r="1540" spans="1:13" x14ac:dyDescent="0.3">
      <c r="A1540" t="s">
        <v>18</v>
      </c>
      <c r="B1540" t="s">
        <v>43</v>
      </c>
      <c r="C1540">
        <v>24.826926791627951</v>
      </c>
      <c r="D1540">
        <v>1.0182866991291959</v>
      </c>
      <c r="E1540">
        <v>1.031168831194917</v>
      </c>
      <c r="F1540">
        <v>3.355310654530431</v>
      </c>
      <c r="G1540">
        <v>6.2577413255728818</v>
      </c>
      <c r="H1540">
        <v>24.725448312419719</v>
      </c>
      <c r="I1540">
        <v>24.962079660365681</v>
      </c>
      <c r="J1540">
        <v>18.67959619760968</v>
      </c>
      <c r="K1540">
        <v>1757.9743707718069</v>
      </c>
      <c r="L1540">
        <v>1</v>
      </c>
      <c r="M1540" t="s">
        <v>66</v>
      </c>
    </row>
    <row r="1541" spans="1:13" x14ac:dyDescent="0.3">
      <c r="A1541" t="s">
        <v>18</v>
      </c>
      <c r="B1541" t="s">
        <v>42</v>
      </c>
      <c r="C1541">
        <v>5.4636924982357726</v>
      </c>
      <c r="D1541">
        <v>0</v>
      </c>
      <c r="E1541">
        <v>0</v>
      </c>
      <c r="F1541">
        <v>-1.7763568394002501E-15</v>
      </c>
      <c r="G1541">
        <v>6.1197479107155353</v>
      </c>
      <c r="H1541">
        <v>21.139885516270631</v>
      </c>
      <c r="I1541">
        <v>20.253102827391348</v>
      </c>
      <c r="J1541">
        <v>26.687581813187851</v>
      </c>
      <c r="K1541">
        <v>1854.635087006134</v>
      </c>
      <c r="L1541">
        <v>1</v>
      </c>
      <c r="M1541" t="s">
        <v>66</v>
      </c>
    </row>
    <row r="1542" spans="1:13" x14ac:dyDescent="0.3">
      <c r="A1542" t="s">
        <v>21</v>
      </c>
      <c r="B1542" t="s">
        <v>52</v>
      </c>
      <c r="C1542">
        <v>137.92496528223759</v>
      </c>
      <c r="D1542">
        <v>5.6131612504638504</v>
      </c>
      <c r="E1542">
        <v>9.6664503328242546</v>
      </c>
      <c r="F1542">
        <v>20.102537630280381</v>
      </c>
      <c r="G1542">
        <v>5.6130772192218474</v>
      </c>
      <c r="H1542">
        <v>54.719094416782127</v>
      </c>
      <c r="I1542">
        <v>26.68308074615263</v>
      </c>
      <c r="J1542">
        <v>24.390485426047739</v>
      </c>
      <c r="K1542">
        <v>753.17365292251043</v>
      </c>
      <c r="L1542">
        <v>0</v>
      </c>
      <c r="M1542" t="s">
        <v>66</v>
      </c>
    </row>
    <row r="1543" spans="1:13" x14ac:dyDescent="0.3">
      <c r="A1543" t="s">
        <v>20</v>
      </c>
      <c r="B1543" t="s">
        <v>51</v>
      </c>
      <c r="C1543">
        <v>262.75082369676369</v>
      </c>
      <c r="D1543">
        <v>12.038009158084551</v>
      </c>
      <c r="E1543">
        <v>15.889133820430621</v>
      </c>
      <c r="F1543">
        <v>35.816859604745233</v>
      </c>
      <c r="G1543">
        <v>5.5713066498982364</v>
      </c>
      <c r="H1543">
        <v>28.29565319438996</v>
      </c>
      <c r="I1543">
        <v>20.01909663366277</v>
      </c>
      <c r="J1543">
        <v>18.273932598622011</v>
      </c>
      <c r="K1543">
        <v>1569.6403829533051</v>
      </c>
      <c r="L1543">
        <v>1</v>
      </c>
      <c r="M1543" t="s">
        <v>66</v>
      </c>
    </row>
    <row r="1544" spans="1:13" x14ac:dyDescent="0.3">
      <c r="A1544" t="s">
        <v>19</v>
      </c>
      <c r="B1544" t="s">
        <v>44</v>
      </c>
      <c r="C1544">
        <v>47.501173701893087</v>
      </c>
      <c r="D1544">
        <v>2.41494448080915</v>
      </c>
      <c r="E1544">
        <v>2.900236643248161</v>
      </c>
      <c r="F1544">
        <v>6.966370264573408</v>
      </c>
      <c r="G1544">
        <v>6.0215252982763987</v>
      </c>
      <c r="H1544">
        <v>24.750329906410489</v>
      </c>
      <c r="I1544">
        <v>20.221008006721039</v>
      </c>
      <c r="J1544">
        <v>30.628270912328251</v>
      </c>
      <c r="K1544">
        <v>2244.0258653468782</v>
      </c>
      <c r="L1544">
        <v>1</v>
      </c>
      <c r="M1544" t="s">
        <v>66</v>
      </c>
    </row>
    <row r="1545" spans="1:13" x14ac:dyDescent="0.3">
      <c r="A1545" t="s">
        <v>20</v>
      </c>
      <c r="B1545" t="s">
        <v>51</v>
      </c>
      <c r="C1545">
        <v>24.210186156713579</v>
      </c>
      <c r="D1545">
        <v>1.028618006394961</v>
      </c>
      <c r="E1545">
        <v>1.1260663752810971</v>
      </c>
      <c r="F1545">
        <v>3.9822029312461602</v>
      </c>
      <c r="G1545">
        <v>6.1706050398440189</v>
      </c>
      <c r="H1545">
        <v>44.698719731572247</v>
      </c>
      <c r="I1545">
        <v>23.046907849393779</v>
      </c>
      <c r="J1545">
        <v>20.515962461392249</v>
      </c>
      <c r="K1545">
        <v>1635.153493011491</v>
      </c>
      <c r="L1545">
        <v>1</v>
      </c>
      <c r="M1545" t="s">
        <v>66</v>
      </c>
    </row>
    <row r="1546" spans="1:13" x14ac:dyDescent="0.3">
      <c r="A1546" t="s">
        <v>18</v>
      </c>
      <c r="B1546" t="s">
        <v>41</v>
      </c>
      <c r="C1546">
        <v>0</v>
      </c>
      <c r="D1546">
        <v>0</v>
      </c>
      <c r="E1546">
        <v>0</v>
      </c>
      <c r="F1546">
        <v>-1.7763568394002501E-15</v>
      </c>
      <c r="G1546">
        <v>6.7801431317649223</v>
      </c>
      <c r="H1546">
        <v>13.9</v>
      </c>
      <c r="I1546">
        <v>36.297144418137393</v>
      </c>
      <c r="J1546">
        <v>32.340396563769353</v>
      </c>
      <c r="K1546">
        <v>1747.980763336682</v>
      </c>
      <c r="L1546">
        <v>1</v>
      </c>
      <c r="M1546" t="s">
        <v>66</v>
      </c>
    </row>
    <row r="1547" spans="1:13" x14ac:dyDescent="0.3">
      <c r="A1547" t="s">
        <v>15</v>
      </c>
      <c r="B1547" t="s">
        <v>31</v>
      </c>
      <c r="C1547">
        <v>115.91019174826189</v>
      </c>
      <c r="D1547">
        <v>4.5359680293134126</v>
      </c>
      <c r="E1547">
        <v>6.2999015158700802</v>
      </c>
      <c r="F1547">
        <v>17.905864461277389</v>
      </c>
      <c r="G1547">
        <v>5.4133894396314304</v>
      </c>
      <c r="H1547">
        <v>41.590740905790433</v>
      </c>
      <c r="I1547">
        <v>22.80824393569409</v>
      </c>
      <c r="J1547">
        <v>27.930371950184149</v>
      </c>
      <c r="K1547">
        <v>1802.392357927017</v>
      </c>
      <c r="L1547">
        <v>1</v>
      </c>
      <c r="M1547" t="s">
        <v>66</v>
      </c>
    </row>
    <row r="1548" spans="1:13" x14ac:dyDescent="0.3">
      <c r="A1548" t="s">
        <v>21</v>
      </c>
      <c r="B1548" t="s">
        <v>52</v>
      </c>
      <c r="C1548">
        <v>55.577158493154457</v>
      </c>
      <c r="D1548">
        <v>1.8808909914295009</v>
      </c>
      <c r="E1548">
        <v>2.6385094983597162</v>
      </c>
      <c r="F1548">
        <v>8.2444917715539656</v>
      </c>
      <c r="G1548">
        <v>6.4070373165058481</v>
      </c>
      <c r="H1548">
        <v>34.25743746703948</v>
      </c>
      <c r="I1548">
        <v>21.244983723088001</v>
      </c>
      <c r="J1548">
        <v>21.146683207091151</v>
      </c>
      <c r="K1548">
        <v>1227.1505510349659</v>
      </c>
      <c r="L1548">
        <v>1</v>
      </c>
      <c r="M1548" t="s">
        <v>66</v>
      </c>
    </row>
    <row r="1549" spans="1:13" x14ac:dyDescent="0.3">
      <c r="A1549" t="s">
        <v>15</v>
      </c>
      <c r="B1549" t="s">
        <v>32</v>
      </c>
      <c r="C1549">
        <v>45.883682548858943</v>
      </c>
      <c r="D1549">
        <v>1.9298335054120559</v>
      </c>
      <c r="E1549">
        <v>3.124552939497061</v>
      </c>
      <c r="F1549">
        <v>7.1618065052741411</v>
      </c>
      <c r="G1549">
        <v>6.2447010446272362</v>
      </c>
      <c r="H1549">
        <v>34.204756458759093</v>
      </c>
      <c r="I1549">
        <v>19.100448299468891</v>
      </c>
      <c r="J1549">
        <v>17.365088053000619</v>
      </c>
      <c r="K1549">
        <v>1860.1923726757379</v>
      </c>
      <c r="L1549">
        <v>1</v>
      </c>
      <c r="M1549" t="s">
        <v>66</v>
      </c>
    </row>
    <row r="1550" spans="1:13" x14ac:dyDescent="0.3">
      <c r="A1550" t="s">
        <v>15</v>
      </c>
      <c r="B1550" t="s">
        <v>32</v>
      </c>
      <c r="C1550">
        <v>7.4562874203158742</v>
      </c>
      <c r="D1550">
        <v>0</v>
      </c>
      <c r="E1550">
        <v>0</v>
      </c>
      <c r="F1550">
        <v>1.0652345652118049</v>
      </c>
      <c r="G1550">
        <v>6.6005927506525142</v>
      </c>
      <c r="H1550">
        <v>25.934577411589199</v>
      </c>
      <c r="I1550">
        <v>22.715283815218822</v>
      </c>
      <c r="J1550">
        <v>20.286111827282099</v>
      </c>
      <c r="K1550">
        <v>1609.367521607762</v>
      </c>
      <c r="L1550">
        <v>1</v>
      </c>
      <c r="M1550" t="s">
        <v>66</v>
      </c>
    </row>
    <row r="1551" spans="1:13" x14ac:dyDescent="0.3">
      <c r="A1551" t="s">
        <v>15</v>
      </c>
      <c r="B1551" t="s">
        <v>32</v>
      </c>
      <c r="C1551">
        <v>6.8432383530851553</v>
      </c>
      <c r="D1551">
        <v>0</v>
      </c>
      <c r="E1551">
        <v>0</v>
      </c>
      <c r="F1551">
        <v>0.9400973774875041</v>
      </c>
      <c r="G1551">
        <v>6.4734545348003758</v>
      </c>
      <c r="H1551">
        <v>26.830993336796691</v>
      </c>
      <c r="I1551">
        <v>23.178023037989131</v>
      </c>
      <c r="J1551">
        <v>19.784260325494159</v>
      </c>
      <c r="K1551">
        <v>1586.4570170741999</v>
      </c>
      <c r="L1551">
        <v>1</v>
      </c>
      <c r="M1551" t="s">
        <v>66</v>
      </c>
    </row>
    <row r="1552" spans="1:13" x14ac:dyDescent="0.3">
      <c r="A1552" t="s">
        <v>18</v>
      </c>
      <c r="B1552" t="s">
        <v>42</v>
      </c>
      <c r="C1552">
        <v>6.1593268914740804</v>
      </c>
      <c r="D1552">
        <v>0</v>
      </c>
      <c r="E1552">
        <v>0</v>
      </c>
      <c r="F1552">
        <v>-1.7763568394002501E-15</v>
      </c>
      <c r="G1552">
        <v>6.1026189056369349</v>
      </c>
      <c r="H1552">
        <v>21.58671172559179</v>
      </c>
      <c r="I1552">
        <v>21.179231704718589</v>
      </c>
      <c r="J1552">
        <v>25.953023101130668</v>
      </c>
      <c r="K1552">
        <v>1899.539038134646</v>
      </c>
      <c r="L1552">
        <v>1</v>
      </c>
      <c r="M1552" t="s">
        <v>66</v>
      </c>
    </row>
    <row r="1553" spans="1:13" x14ac:dyDescent="0.3">
      <c r="A1553" t="s">
        <v>18</v>
      </c>
      <c r="B1553" t="s">
        <v>41</v>
      </c>
      <c r="C1553">
        <v>113.83121838120709</v>
      </c>
      <c r="D1553">
        <v>6.4583588384037167</v>
      </c>
      <c r="E1553">
        <v>6.9031812767838527</v>
      </c>
      <c r="F1553">
        <v>16.19471978556787</v>
      </c>
      <c r="G1553">
        <v>4.3</v>
      </c>
      <c r="H1553">
        <v>56.763150635762827</v>
      </c>
      <c r="I1553">
        <v>20.226783667224939</v>
      </c>
      <c r="J1553">
        <v>20.607485814801901</v>
      </c>
      <c r="K1553">
        <v>1688.9920777682451</v>
      </c>
      <c r="L1553">
        <v>1</v>
      </c>
      <c r="M1553" t="s">
        <v>66</v>
      </c>
    </row>
    <row r="1554" spans="1:13" x14ac:dyDescent="0.3">
      <c r="A1554" t="s">
        <v>15</v>
      </c>
      <c r="B1554" t="s">
        <v>33</v>
      </c>
      <c r="C1554">
        <v>63.404952388222362</v>
      </c>
      <c r="D1554">
        <v>2.7843645212000321</v>
      </c>
      <c r="E1554">
        <v>4.184510306614861</v>
      </c>
      <c r="F1554">
        <v>9.4886257385546919</v>
      </c>
      <c r="G1554">
        <v>5.9517653390203886</v>
      </c>
      <c r="H1554">
        <v>34.618560869295358</v>
      </c>
      <c r="I1554">
        <v>20.7049531304332</v>
      </c>
      <c r="J1554">
        <v>17.363789594633211</v>
      </c>
      <c r="K1554">
        <v>1891.8283534487839</v>
      </c>
      <c r="L1554">
        <v>1</v>
      </c>
      <c r="M1554" t="s">
        <v>66</v>
      </c>
    </row>
    <row r="1555" spans="1:13" x14ac:dyDescent="0.3">
      <c r="A1555" t="s">
        <v>20</v>
      </c>
      <c r="B1555" t="s">
        <v>49</v>
      </c>
      <c r="C1555">
        <v>34.803950015185372</v>
      </c>
      <c r="D1555">
        <v>0.97710120149809976</v>
      </c>
      <c r="E1555">
        <v>1.987683825140266</v>
      </c>
      <c r="F1555">
        <v>5.8075080019777019</v>
      </c>
      <c r="G1555">
        <v>6.2355940051219818</v>
      </c>
      <c r="H1555">
        <v>15.7473275425082</v>
      </c>
      <c r="I1555">
        <v>32.727340850876523</v>
      </c>
      <c r="J1555">
        <v>25.18607767947584</v>
      </c>
      <c r="K1555">
        <v>1119.6249733702491</v>
      </c>
      <c r="L1555">
        <v>0</v>
      </c>
      <c r="M1555" t="s">
        <v>66</v>
      </c>
    </row>
    <row r="1556" spans="1:13" x14ac:dyDescent="0.3">
      <c r="A1556" t="s">
        <v>15</v>
      </c>
      <c r="B1556" t="s">
        <v>34</v>
      </c>
      <c r="C1556">
        <v>116.78105540932989</v>
      </c>
      <c r="D1556">
        <v>6.2121903639397571</v>
      </c>
      <c r="E1556">
        <v>7.2361741027385946</v>
      </c>
      <c r="F1556">
        <v>20.560362913940619</v>
      </c>
      <c r="G1556">
        <v>6.0104304706844172</v>
      </c>
      <c r="H1556">
        <v>30.695884005432951</v>
      </c>
      <c r="I1556">
        <v>24.001009845955629</v>
      </c>
      <c r="J1556">
        <v>18.880059076485811</v>
      </c>
      <c r="K1556">
        <v>2060.8086489077068</v>
      </c>
      <c r="L1556">
        <v>1</v>
      </c>
      <c r="M1556" t="s">
        <v>66</v>
      </c>
    </row>
    <row r="1557" spans="1:13" x14ac:dyDescent="0.3">
      <c r="A1557" t="s">
        <v>21</v>
      </c>
      <c r="B1557" t="s">
        <v>52</v>
      </c>
      <c r="C1557">
        <v>21.153231212720971</v>
      </c>
      <c r="D1557">
        <v>1.129012871196623</v>
      </c>
      <c r="E1557">
        <v>0.94397388305562835</v>
      </c>
      <c r="F1557">
        <v>2.7595897122423381</v>
      </c>
      <c r="G1557">
        <v>6.2863122897871788</v>
      </c>
      <c r="H1557">
        <v>50.237346470273053</v>
      </c>
      <c r="I1557">
        <v>21.60155068356406</v>
      </c>
      <c r="J1557">
        <v>21.89713885233035</v>
      </c>
      <c r="K1557">
        <v>1316.526897718292</v>
      </c>
      <c r="L1557">
        <v>1</v>
      </c>
      <c r="M1557" t="s">
        <v>66</v>
      </c>
    </row>
    <row r="1558" spans="1:13" x14ac:dyDescent="0.3">
      <c r="A1558" t="s">
        <v>18</v>
      </c>
      <c r="B1558" t="s">
        <v>43</v>
      </c>
      <c r="C1558">
        <v>29.352377051986711</v>
      </c>
      <c r="D1558">
        <v>1.074063242350503</v>
      </c>
      <c r="E1558">
        <v>2.1576001073906501</v>
      </c>
      <c r="F1558">
        <v>3.7506850927591242</v>
      </c>
      <c r="G1558">
        <v>5.7648840331761688</v>
      </c>
      <c r="H1558">
        <v>30.176109378143622</v>
      </c>
      <c r="I1558">
        <v>25.634088910696299</v>
      </c>
      <c r="J1558">
        <v>19.612173516943621</v>
      </c>
      <c r="K1558">
        <v>1911.518290103551</v>
      </c>
      <c r="L1558">
        <v>1</v>
      </c>
      <c r="M1558" t="s">
        <v>66</v>
      </c>
    </row>
    <row r="1559" spans="1:13" x14ac:dyDescent="0.3">
      <c r="A1559" t="s">
        <v>22</v>
      </c>
      <c r="B1559" t="s">
        <v>53</v>
      </c>
      <c r="C1559">
        <v>27.55094310834944</v>
      </c>
      <c r="D1559">
        <v>0.93689881488631421</v>
      </c>
      <c r="E1559">
        <v>1.103611406578852</v>
      </c>
      <c r="F1559">
        <v>3.5524054855128848</v>
      </c>
      <c r="G1559">
        <v>6.7020509427159753</v>
      </c>
      <c r="H1559">
        <v>54.580445199577952</v>
      </c>
      <c r="I1559">
        <v>20.74913242692547</v>
      </c>
      <c r="J1559">
        <v>20.149487804550951</v>
      </c>
      <c r="K1559">
        <v>1280.8054753433789</v>
      </c>
      <c r="L1559">
        <v>1</v>
      </c>
      <c r="M1559" t="s">
        <v>66</v>
      </c>
    </row>
    <row r="1560" spans="1:13" x14ac:dyDescent="0.3">
      <c r="A1560" t="s">
        <v>19</v>
      </c>
      <c r="B1560" t="s">
        <v>45</v>
      </c>
      <c r="C1560">
        <v>54.488824029622421</v>
      </c>
      <c r="D1560">
        <v>2.0192081424091399</v>
      </c>
      <c r="E1560">
        <v>2.6843849035222851</v>
      </c>
      <c r="F1560">
        <v>8.1932760028187239</v>
      </c>
      <c r="G1560">
        <v>6.0598168851743086</v>
      </c>
      <c r="H1560">
        <v>36.746463284645138</v>
      </c>
      <c r="I1560">
        <v>26.292974209369572</v>
      </c>
      <c r="J1560">
        <v>25.82841087707758</v>
      </c>
      <c r="K1560">
        <v>1491.4119728954461</v>
      </c>
      <c r="L1560">
        <v>1</v>
      </c>
      <c r="M1560" t="s">
        <v>66</v>
      </c>
    </row>
    <row r="1561" spans="1:13" x14ac:dyDescent="0.3">
      <c r="A1561" t="s">
        <v>18</v>
      </c>
      <c r="B1561" t="s">
        <v>43</v>
      </c>
      <c r="C1561">
        <v>29.471860259023611</v>
      </c>
      <c r="D1561">
        <v>0.82520821241614506</v>
      </c>
      <c r="E1561">
        <v>1.9707702381959911</v>
      </c>
      <c r="F1561">
        <v>4.8105158252261582</v>
      </c>
      <c r="G1561">
        <v>6.4428119233980476</v>
      </c>
      <c r="H1561">
        <v>20.902339124448609</v>
      </c>
      <c r="I1561">
        <v>23.802874857085708</v>
      </c>
      <c r="J1561">
        <v>19.83485580981996</v>
      </c>
      <c r="K1561">
        <v>1866.6721117619991</v>
      </c>
      <c r="L1561">
        <v>1</v>
      </c>
      <c r="M1561" t="s">
        <v>66</v>
      </c>
    </row>
    <row r="1562" spans="1:13" x14ac:dyDescent="0.3">
      <c r="A1562" t="s">
        <v>24</v>
      </c>
      <c r="B1562" t="s">
        <v>59</v>
      </c>
      <c r="C1562">
        <v>290.24379496505082</v>
      </c>
      <c r="D1562">
        <v>15.35617747395939</v>
      </c>
      <c r="E1562">
        <v>24.65068205464042</v>
      </c>
      <c r="F1562">
        <v>44.260842733203141</v>
      </c>
      <c r="G1562">
        <v>5.1838487104942477</v>
      </c>
      <c r="H1562">
        <v>84.736976054534736</v>
      </c>
      <c r="I1562">
        <v>30.715017190564211</v>
      </c>
      <c r="J1562">
        <v>30.042730550205039</v>
      </c>
      <c r="K1562">
        <v>11</v>
      </c>
      <c r="L1562">
        <v>-1</v>
      </c>
      <c r="M1562" t="s">
        <v>66</v>
      </c>
    </row>
    <row r="1563" spans="1:13" x14ac:dyDescent="0.3">
      <c r="A1563" t="s">
        <v>15</v>
      </c>
      <c r="B1563" t="s">
        <v>31</v>
      </c>
      <c r="C1563">
        <v>123.85828267631111</v>
      </c>
      <c r="D1563">
        <v>5.5329394445080009</v>
      </c>
      <c r="E1563">
        <v>8.0096236865483021</v>
      </c>
      <c r="F1563">
        <v>17.056047140597251</v>
      </c>
      <c r="G1563">
        <v>5.7389669316435112</v>
      </c>
      <c r="H1563">
        <v>45.561331945621951</v>
      </c>
      <c r="I1563">
        <v>23.24263877165658</v>
      </c>
      <c r="J1563">
        <v>25.564530041543382</v>
      </c>
      <c r="K1563">
        <v>1811.339429384765</v>
      </c>
      <c r="L1563">
        <v>1</v>
      </c>
      <c r="M1563" t="s">
        <v>66</v>
      </c>
    </row>
    <row r="1564" spans="1:13" x14ac:dyDescent="0.3">
      <c r="A1564" t="s">
        <v>25</v>
      </c>
      <c r="B1564" t="s">
        <v>62</v>
      </c>
      <c r="C1564">
        <v>605.38027542568193</v>
      </c>
      <c r="D1564">
        <v>28.680208558838721</v>
      </c>
      <c r="E1564">
        <v>43.203330573919693</v>
      </c>
      <c r="F1564">
        <v>97.499975598279036</v>
      </c>
      <c r="G1564">
        <v>4.388211111634444</v>
      </c>
      <c r="H1564">
        <v>88.4</v>
      </c>
      <c r="I1564">
        <v>27.337816338607329</v>
      </c>
      <c r="J1564">
        <v>23.50894982235711</v>
      </c>
      <c r="K1564">
        <v>740.46523471907653</v>
      </c>
      <c r="L1564">
        <v>0</v>
      </c>
      <c r="M1564" t="s">
        <v>66</v>
      </c>
    </row>
    <row r="1565" spans="1:13" x14ac:dyDescent="0.3">
      <c r="A1565" t="s">
        <v>15</v>
      </c>
      <c r="B1565" t="s">
        <v>33</v>
      </c>
      <c r="C1565">
        <v>88.418386640762876</v>
      </c>
      <c r="D1565">
        <v>3.9515805673031852</v>
      </c>
      <c r="E1565">
        <v>5.8704256593910653</v>
      </c>
      <c r="F1565">
        <v>13.21281528733768</v>
      </c>
      <c r="G1565">
        <v>6.2748860901837924</v>
      </c>
      <c r="H1565">
        <v>32.403204267428649</v>
      </c>
      <c r="I1565">
        <v>19.013198620433158</v>
      </c>
      <c r="J1565">
        <v>18.846471956923089</v>
      </c>
      <c r="K1565">
        <v>2117.491875248199</v>
      </c>
      <c r="L1565">
        <v>1</v>
      </c>
      <c r="M1565" t="s">
        <v>66</v>
      </c>
    </row>
    <row r="1566" spans="1:13" x14ac:dyDescent="0.3">
      <c r="A1566" t="s">
        <v>21</v>
      </c>
      <c r="B1566" t="s">
        <v>52</v>
      </c>
      <c r="C1566">
        <v>54.353496396961297</v>
      </c>
      <c r="D1566">
        <v>1.902059313202789</v>
      </c>
      <c r="E1566">
        <v>3.0002084869394379</v>
      </c>
      <c r="F1566">
        <v>8.4472699789346297</v>
      </c>
      <c r="G1566">
        <v>6.3647860468921973</v>
      </c>
      <c r="H1566">
        <v>35.593004169343779</v>
      </c>
      <c r="I1566">
        <v>21.713756071891471</v>
      </c>
      <c r="J1566">
        <v>19.775333457563981</v>
      </c>
      <c r="K1566">
        <v>1278.8877990318831</v>
      </c>
      <c r="L1566">
        <v>1</v>
      </c>
      <c r="M1566" t="s">
        <v>66</v>
      </c>
    </row>
    <row r="1567" spans="1:13" x14ac:dyDescent="0.3">
      <c r="A1567" t="s">
        <v>22</v>
      </c>
      <c r="B1567" t="s">
        <v>53</v>
      </c>
      <c r="C1567">
        <v>180.31011095129639</v>
      </c>
      <c r="D1567">
        <v>8.7309749982368743</v>
      </c>
      <c r="E1567">
        <v>12.460017172292559</v>
      </c>
      <c r="F1567">
        <v>32.673967282506773</v>
      </c>
      <c r="G1567">
        <v>6.3861098634526554</v>
      </c>
      <c r="H1567">
        <v>36.6766654758191</v>
      </c>
      <c r="I1567">
        <v>23.863184951966812</v>
      </c>
      <c r="J1567">
        <v>22.471342368169552</v>
      </c>
      <c r="K1567">
        <v>1314.057218337869</v>
      </c>
      <c r="L1567">
        <v>1</v>
      </c>
      <c r="M1567" t="s">
        <v>66</v>
      </c>
    </row>
    <row r="1568" spans="1:13" x14ac:dyDescent="0.3">
      <c r="A1568" t="s">
        <v>19</v>
      </c>
      <c r="B1568" t="s">
        <v>47</v>
      </c>
      <c r="C1568">
        <v>30.71768730275971</v>
      </c>
      <c r="D1568">
        <v>1.0368513076921491</v>
      </c>
      <c r="E1568">
        <v>2.1102961891069358</v>
      </c>
      <c r="F1568">
        <v>4.5987884859807</v>
      </c>
      <c r="G1568">
        <v>6.1832609152269846</v>
      </c>
      <c r="H1568">
        <v>21.985207202987372</v>
      </c>
      <c r="I1568">
        <v>30.13711201272265</v>
      </c>
      <c r="J1568">
        <v>25.981440758887949</v>
      </c>
      <c r="K1568">
        <v>760.80727327336251</v>
      </c>
      <c r="L1568">
        <v>-1</v>
      </c>
      <c r="M1568" t="s">
        <v>66</v>
      </c>
    </row>
    <row r="1569" spans="1:13" x14ac:dyDescent="0.3">
      <c r="A1569" t="s">
        <v>19</v>
      </c>
      <c r="B1569" t="s">
        <v>44</v>
      </c>
      <c r="C1569">
        <v>49.128049007269908</v>
      </c>
      <c r="D1569">
        <v>2.2248413597496839</v>
      </c>
      <c r="E1569">
        <v>2.7324684599171158</v>
      </c>
      <c r="F1569">
        <v>7.9885950852543983</v>
      </c>
      <c r="G1569">
        <v>6.2304110849233174</v>
      </c>
      <c r="H1569">
        <v>24.530771430634001</v>
      </c>
      <c r="I1569">
        <v>18.559256612668399</v>
      </c>
      <c r="J1569">
        <v>28.726276156342099</v>
      </c>
      <c r="K1569">
        <v>2194.444007932058</v>
      </c>
      <c r="L1569">
        <v>1</v>
      </c>
      <c r="M1569" t="s">
        <v>66</v>
      </c>
    </row>
    <row r="1570" spans="1:13" x14ac:dyDescent="0.3">
      <c r="A1570" t="s">
        <v>19</v>
      </c>
      <c r="B1570" t="s">
        <v>44</v>
      </c>
      <c r="C1570">
        <v>43.511249603146027</v>
      </c>
      <c r="D1570">
        <v>1.1545826733215689</v>
      </c>
      <c r="E1570">
        <v>1.9326732409964389</v>
      </c>
      <c r="F1570">
        <v>6.5901647759581117</v>
      </c>
      <c r="G1570">
        <v>6.1409801622789351</v>
      </c>
      <c r="H1570">
        <v>26.31533624928716</v>
      </c>
      <c r="I1570">
        <v>19.879848224359321</v>
      </c>
      <c r="J1570">
        <v>19.17166930811554</v>
      </c>
      <c r="K1570">
        <v>1906.4918574454539</v>
      </c>
      <c r="L1570">
        <v>1</v>
      </c>
      <c r="M1570" t="s">
        <v>66</v>
      </c>
    </row>
    <row r="1571" spans="1:13" x14ac:dyDescent="0.3">
      <c r="A1571" t="s">
        <v>24</v>
      </c>
      <c r="B1571" t="s">
        <v>58</v>
      </c>
      <c r="C1571">
        <v>28.101747784550511</v>
      </c>
      <c r="D1571">
        <v>0.92173312519757378</v>
      </c>
      <c r="E1571">
        <v>2.2446183948136049</v>
      </c>
      <c r="F1571">
        <v>3.872494854826694</v>
      </c>
      <c r="G1571">
        <v>6.8569289423825586</v>
      </c>
      <c r="H1571">
        <v>34.075733927120623</v>
      </c>
      <c r="I1571">
        <v>26.186077415132718</v>
      </c>
      <c r="J1571">
        <v>21.98592821201666</v>
      </c>
      <c r="K1571">
        <v>749.69871874837486</v>
      </c>
      <c r="L1571">
        <v>0</v>
      </c>
      <c r="M1571" t="s">
        <v>66</v>
      </c>
    </row>
    <row r="1572" spans="1:13" x14ac:dyDescent="0.3">
      <c r="A1572" t="s">
        <v>20</v>
      </c>
      <c r="B1572" t="s">
        <v>49</v>
      </c>
      <c r="C1572">
        <v>85.690067821574857</v>
      </c>
      <c r="D1572">
        <v>3.3339298638340318</v>
      </c>
      <c r="E1572">
        <v>5.0739506105170467</v>
      </c>
      <c r="F1572">
        <v>16.594436010050231</v>
      </c>
      <c r="G1572">
        <v>5.5039383936763251</v>
      </c>
      <c r="H1572">
        <v>29.651699780204641</v>
      </c>
      <c r="I1572">
        <v>20.979096579879752</v>
      </c>
      <c r="J1572">
        <v>21.48818430771588</v>
      </c>
      <c r="K1572">
        <v>1749.4262202274019</v>
      </c>
      <c r="L1572">
        <v>1</v>
      </c>
      <c r="M1572" t="s">
        <v>66</v>
      </c>
    </row>
    <row r="1573" spans="1:13" x14ac:dyDescent="0.3">
      <c r="A1573" t="s">
        <v>19</v>
      </c>
      <c r="B1573" t="s">
        <v>48</v>
      </c>
      <c r="C1573">
        <v>56.646588435823212</v>
      </c>
      <c r="D1573">
        <v>2.992495620931102</v>
      </c>
      <c r="E1573">
        <v>3.8879248354935179</v>
      </c>
      <c r="F1573">
        <v>9.1669522211208196</v>
      </c>
      <c r="G1573">
        <v>6.2462112830562369</v>
      </c>
      <c r="H1573">
        <v>17.272860555978781</v>
      </c>
      <c r="I1573">
        <v>31.49673190351519</v>
      </c>
      <c r="J1573">
        <v>25.367288766554431</v>
      </c>
      <c r="K1573">
        <v>1131.222379275629</v>
      </c>
      <c r="L1573">
        <v>0</v>
      </c>
      <c r="M1573" t="s">
        <v>66</v>
      </c>
    </row>
    <row r="1574" spans="1:13" x14ac:dyDescent="0.3">
      <c r="A1574" t="s">
        <v>15</v>
      </c>
      <c r="B1574" t="s">
        <v>33</v>
      </c>
      <c r="C1574">
        <v>69.812918673319928</v>
      </c>
      <c r="D1574">
        <v>3.035946426783211</v>
      </c>
      <c r="E1574">
        <v>4.6867435127216552</v>
      </c>
      <c r="F1574">
        <v>12.96871379588001</v>
      </c>
      <c r="G1574">
        <v>5.3960424152040316</v>
      </c>
      <c r="H1574">
        <v>30.862172966290341</v>
      </c>
      <c r="I1574">
        <v>16.459029031544169</v>
      </c>
      <c r="J1574">
        <v>18.399176371176551</v>
      </c>
      <c r="K1574">
        <v>1912.2667885750391</v>
      </c>
      <c r="L1574">
        <v>1</v>
      </c>
      <c r="M1574" t="s">
        <v>66</v>
      </c>
    </row>
    <row r="1575" spans="1:13" x14ac:dyDescent="0.3">
      <c r="A1575" t="s">
        <v>20</v>
      </c>
      <c r="B1575" t="s">
        <v>50</v>
      </c>
      <c r="C1575">
        <v>45.617076415547388</v>
      </c>
      <c r="D1575">
        <v>1.5414367381774641</v>
      </c>
      <c r="E1575">
        <v>2.4396447678446251</v>
      </c>
      <c r="F1575">
        <v>6.9049710391523362</v>
      </c>
      <c r="G1575">
        <v>6.2436953918120919</v>
      </c>
      <c r="H1575">
        <v>36.806550823561011</v>
      </c>
      <c r="I1575">
        <v>24.266315978885121</v>
      </c>
      <c r="J1575">
        <v>20.35718775401471</v>
      </c>
      <c r="K1575">
        <v>1594.927273208546</v>
      </c>
      <c r="L1575">
        <v>1</v>
      </c>
      <c r="M1575" t="s">
        <v>66</v>
      </c>
    </row>
    <row r="1576" spans="1:13" x14ac:dyDescent="0.3">
      <c r="A1576" t="s">
        <v>19</v>
      </c>
      <c r="B1576" t="s">
        <v>44</v>
      </c>
      <c r="C1576">
        <v>43.086903381351441</v>
      </c>
      <c r="D1576">
        <v>2.163226810213327</v>
      </c>
      <c r="E1576">
        <v>1.8960954554076961</v>
      </c>
      <c r="F1576">
        <v>7.3881836923787727</v>
      </c>
      <c r="G1576">
        <v>4.7664243259876624</v>
      </c>
      <c r="H1576">
        <v>38.562238469022432</v>
      </c>
      <c r="I1576">
        <v>17.51187260253116</v>
      </c>
      <c r="J1576">
        <v>19.270397234084591</v>
      </c>
      <c r="K1576">
        <v>1983.617015523311</v>
      </c>
      <c r="L1576">
        <v>1</v>
      </c>
      <c r="M1576" t="s">
        <v>66</v>
      </c>
    </row>
    <row r="1577" spans="1:13" x14ac:dyDescent="0.3">
      <c r="A1577" t="s">
        <v>22</v>
      </c>
      <c r="B1577" t="s">
        <v>53</v>
      </c>
      <c r="C1577">
        <v>24.966180722695999</v>
      </c>
      <c r="D1577">
        <v>0.69335160379932592</v>
      </c>
      <c r="E1577">
        <v>0.98868184809818871</v>
      </c>
      <c r="F1577">
        <v>3.5755131241370179</v>
      </c>
      <c r="G1577">
        <v>7.0237941908891486</v>
      </c>
      <c r="H1577">
        <v>55.301533567086587</v>
      </c>
      <c r="I1577">
        <v>20.80003383664241</v>
      </c>
      <c r="J1577">
        <v>21.36596687641654</v>
      </c>
      <c r="K1577">
        <v>1293.1766619819141</v>
      </c>
      <c r="L1577">
        <v>1</v>
      </c>
      <c r="M1577" t="s">
        <v>66</v>
      </c>
    </row>
    <row r="1578" spans="1:13" x14ac:dyDescent="0.3">
      <c r="A1578" t="s">
        <v>16</v>
      </c>
      <c r="B1578" t="s">
        <v>36</v>
      </c>
      <c r="C1578">
        <v>21.394817487834231</v>
      </c>
      <c r="D1578">
        <v>1.0805629661345291</v>
      </c>
      <c r="E1578">
        <v>1.08240395000778</v>
      </c>
      <c r="F1578">
        <v>2.9704222930809929</v>
      </c>
      <c r="G1578">
        <v>6.3563344916862796</v>
      </c>
      <c r="H1578">
        <v>25.424647270407519</v>
      </c>
      <c r="I1578">
        <v>22.484177235762079</v>
      </c>
      <c r="J1578">
        <v>22.459175097249538</v>
      </c>
      <c r="K1578">
        <v>1695.6139432218431</v>
      </c>
      <c r="L1578">
        <v>1</v>
      </c>
      <c r="M1578" t="s">
        <v>66</v>
      </c>
    </row>
    <row r="1579" spans="1:13" x14ac:dyDescent="0.3">
      <c r="A1579" t="s">
        <v>24</v>
      </c>
      <c r="B1579" t="s">
        <v>57</v>
      </c>
      <c r="C1579">
        <v>67.485762258707666</v>
      </c>
      <c r="D1579">
        <v>2.8458832999416579</v>
      </c>
      <c r="E1579">
        <v>3.7694181036999979</v>
      </c>
      <c r="F1579">
        <v>11.5988707917222</v>
      </c>
      <c r="G1579">
        <v>6.245569047453718</v>
      </c>
      <c r="H1579">
        <v>18.946428831644599</v>
      </c>
      <c r="I1579">
        <v>21.791695494851002</v>
      </c>
      <c r="J1579">
        <v>20.940746244088739</v>
      </c>
      <c r="K1579">
        <v>1618.845546865917</v>
      </c>
      <c r="L1579">
        <v>1</v>
      </c>
      <c r="M1579" t="s">
        <v>66</v>
      </c>
    </row>
    <row r="1580" spans="1:13" x14ac:dyDescent="0.3">
      <c r="A1580" t="s">
        <v>24</v>
      </c>
      <c r="B1580" t="s">
        <v>61</v>
      </c>
      <c r="C1580">
        <v>133.34066945404041</v>
      </c>
      <c r="D1580">
        <v>4.952341283061652</v>
      </c>
      <c r="E1580">
        <v>9.4460128110961286</v>
      </c>
      <c r="F1580">
        <v>20.665471994601141</v>
      </c>
      <c r="G1580">
        <v>6.2228008738386658</v>
      </c>
      <c r="H1580">
        <v>20.875596055310659</v>
      </c>
      <c r="I1580">
        <v>29.097889060690779</v>
      </c>
      <c r="J1580">
        <v>30.814178254885778</v>
      </c>
      <c r="K1580">
        <v>48.597298683547017</v>
      </c>
      <c r="L1580">
        <v>-1</v>
      </c>
      <c r="M1580" t="s">
        <v>66</v>
      </c>
    </row>
    <row r="1581" spans="1:13" x14ac:dyDescent="0.3">
      <c r="A1581" t="s">
        <v>19</v>
      </c>
      <c r="B1581" t="s">
        <v>44</v>
      </c>
      <c r="C1581">
        <v>40.606930372637862</v>
      </c>
      <c r="D1581">
        <v>0.953197443805053</v>
      </c>
      <c r="E1581">
        <v>2.1183086884266462</v>
      </c>
      <c r="F1581">
        <v>6.5931390071596603</v>
      </c>
      <c r="G1581">
        <v>5.4169312153713847</v>
      </c>
      <c r="H1581">
        <v>28.79870791260344</v>
      </c>
      <c r="I1581">
        <v>16.15160113371185</v>
      </c>
      <c r="J1581">
        <v>20.364870670575769</v>
      </c>
      <c r="K1581">
        <v>1737.847092086248</v>
      </c>
      <c r="L1581">
        <v>1</v>
      </c>
      <c r="M1581" t="s">
        <v>66</v>
      </c>
    </row>
    <row r="1582" spans="1:13" x14ac:dyDescent="0.3">
      <c r="A1582" t="s">
        <v>15</v>
      </c>
      <c r="B1582" t="s">
        <v>33</v>
      </c>
      <c r="C1582">
        <v>66.959066303612957</v>
      </c>
      <c r="D1582">
        <v>3.3086224352427931</v>
      </c>
      <c r="E1582">
        <v>3.9313769295673171</v>
      </c>
      <c r="F1582">
        <v>9.3994328063051249</v>
      </c>
      <c r="G1582">
        <v>5.6559460375434698</v>
      </c>
      <c r="H1582">
        <v>35.115664672840843</v>
      </c>
      <c r="I1582">
        <v>19.770983962346559</v>
      </c>
      <c r="J1582">
        <v>18.014862850120689</v>
      </c>
      <c r="K1582">
        <v>1806.722448483903</v>
      </c>
      <c r="L1582">
        <v>1</v>
      </c>
      <c r="M1582" t="s">
        <v>66</v>
      </c>
    </row>
    <row r="1583" spans="1:13" x14ac:dyDescent="0.3">
      <c r="A1583" t="s">
        <v>17</v>
      </c>
      <c r="B1583" t="s">
        <v>39</v>
      </c>
      <c r="C1583">
        <v>18.154456916624611</v>
      </c>
      <c r="D1583">
        <v>0</v>
      </c>
      <c r="E1583">
        <v>0.98632269167329945</v>
      </c>
      <c r="F1583">
        <v>2.70163848891108</v>
      </c>
      <c r="G1583">
        <v>5.3514318798601552</v>
      </c>
      <c r="H1583">
        <v>26.57931231598387</v>
      </c>
      <c r="I1583">
        <v>20.470533609402519</v>
      </c>
      <c r="J1583">
        <v>21.50568522610503</v>
      </c>
      <c r="K1583">
        <v>2078.8211014431581</v>
      </c>
      <c r="L1583">
        <v>1</v>
      </c>
      <c r="M1583" t="s">
        <v>66</v>
      </c>
    </row>
    <row r="1584" spans="1:13" x14ac:dyDescent="0.3">
      <c r="A1584" t="s">
        <v>16</v>
      </c>
      <c r="B1584" t="s">
        <v>35</v>
      </c>
      <c r="C1584">
        <v>90.033961661667988</v>
      </c>
      <c r="D1584">
        <v>4.3355821912780286</v>
      </c>
      <c r="E1584">
        <v>5.864974311148611</v>
      </c>
      <c r="F1584">
        <v>12.08998365343068</v>
      </c>
      <c r="G1584">
        <v>6.2858311281740704</v>
      </c>
      <c r="H1584">
        <v>40.596752754604218</v>
      </c>
      <c r="I1584">
        <v>21.138234754595619</v>
      </c>
      <c r="J1584">
        <v>28.6760812280774</v>
      </c>
      <c r="K1584">
        <v>2094.2999600769222</v>
      </c>
      <c r="L1584">
        <v>1</v>
      </c>
      <c r="M1584" t="s">
        <v>66</v>
      </c>
    </row>
    <row r="1585" spans="1:13" x14ac:dyDescent="0.3">
      <c r="A1585" t="s">
        <v>15</v>
      </c>
      <c r="B1585" t="s">
        <v>32</v>
      </c>
      <c r="C1585">
        <v>6.5579169584577386</v>
      </c>
      <c r="D1585">
        <v>0</v>
      </c>
      <c r="E1585">
        <v>0</v>
      </c>
      <c r="F1585">
        <v>1.097097845537121</v>
      </c>
      <c r="G1585">
        <v>6.6710860961006464</v>
      </c>
      <c r="H1585">
        <v>25.39905340242905</v>
      </c>
      <c r="I1585">
        <v>22.236758663756</v>
      </c>
      <c r="J1585">
        <v>20.920443964271211</v>
      </c>
      <c r="K1585">
        <v>1581.0879471426369</v>
      </c>
      <c r="L1585">
        <v>1</v>
      </c>
      <c r="M1585" t="s">
        <v>66</v>
      </c>
    </row>
    <row r="1586" spans="1:13" x14ac:dyDescent="0.3">
      <c r="A1586" t="s">
        <v>24</v>
      </c>
      <c r="B1586" t="s">
        <v>57</v>
      </c>
      <c r="C1586">
        <v>54.460886503801973</v>
      </c>
      <c r="D1586">
        <v>2.072904180637773</v>
      </c>
      <c r="E1586">
        <v>3.27000083591596</v>
      </c>
      <c r="F1586">
        <v>8.5949168771582229</v>
      </c>
      <c r="G1586">
        <v>5.6678622775970364</v>
      </c>
      <c r="H1586">
        <v>51.65615530675953</v>
      </c>
      <c r="I1586">
        <v>24.170813250938039</v>
      </c>
      <c r="J1586">
        <v>21.656854899217599</v>
      </c>
      <c r="K1586">
        <v>737.48926244875395</v>
      </c>
      <c r="L1586">
        <v>0</v>
      </c>
      <c r="M1586" t="s">
        <v>66</v>
      </c>
    </row>
    <row r="1587" spans="1:13" x14ac:dyDescent="0.3">
      <c r="A1587" t="s">
        <v>22</v>
      </c>
      <c r="B1587" t="s">
        <v>53</v>
      </c>
      <c r="C1587">
        <v>340.14307300962179</v>
      </c>
      <c r="D1587">
        <v>17.191098675234109</v>
      </c>
      <c r="E1587">
        <v>22.716064891434389</v>
      </c>
      <c r="F1587">
        <v>48.045037219483788</v>
      </c>
      <c r="G1587">
        <v>6.2951928140978914</v>
      </c>
      <c r="H1587">
        <v>33.714704603157763</v>
      </c>
      <c r="I1587">
        <v>24.833161470663178</v>
      </c>
      <c r="J1587">
        <v>21.310208632650021</v>
      </c>
      <c r="K1587">
        <v>1364.5831109607111</v>
      </c>
      <c r="L1587">
        <v>1</v>
      </c>
      <c r="M1587" t="s">
        <v>66</v>
      </c>
    </row>
    <row r="1588" spans="1:13" x14ac:dyDescent="0.3">
      <c r="A1588" t="s">
        <v>17</v>
      </c>
      <c r="B1588" t="s">
        <v>39</v>
      </c>
      <c r="C1588">
        <v>27.457409927637709</v>
      </c>
      <c r="D1588">
        <v>0.83642934186957207</v>
      </c>
      <c r="E1588">
        <v>0.99962208049143086</v>
      </c>
      <c r="F1588">
        <v>4.3608301889309828</v>
      </c>
      <c r="G1588">
        <v>5.9639196667880388</v>
      </c>
      <c r="H1588">
        <v>19.81398918133246</v>
      </c>
      <c r="I1588">
        <v>20.05877371566983</v>
      </c>
      <c r="J1588">
        <v>26.8539414359552</v>
      </c>
      <c r="K1588">
        <v>2090.9238052864239</v>
      </c>
      <c r="L1588">
        <v>1</v>
      </c>
      <c r="M1588" t="s">
        <v>66</v>
      </c>
    </row>
    <row r="1589" spans="1:13" x14ac:dyDescent="0.3">
      <c r="A1589" t="s">
        <v>19</v>
      </c>
      <c r="B1589" t="s">
        <v>44</v>
      </c>
      <c r="C1589">
        <v>11.715507994901969</v>
      </c>
      <c r="D1589">
        <v>0</v>
      </c>
      <c r="E1589">
        <v>0</v>
      </c>
      <c r="F1589">
        <v>1.0922919756304099</v>
      </c>
      <c r="G1589">
        <v>6.5190840590559453</v>
      </c>
      <c r="H1589">
        <v>24.314765418213909</v>
      </c>
      <c r="I1589">
        <v>19.504946049830519</v>
      </c>
      <c r="J1589">
        <v>29.805116230072361</v>
      </c>
      <c r="K1589">
        <v>2247.1788174728849</v>
      </c>
      <c r="L1589">
        <v>1</v>
      </c>
      <c r="M1589" t="s">
        <v>66</v>
      </c>
    </row>
    <row r="1590" spans="1:13" x14ac:dyDescent="0.3">
      <c r="A1590" t="s">
        <v>22</v>
      </c>
      <c r="B1590" t="s">
        <v>55</v>
      </c>
      <c r="C1590">
        <v>7.0891417585461483</v>
      </c>
      <c r="D1590">
        <v>0</v>
      </c>
      <c r="E1590">
        <v>0</v>
      </c>
      <c r="F1590">
        <v>1.1008397422995331</v>
      </c>
      <c r="G1590">
        <v>6.2123645332721482</v>
      </c>
      <c r="H1590">
        <v>24.602950649009699</v>
      </c>
      <c r="I1590">
        <v>18.324206992087809</v>
      </c>
      <c r="J1590">
        <v>16.692153188474339</v>
      </c>
      <c r="K1590">
        <v>1730.3668595522811</v>
      </c>
      <c r="L1590">
        <v>1</v>
      </c>
      <c r="M1590" t="s">
        <v>66</v>
      </c>
    </row>
    <row r="1591" spans="1:13" x14ac:dyDescent="0.3">
      <c r="A1591" t="s">
        <v>19</v>
      </c>
      <c r="B1591" t="s">
        <v>47</v>
      </c>
      <c r="C1591">
        <v>70.505311246523348</v>
      </c>
      <c r="D1591">
        <v>2.9284316777068908</v>
      </c>
      <c r="E1591">
        <v>5.5133441322388146</v>
      </c>
      <c r="F1591">
        <v>9.7113233916285022</v>
      </c>
      <c r="G1591">
        <v>6.5550267701887703</v>
      </c>
      <c r="H1591">
        <v>15.98357316584166</v>
      </c>
      <c r="I1591">
        <v>26.450503415029889</v>
      </c>
      <c r="J1591">
        <v>24.87592990684487</v>
      </c>
      <c r="K1591">
        <v>684.55058000359179</v>
      </c>
      <c r="L1591">
        <v>1</v>
      </c>
      <c r="M1591" t="s">
        <v>66</v>
      </c>
    </row>
    <row r="1592" spans="1:13" x14ac:dyDescent="0.3">
      <c r="A1592" t="s">
        <v>24</v>
      </c>
      <c r="B1592" t="s">
        <v>60</v>
      </c>
      <c r="C1592">
        <v>574.82196116412115</v>
      </c>
      <c r="D1592">
        <v>32.192176171294811</v>
      </c>
      <c r="E1592">
        <v>44.173465397985012</v>
      </c>
      <c r="F1592">
        <v>92.270662933180233</v>
      </c>
      <c r="G1592">
        <v>6.3920041297676251</v>
      </c>
      <c r="H1592">
        <v>79.548185415620964</v>
      </c>
      <c r="I1592">
        <v>31.866365366855781</v>
      </c>
      <c r="J1592">
        <v>31.5171002805969</v>
      </c>
      <c r="K1592">
        <v>11</v>
      </c>
      <c r="L1592">
        <v>-1</v>
      </c>
      <c r="M1592" t="s">
        <v>66</v>
      </c>
    </row>
    <row r="1593" spans="1:13" x14ac:dyDescent="0.3">
      <c r="A1593" t="s">
        <v>17</v>
      </c>
      <c r="B1593" t="s">
        <v>39</v>
      </c>
      <c r="C1593">
        <v>18.054724796924521</v>
      </c>
      <c r="D1593">
        <v>0</v>
      </c>
      <c r="E1593">
        <v>0.96439402728116441</v>
      </c>
      <c r="F1593">
        <v>2.311920265690723</v>
      </c>
      <c r="G1593">
        <v>5.3147993663081747</v>
      </c>
      <c r="H1593">
        <v>21.77432767296305</v>
      </c>
      <c r="I1593">
        <v>20.543623351702109</v>
      </c>
      <c r="J1593">
        <v>27.033255588852128</v>
      </c>
      <c r="K1593">
        <v>2212.5001865792678</v>
      </c>
      <c r="L1593">
        <v>1</v>
      </c>
      <c r="M1593" t="s">
        <v>66</v>
      </c>
    </row>
    <row r="1594" spans="1:13" x14ac:dyDescent="0.3">
      <c r="A1594" t="s">
        <v>18</v>
      </c>
      <c r="B1594" t="s">
        <v>41</v>
      </c>
      <c r="C1594">
        <v>12.610945944883509</v>
      </c>
      <c r="D1594">
        <v>0</v>
      </c>
      <c r="E1594">
        <v>0</v>
      </c>
      <c r="F1594">
        <v>0.84891347400805373</v>
      </c>
      <c r="G1594">
        <v>6.2715095908659464</v>
      </c>
      <c r="H1594">
        <v>19.602196300929329</v>
      </c>
      <c r="I1594">
        <v>19.78408940233729</v>
      </c>
      <c r="J1594">
        <v>19.00504842729957</v>
      </c>
      <c r="K1594">
        <v>1823.334894123343</v>
      </c>
      <c r="L1594">
        <v>1</v>
      </c>
      <c r="M1594" t="s">
        <v>66</v>
      </c>
    </row>
    <row r="1595" spans="1:13" x14ac:dyDescent="0.3">
      <c r="A1595" t="s">
        <v>16</v>
      </c>
      <c r="B1595" t="s">
        <v>36</v>
      </c>
      <c r="C1595">
        <v>57.222358203909749</v>
      </c>
      <c r="D1595">
        <v>2.1934042950296648</v>
      </c>
      <c r="E1595">
        <v>2.8080591974422049</v>
      </c>
      <c r="F1595">
        <v>9.3374315232447582</v>
      </c>
      <c r="G1595">
        <v>4.9242894467281921</v>
      </c>
      <c r="H1595">
        <v>35.371398719988953</v>
      </c>
      <c r="I1595">
        <v>23.540653146450399</v>
      </c>
      <c r="J1595">
        <v>25.328378421061871</v>
      </c>
      <c r="K1595">
        <v>2035.793659418666</v>
      </c>
      <c r="L1595">
        <v>1</v>
      </c>
      <c r="M1595" t="s">
        <v>66</v>
      </c>
    </row>
    <row r="1596" spans="1:13" x14ac:dyDescent="0.3">
      <c r="A1596" t="s">
        <v>19</v>
      </c>
      <c r="B1596" t="s">
        <v>45</v>
      </c>
      <c r="C1596">
        <v>20.619997678026952</v>
      </c>
      <c r="D1596">
        <v>1.1320334400440351</v>
      </c>
      <c r="E1596">
        <v>1.043962781186687</v>
      </c>
      <c r="F1596">
        <v>2.271398728777704</v>
      </c>
      <c r="G1596">
        <v>6.2930444990970402</v>
      </c>
      <c r="H1596">
        <v>18.369450626941511</v>
      </c>
      <c r="I1596">
        <v>30.807351262204289</v>
      </c>
      <c r="J1596">
        <v>24.97015217766641</v>
      </c>
      <c r="K1596">
        <v>1292.547021428979</v>
      </c>
      <c r="L1596">
        <v>0</v>
      </c>
      <c r="M1596" t="s">
        <v>66</v>
      </c>
    </row>
    <row r="1597" spans="1:13" x14ac:dyDescent="0.3">
      <c r="A1597" t="s">
        <v>20</v>
      </c>
      <c r="B1597" t="s">
        <v>51</v>
      </c>
      <c r="C1597">
        <v>66.87535168032899</v>
      </c>
      <c r="D1597">
        <v>3.239735030198851</v>
      </c>
      <c r="E1597">
        <v>3.779364026248599</v>
      </c>
      <c r="F1597">
        <v>12.38062703086325</v>
      </c>
      <c r="G1597">
        <v>6.7593375802545523</v>
      </c>
      <c r="H1597">
        <v>27.579132687464629</v>
      </c>
      <c r="I1597">
        <v>22.43452322973592</v>
      </c>
      <c r="J1597">
        <v>19.555636738929039</v>
      </c>
      <c r="K1597">
        <v>1601.39696650663</v>
      </c>
      <c r="L1597">
        <v>1</v>
      </c>
      <c r="M1597" t="s">
        <v>66</v>
      </c>
    </row>
    <row r="1598" spans="1:13" x14ac:dyDescent="0.3">
      <c r="A1598" t="s">
        <v>17</v>
      </c>
      <c r="B1598" t="s">
        <v>39</v>
      </c>
      <c r="C1598">
        <v>19.521224285299851</v>
      </c>
      <c r="D1598">
        <v>0</v>
      </c>
      <c r="E1598">
        <v>0.83707885432014351</v>
      </c>
      <c r="F1598">
        <v>2.8826705164489219</v>
      </c>
      <c r="G1598">
        <v>5.3554670818543748</v>
      </c>
      <c r="H1598">
        <v>27.440386549567371</v>
      </c>
      <c r="I1598">
        <v>20.26620365404445</v>
      </c>
      <c r="J1598">
        <v>21.433533908624511</v>
      </c>
      <c r="K1598">
        <v>2136.897511022205</v>
      </c>
      <c r="L1598">
        <v>1</v>
      </c>
      <c r="M1598" t="s">
        <v>66</v>
      </c>
    </row>
    <row r="1599" spans="1:13" x14ac:dyDescent="0.3">
      <c r="A1599" t="s">
        <v>18</v>
      </c>
      <c r="B1599" t="s">
        <v>40</v>
      </c>
      <c r="C1599">
        <v>120.5239451365986</v>
      </c>
      <c r="D1599">
        <v>7.2385684313147607</v>
      </c>
      <c r="E1599">
        <v>9.2694178474993407</v>
      </c>
      <c r="F1599">
        <v>20.238399790112741</v>
      </c>
      <c r="G1599">
        <v>5.9866497174477722</v>
      </c>
      <c r="H1599">
        <v>26.364561474597789</v>
      </c>
      <c r="I1599">
        <v>21.020759340167491</v>
      </c>
      <c r="J1599">
        <v>20.834450440381151</v>
      </c>
      <c r="K1599">
        <v>1651.7604118475449</v>
      </c>
      <c r="L1599">
        <v>1</v>
      </c>
      <c r="M1599" t="s">
        <v>66</v>
      </c>
    </row>
    <row r="1600" spans="1:13" x14ac:dyDescent="0.3">
      <c r="A1600" t="s">
        <v>18</v>
      </c>
      <c r="B1600" t="s">
        <v>43</v>
      </c>
      <c r="C1600">
        <v>31.527224507281488</v>
      </c>
      <c r="D1600">
        <v>0.87252002535493167</v>
      </c>
      <c r="E1600">
        <v>1.726764873165942</v>
      </c>
      <c r="F1600">
        <v>4.0393157234639041</v>
      </c>
      <c r="G1600">
        <v>6.3805917513755039</v>
      </c>
      <c r="H1600">
        <v>23.554830926239219</v>
      </c>
      <c r="I1600">
        <v>24.031135726282422</v>
      </c>
      <c r="J1600">
        <v>19.086961229731362</v>
      </c>
      <c r="K1600">
        <v>1919.592814313394</v>
      </c>
      <c r="L1600">
        <v>1</v>
      </c>
      <c r="M1600" t="s">
        <v>66</v>
      </c>
    </row>
    <row r="1601" spans="1:13" x14ac:dyDescent="0.3">
      <c r="A1601" t="s">
        <v>19</v>
      </c>
      <c r="B1601" t="s">
        <v>48</v>
      </c>
      <c r="C1601">
        <v>91.007615389169558</v>
      </c>
      <c r="D1601">
        <v>3.4952563415437319</v>
      </c>
      <c r="E1601">
        <v>5.5319327267069456</v>
      </c>
      <c r="F1601">
        <v>16.600189315667269</v>
      </c>
      <c r="G1601">
        <v>5.8970178145464489</v>
      </c>
      <c r="H1601">
        <v>35.591285599737297</v>
      </c>
      <c r="I1601">
        <v>24.56385743102836</v>
      </c>
      <c r="J1601">
        <v>25.089920380476649</v>
      </c>
      <c r="K1601">
        <v>680.79403328468663</v>
      </c>
      <c r="L1601">
        <v>1</v>
      </c>
      <c r="M1601" t="s">
        <v>66</v>
      </c>
    </row>
    <row r="1602" spans="1:13" x14ac:dyDescent="0.3">
      <c r="A1602" t="s">
        <v>21</v>
      </c>
      <c r="B1602" t="s">
        <v>52</v>
      </c>
      <c r="C1602">
        <v>66.737186872609456</v>
      </c>
      <c r="D1602">
        <v>3.024811769356444</v>
      </c>
      <c r="E1602">
        <v>4.3907997279302844</v>
      </c>
      <c r="F1602">
        <v>7.5962041909111777</v>
      </c>
      <c r="G1602">
        <v>5.8309494547296046</v>
      </c>
      <c r="H1602">
        <v>31.848285255922601</v>
      </c>
      <c r="I1602">
        <v>19.52598170473247</v>
      </c>
      <c r="J1602">
        <v>20.530472816199701</v>
      </c>
      <c r="K1602">
        <v>1564.840488213858</v>
      </c>
      <c r="L1602">
        <v>1</v>
      </c>
      <c r="M1602" t="s">
        <v>66</v>
      </c>
    </row>
    <row r="1603" spans="1:13" x14ac:dyDescent="0.3">
      <c r="A1603" t="s">
        <v>19</v>
      </c>
      <c r="B1603" t="s">
        <v>44</v>
      </c>
      <c r="C1603">
        <v>43.930285497403027</v>
      </c>
      <c r="D1603">
        <v>1.968072631225817</v>
      </c>
      <c r="E1603">
        <v>1.885544737301162</v>
      </c>
      <c r="F1603">
        <v>6.1398242723919978</v>
      </c>
      <c r="G1603">
        <v>4.9013238045729643</v>
      </c>
      <c r="H1603">
        <v>32.135643745359033</v>
      </c>
      <c r="I1603">
        <v>18.543518444444011</v>
      </c>
      <c r="J1603">
        <v>19.336828972803112</v>
      </c>
      <c r="K1603">
        <v>1988.2717506449339</v>
      </c>
      <c r="L1603">
        <v>1</v>
      </c>
      <c r="M1603" t="s">
        <v>66</v>
      </c>
    </row>
    <row r="1604" spans="1:13" x14ac:dyDescent="0.3">
      <c r="A1604" t="s">
        <v>18</v>
      </c>
      <c r="B1604" t="s">
        <v>42</v>
      </c>
      <c r="C1604">
        <v>32.389587688983028</v>
      </c>
      <c r="D1604">
        <v>1.0193633099520609</v>
      </c>
      <c r="E1604">
        <v>2.2488170347462422</v>
      </c>
      <c r="F1604">
        <v>4.2053109983252952</v>
      </c>
      <c r="G1604">
        <v>5.4441070576368249</v>
      </c>
      <c r="H1604">
        <v>27.367586664584952</v>
      </c>
      <c r="I1604">
        <v>19.480161261264449</v>
      </c>
      <c r="J1604">
        <v>26.412841096491629</v>
      </c>
      <c r="K1604">
        <v>1841.6377894442719</v>
      </c>
      <c r="L1604">
        <v>1</v>
      </c>
      <c r="M1604" t="s">
        <v>66</v>
      </c>
    </row>
    <row r="1605" spans="1:13" x14ac:dyDescent="0.3">
      <c r="A1605" t="s">
        <v>17</v>
      </c>
      <c r="B1605" t="s">
        <v>39</v>
      </c>
      <c r="C1605">
        <v>19.652409209990619</v>
      </c>
      <c r="D1605">
        <v>0</v>
      </c>
      <c r="E1605">
        <v>0.89395294498819222</v>
      </c>
      <c r="F1605">
        <v>3.7066108457005309</v>
      </c>
      <c r="G1605">
        <v>5.4916863811462813</v>
      </c>
      <c r="H1605">
        <v>27.56179794560542</v>
      </c>
      <c r="I1605">
        <v>20.697990611594872</v>
      </c>
      <c r="J1605">
        <v>21.620515902035301</v>
      </c>
      <c r="K1605">
        <v>2096.640570102692</v>
      </c>
      <c r="L1605">
        <v>1</v>
      </c>
      <c r="M1605" t="s">
        <v>66</v>
      </c>
    </row>
    <row r="1606" spans="1:13" x14ac:dyDescent="0.3">
      <c r="A1606" t="s">
        <v>19</v>
      </c>
      <c r="B1606" t="s">
        <v>48</v>
      </c>
      <c r="C1606">
        <v>63.395387962881138</v>
      </c>
      <c r="D1606">
        <v>3.2845309381598189</v>
      </c>
      <c r="E1606">
        <v>3.6512066955917151</v>
      </c>
      <c r="F1606">
        <v>8.9212909538465226</v>
      </c>
      <c r="G1606">
        <v>6.4590398457918772</v>
      </c>
      <c r="H1606">
        <v>19.479468001388319</v>
      </c>
      <c r="I1606">
        <v>32.494242745070849</v>
      </c>
      <c r="J1606">
        <v>25.191092187104999</v>
      </c>
      <c r="K1606">
        <v>1172.98916122837</v>
      </c>
      <c r="L1606">
        <v>0</v>
      </c>
      <c r="M1606" t="s">
        <v>66</v>
      </c>
    </row>
    <row r="1607" spans="1:13" x14ac:dyDescent="0.3">
      <c r="A1607" t="s">
        <v>17</v>
      </c>
      <c r="B1607" t="s">
        <v>39</v>
      </c>
      <c r="C1607">
        <v>18.72682084899348</v>
      </c>
      <c r="D1607">
        <v>0</v>
      </c>
      <c r="E1607">
        <v>1.088207138874012</v>
      </c>
      <c r="F1607">
        <v>3.2495578196566668</v>
      </c>
      <c r="G1607">
        <v>5.2972175551423586</v>
      </c>
      <c r="H1607">
        <v>26.50963598905745</v>
      </c>
      <c r="I1607">
        <v>20.58935417009155</v>
      </c>
      <c r="J1607">
        <v>21.764675761339479</v>
      </c>
      <c r="K1607">
        <v>2094.951557689787</v>
      </c>
      <c r="L1607">
        <v>1</v>
      </c>
      <c r="M1607" t="s">
        <v>66</v>
      </c>
    </row>
    <row r="1608" spans="1:13" x14ac:dyDescent="0.3">
      <c r="A1608" t="s">
        <v>19</v>
      </c>
      <c r="B1608" t="s">
        <v>47</v>
      </c>
      <c r="C1608">
        <v>123.88183950045929</v>
      </c>
      <c r="D1608">
        <v>6.0377414217743128</v>
      </c>
      <c r="E1608">
        <v>7.4553426958905753</v>
      </c>
      <c r="F1608">
        <v>18.134753506015361</v>
      </c>
      <c r="G1608">
        <v>6.0096389892005364</v>
      </c>
      <c r="H1608">
        <v>18.088780355273808</v>
      </c>
      <c r="I1608">
        <v>24.330308273597151</v>
      </c>
      <c r="J1608">
        <v>24.657366546211399</v>
      </c>
      <c r="K1608">
        <v>696.94771158841536</v>
      </c>
      <c r="L1608">
        <v>1</v>
      </c>
      <c r="M1608" t="s">
        <v>66</v>
      </c>
    </row>
    <row r="1609" spans="1:13" x14ac:dyDescent="0.3">
      <c r="A1609" t="s">
        <v>16</v>
      </c>
      <c r="B1609" t="s">
        <v>38</v>
      </c>
      <c r="C1609">
        <v>960</v>
      </c>
      <c r="D1609">
        <v>44.267724280178918</v>
      </c>
      <c r="E1609">
        <v>67</v>
      </c>
      <c r="F1609">
        <v>138.85426934877611</v>
      </c>
      <c r="G1609">
        <v>5.3393962924860654</v>
      </c>
      <c r="H1609">
        <v>26.082608522218901</v>
      </c>
      <c r="I1609">
        <v>20.063745182355749</v>
      </c>
      <c r="J1609">
        <v>22.12519426966761</v>
      </c>
      <c r="K1609">
        <v>1497.688261171329</v>
      </c>
      <c r="L1609">
        <v>1</v>
      </c>
      <c r="M1609" t="s">
        <v>66</v>
      </c>
    </row>
    <row r="1610" spans="1:13" x14ac:dyDescent="0.3">
      <c r="A1610" t="s">
        <v>15</v>
      </c>
      <c r="B1610" t="s">
        <v>32</v>
      </c>
      <c r="C1610">
        <v>43.393474602786021</v>
      </c>
      <c r="D1610">
        <v>2.1303341803478708</v>
      </c>
      <c r="E1610">
        <v>2.391512931281524</v>
      </c>
      <c r="F1610">
        <v>8.9408742557437737</v>
      </c>
      <c r="G1610">
        <v>6.2062639444004901</v>
      </c>
      <c r="H1610">
        <v>32.457762544998893</v>
      </c>
      <c r="I1610">
        <v>18.731972825367151</v>
      </c>
      <c r="J1610">
        <v>17.665499814740901</v>
      </c>
      <c r="K1610">
        <v>1862.7579687227469</v>
      </c>
      <c r="L1610">
        <v>1</v>
      </c>
      <c r="M1610" t="s">
        <v>66</v>
      </c>
    </row>
    <row r="1611" spans="1:13" x14ac:dyDescent="0.3">
      <c r="A1611" t="s">
        <v>24</v>
      </c>
      <c r="B1611" t="s">
        <v>60</v>
      </c>
      <c r="C1611">
        <v>494.34201919966648</v>
      </c>
      <c r="D1611">
        <v>21.731778865328739</v>
      </c>
      <c r="E1611">
        <v>36.051396450712559</v>
      </c>
      <c r="F1611">
        <v>95.247552298941883</v>
      </c>
      <c r="G1611">
        <v>5.4346504594113876</v>
      </c>
      <c r="H1611">
        <v>66.405176121673946</v>
      </c>
      <c r="I1611">
        <v>30.604082202099189</v>
      </c>
      <c r="J1611">
        <v>32.888116433739427</v>
      </c>
      <c r="K1611">
        <v>11</v>
      </c>
      <c r="L1611">
        <v>-1</v>
      </c>
      <c r="M1611" t="s">
        <v>66</v>
      </c>
    </row>
    <row r="1612" spans="1:13" x14ac:dyDescent="0.3">
      <c r="A1612" t="s">
        <v>19</v>
      </c>
      <c r="B1612" t="s">
        <v>44</v>
      </c>
      <c r="C1612">
        <v>18.077246501577239</v>
      </c>
      <c r="D1612">
        <v>0</v>
      </c>
      <c r="E1612">
        <v>1.108622856739123</v>
      </c>
      <c r="F1612">
        <v>2.2508011164475161</v>
      </c>
      <c r="G1612">
        <v>5.3601177878014612</v>
      </c>
      <c r="H1612">
        <v>15.04871391507224</v>
      </c>
      <c r="I1612">
        <v>30.30829325459689</v>
      </c>
      <c r="J1612">
        <v>22.883008448549528</v>
      </c>
      <c r="K1612">
        <v>1343.0051043730059</v>
      </c>
      <c r="L1612">
        <v>0</v>
      </c>
      <c r="M1612" t="s">
        <v>66</v>
      </c>
    </row>
    <row r="1613" spans="1:13" x14ac:dyDescent="0.3">
      <c r="A1613" t="s">
        <v>19</v>
      </c>
      <c r="B1613" t="s">
        <v>47</v>
      </c>
      <c r="C1613">
        <v>9.8956938229862459</v>
      </c>
      <c r="D1613">
        <v>6.1575884436683683</v>
      </c>
      <c r="E1613">
        <v>5.9204155362348398</v>
      </c>
      <c r="F1613">
        <v>17.662592626436549</v>
      </c>
      <c r="G1613">
        <v>6.2413165967274562</v>
      </c>
      <c r="H1613">
        <v>26.64293556079042</v>
      </c>
      <c r="I1613">
        <v>24.20767648002747</v>
      </c>
      <c r="J1613">
        <v>23.698667494827909</v>
      </c>
      <c r="K1613">
        <v>671.032208598431</v>
      </c>
      <c r="L1613">
        <v>1</v>
      </c>
      <c r="M1613" t="s">
        <v>66</v>
      </c>
    </row>
    <row r="1614" spans="1:13" x14ac:dyDescent="0.3">
      <c r="A1614" t="s">
        <v>19</v>
      </c>
      <c r="B1614" t="s">
        <v>48</v>
      </c>
      <c r="C1614">
        <v>43.203703600189982</v>
      </c>
      <c r="D1614">
        <v>2.2683114765293531</v>
      </c>
      <c r="E1614">
        <v>2.0431186805716401</v>
      </c>
      <c r="F1614">
        <v>5.8779232344742516</v>
      </c>
      <c r="G1614">
        <v>6.2151141339927021</v>
      </c>
      <c r="H1614">
        <v>18.174400606822481</v>
      </c>
      <c r="I1614">
        <v>33.978228968232571</v>
      </c>
      <c r="J1614">
        <v>24.768158207919221</v>
      </c>
      <c r="K1614">
        <v>1151.725670774551</v>
      </c>
      <c r="L1614">
        <v>0</v>
      </c>
      <c r="M1614" t="s">
        <v>66</v>
      </c>
    </row>
    <row r="1615" spans="1:13" x14ac:dyDescent="0.3">
      <c r="A1615" t="s">
        <v>18</v>
      </c>
      <c r="B1615" t="s">
        <v>41</v>
      </c>
      <c r="C1615">
        <v>6.0997292013924644</v>
      </c>
      <c r="D1615">
        <v>0</v>
      </c>
      <c r="E1615">
        <v>0</v>
      </c>
      <c r="F1615">
        <v>-1.7763568394002501E-15</v>
      </c>
      <c r="G1615">
        <v>6.324344203798133</v>
      </c>
      <c r="H1615">
        <v>21.341694254173419</v>
      </c>
      <c r="I1615">
        <v>28.548515481668741</v>
      </c>
      <c r="J1615">
        <v>34.5</v>
      </c>
      <c r="K1615">
        <v>1832.0805167192721</v>
      </c>
      <c r="L1615">
        <v>1</v>
      </c>
      <c r="M1615" t="s">
        <v>66</v>
      </c>
    </row>
    <row r="1616" spans="1:13" x14ac:dyDescent="0.3">
      <c r="A1616" t="s">
        <v>18</v>
      </c>
      <c r="B1616" t="s">
        <v>41</v>
      </c>
      <c r="C1616">
        <v>6.1307758991994206</v>
      </c>
      <c r="D1616">
        <v>0</v>
      </c>
      <c r="E1616">
        <v>0</v>
      </c>
      <c r="F1616">
        <v>-1.7763568394002501E-15</v>
      </c>
      <c r="G1616">
        <v>6.2494815300649007</v>
      </c>
      <c r="H1616">
        <v>24.167035899874051</v>
      </c>
      <c r="I1616">
        <v>29.09717945382949</v>
      </c>
      <c r="J1616">
        <v>34.5</v>
      </c>
      <c r="K1616">
        <v>1809.7185755376429</v>
      </c>
      <c r="L1616">
        <v>1</v>
      </c>
      <c r="M1616" t="s">
        <v>66</v>
      </c>
    </row>
    <row r="1617" spans="1:13" x14ac:dyDescent="0.3">
      <c r="A1617" t="s">
        <v>18</v>
      </c>
      <c r="B1617" t="s">
        <v>41</v>
      </c>
      <c r="C1617">
        <v>47.45987956965908</v>
      </c>
      <c r="D1617">
        <v>1.962500566932206</v>
      </c>
      <c r="E1617">
        <v>2.8428896297459061</v>
      </c>
      <c r="F1617">
        <v>8.4793890129878662</v>
      </c>
      <c r="G1617">
        <v>5.6929318719020792</v>
      </c>
      <c r="H1617">
        <v>27.954035885901451</v>
      </c>
      <c r="I1617">
        <v>19.909788716031329</v>
      </c>
      <c r="J1617">
        <v>21.13004977094262</v>
      </c>
      <c r="K1617">
        <v>1769.0287797652879</v>
      </c>
      <c r="L1617">
        <v>1</v>
      </c>
      <c r="M1617" t="s">
        <v>66</v>
      </c>
    </row>
    <row r="1618" spans="1:13" x14ac:dyDescent="0.3">
      <c r="A1618" t="s">
        <v>15</v>
      </c>
      <c r="B1618" t="s">
        <v>33</v>
      </c>
      <c r="C1618">
        <v>98.636758976799214</v>
      </c>
      <c r="D1618">
        <v>4.2533992409383341</v>
      </c>
      <c r="E1618">
        <v>6.2040190021227177</v>
      </c>
      <c r="F1618">
        <v>13.08797577210332</v>
      </c>
      <c r="G1618">
        <v>6.1124846552740424</v>
      </c>
      <c r="H1618">
        <v>34.010370765180717</v>
      </c>
      <c r="I1618">
        <v>19.29174194450604</v>
      </c>
      <c r="J1618">
        <v>18.661580623309181</v>
      </c>
      <c r="K1618">
        <v>1975.510599851287</v>
      </c>
      <c r="L1618">
        <v>1</v>
      </c>
      <c r="M1618" t="s">
        <v>66</v>
      </c>
    </row>
    <row r="1619" spans="1:13" x14ac:dyDescent="0.3">
      <c r="A1619" t="s">
        <v>20</v>
      </c>
      <c r="B1619" t="s">
        <v>51</v>
      </c>
      <c r="C1619">
        <v>26.10883794594972</v>
      </c>
      <c r="D1619">
        <v>0.85944377835565122</v>
      </c>
      <c r="E1619">
        <v>0.96356794128815704</v>
      </c>
      <c r="F1619">
        <v>4.0099201912153557</v>
      </c>
      <c r="G1619">
        <v>6.1529837504525693</v>
      </c>
      <c r="H1619">
        <v>42.877838703537861</v>
      </c>
      <c r="I1619">
        <v>23.114058128225722</v>
      </c>
      <c r="J1619">
        <v>21.06246381534309</v>
      </c>
      <c r="K1619">
        <v>1630.613888132538</v>
      </c>
      <c r="L1619">
        <v>1</v>
      </c>
      <c r="M1619" t="s">
        <v>66</v>
      </c>
    </row>
    <row r="1620" spans="1:13" x14ac:dyDescent="0.3">
      <c r="A1620" t="s">
        <v>18</v>
      </c>
      <c r="B1620" t="s">
        <v>40</v>
      </c>
      <c r="C1620">
        <v>137.31541545620769</v>
      </c>
      <c r="D1620">
        <v>4.2931610705894467</v>
      </c>
      <c r="E1620">
        <v>9.3879334599397151</v>
      </c>
      <c r="F1620">
        <v>23.447679276318588</v>
      </c>
      <c r="G1620">
        <v>6.140484022936576</v>
      </c>
      <c r="H1620">
        <v>28.757955263373201</v>
      </c>
      <c r="I1620">
        <v>20.85726435196128</v>
      </c>
      <c r="J1620">
        <v>21.069331829099859</v>
      </c>
      <c r="K1620">
        <v>1696.678466012522</v>
      </c>
      <c r="L1620">
        <v>1</v>
      </c>
      <c r="M1620" t="s">
        <v>66</v>
      </c>
    </row>
    <row r="1621" spans="1:13" x14ac:dyDescent="0.3">
      <c r="A1621" t="s">
        <v>19</v>
      </c>
      <c r="B1621" t="s">
        <v>47</v>
      </c>
      <c r="C1621">
        <v>32.325105960624043</v>
      </c>
      <c r="D1621">
        <v>0.79697548339622326</v>
      </c>
      <c r="E1621">
        <v>1.8764016110130279</v>
      </c>
      <c r="F1621">
        <v>3.877659889099025</v>
      </c>
      <c r="G1621">
        <v>5.9488895837154043</v>
      </c>
      <c r="H1621">
        <v>20.179442232720699</v>
      </c>
      <c r="I1621">
        <v>28.618384300831249</v>
      </c>
      <c r="J1621">
        <v>26.015267889647191</v>
      </c>
      <c r="K1621">
        <v>726.17883208090166</v>
      </c>
      <c r="L1621">
        <v>-1</v>
      </c>
      <c r="M1621" t="s">
        <v>66</v>
      </c>
    </row>
    <row r="1622" spans="1:13" x14ac:dyDescent="0.3">
      <c r="A1622" t="s">
        <v>20</v>
      </c>
      <c r="B1622" t="s">
        <v>49</v>
      </c>
      <c r="C1622">
        <v>40.245711250355171</v>
      </c>
      <c r="D1622">
        <v>2.1493780834663179</v>
      </c>
      <c r="E1622">
        <v>3.4133833186768858</v>
      </c>
      <c r="F1622">
        <v>7.449556643039621</v>
      </c>
      <c r="G1622">
        <v>5.6261867962589971</v>
      </c>
      <c r="H1622">
        <v>20.43432603780667</v>
      </c>
      <c r="I1622">
        <v>30.684401926568199</v>
      </c>
      <c r="J1622">
        <v>24.06893936492974</v>
      </c>
      <c r="K1622">
        <v>1167.821480118736</v>
      </c>
      <c r="L1622">
        <v>0</v>
      </c>
      <c r="M1622" t="s">
        <v>66</v>
      </c>
    </row>
    <row r="1623" spans="1:13" x14ac:dyDescent="0.3">
      <c r="A1623" t="s">
        <v>25</v>
      </c>
      <c r="B1623" t="s">
        <v>62</v>
      </c>
      <c r="C1623">
        <v>92.338763182739868</v>
      </c>
      <c r="D1623">
        <v>3.683669882562111</v>
      </c>
      <c r="E1623">
        <v>5.9107149475886489</v>
      </c>
      <c r="F1623">
        <v>13.98427468143667</v>
      </c>
      <c r="G1623">
        <v>6.8595832463196782</v>
      </c>
      <c r="H1623">
        <v>13.9</v>
      </c>
      <c r="I1623">
        <v>33.5758642530378</v>
      </c>
      <c r="J1623">
        <v>30.643150401323751</v>
      </c>
      <c r="K1623">
        <v>47.4537415306404</v>
      </c>
      <c r="L1623">
        <v>-1</v>
      </c>
      <c r="M1623" t="s">
        <v>66</v>
      </c>
    </row>
    <row r="1624" spans="1:13" x14ac:dyDescent="0.3">
      <c r="A1624" t="s">
        <v>15</v>
      </c>
      <c r="B1624" t="s">
        <v>33</v>
      </c>
      <c r="C1624">
        <v>70.10896015865562</v>
      </c>
      <c r="D1624">
        <v>2.8666841015792999</v>
      </c>
      <c r="E1624">
        <v>3.8310366416599519</v>
      </c>
      <c r="F1624">
        <v>10.99137692176051</v>
      </c>
      <c r="G1624">
        <v>5.4461159666653334</v>
      </c>
      <c r="H1624">
        <v>32.058856693307639</v>
      </c>
      <c r="I1624">
        <v>21.800797946388581</v>
      </c>
      <c r="J1624">
        <v>18.18479293111989</v>
      </c>
      <c r="K1624">
        <v>1896.1612462555411</v>
      </c>
      <c r="L1624">
        <v>1</v>
      </c>
      <c r="M1624" t="s">
        <v>66</v>
      </c>
    </row>
    <row r="1625" spans="1:13" x14ac:dyDescent="0.3">
      <c r="A1625" t="s">
        <v>22</v>
      </c>
      <c r="B1625" t="s">
        <v>55</v>
      </c>
      <c r="C1625">
        <v>7.1774788510483214</v>
      </c>
      <c r="D1625">
        <v>0</v>
      </c>
      <c r="E1625">
        <v>0</v>
      </c>
      <c r="F1625">
        <v>0.84624488508801932</v>
      </c>
      <c r="G1625">
        <v>6.0660324911094641</v>
      </c>
      <c r="H1625">
        <v>21.609513442811831</v>
      </c>
      <c r="I1625">
        <v>18.979791039313611</v>
      </c>
      <c r="J1625">
        <v>16.465855970101629</v>
      </c>
      <c r="K1625">
        <v>1679.155336220769</v>
      </c>
      <c r="L1625">
        <v>1</v>
      </c>
      <c r="M1625" t="s">
        <v>66</v>
      </c>
    </row>
    <row r="1626" spans="1:13" x14ac:dyDescent="0.3">
      <c r="A1626" t="s">
        <v>18</v>
      </c>
      <c r="B1626" t="s">
        <v>40</v>
      </c>
      <c r="C1626">
        <v>142.6246472350096</v>
      </c>
      <c r="D1626">
        <v>5.409766220622318</v>
      </c>
      <c r="E1626">
        <v>9.3677409210192728</v>
      </c>
      <c r="F1626">
        <v>21.561266110213641</v>
      </c>
      <c r="G1626">
        <v>6.1257015087459097</v>
      </c>
      <c r="H1626">
        <v>29.600518450355839</v>
      </c>
      <c r="I1626">
        <v>21.977659796597418</v>
      </c>
      <c r="J1626">
        <v>20.565711587614441</v>
      </c>
      <c r="K1626">
        <v>1677.3901950934439</v>
      </c>
      <c r="L1626">
        <v>1</v>
      </c>
      <c r="M1626" t="s">
        <v>66</v>
      </c>
    </row>
    <row r="1627" spans="1:13" x14ac:dyDescent="0.3">
      <c r="A1627" t="s">
        <v>18</v>
      </c>
      <c r="B1627" t="s">
        <v>41</v>
      </c>
      <c r="C1627">
        <v>0</v>
      </c>
      <c r="D1627">
        <v>0</v>
      </c>
      <c r="E1627">
        <v>0</v>
      </c>
      <c r="F1627">
        <v>-1.7763568394002501E-15</v>
      </c>
      <c r="G1627">
        <v>6.1536299154886267</v>
      </c>
      <c r="H1627">
        <v>22.270694515601861</v>
      </c>
      <c r="I1627">
        <v>30.529179113102028</v>
      </c>
      <c r="J1627">
        <v>33.445653374240138</v>
      </c>
      <c r="K1627">
        <v>1790.641702760536</v>
      </c>
      <c r="L1627">
        <v>1</v>
      </c>
      <c r="M1627" t="s">
        <v>66</v>
      </c>
    </row>
    <row r="1628" spans="1:13" x14ac:dyDescent="0.3">
      <c r="A1628" t="s">
        <v>16</v>
      </c>
      <c r="B1628" t="s">
        <v>37</v>
      </c>
      <c r="C1628">
        <v>5.4034008045295963</v>
      </c>
      <c r="D1628">
        <v>0</v>
      </c>
      <c r="E1628">
        <v>0</v>
      </c>
      <c r="F1628">
        <v>-1.7763568394002501E-15</v>
      </c>
      <c r="G1628">
        <v>6.4141463896188817</v>
      </c>
      <c r="H1628">
        <v>18.68874357389527</v>
      </c>
      <c r="I1628">
        <v>17.570980909159779</v>
      </c>
      <c r="J1628">
        <v>22.825964437302929</v>
      </c>
      <c r="K1628">
        <v>1449.4773687092841</v>
      </c>
      <c r="L1628">
        <v>1</v>
      </c>
      <c r="M1628" t="s">
        <v>66</v>
      </c>
    </row>
    <row r="1629" spans="1:13" x14ac:dyDescent="0.3">
      <c r="A1629" t="s">
        <v>16</v>
      </c>
      <c r="B1629" t="s">
        <v>35</v>
      </c>
      <c r="C1629">
        <v>75.329419701121637</v>
      </c>
      <c r="D1629">
        <v>3.2405580943929042</v>
      </c>
      <c r="E1629">
        <v>5.5231788702835223</v>
      </c>
      <c r="F1629">
        <v>11.319597598913941</v>
      </c>
      <c r="G1629">
        <v>6.0632266350906781</v>
      </c>
      <c r="H1629">
        <v>30.703492274723239</v>
      </c>
      <c r="I1629">
        <v>17.281059800367821</v>
      </c>
      <c r="J1629">
        <v>27.848089495957559</v>
      </c>
      <c r="K1629">
        <v>1661.937514619545</v>
      </c>
      <c r="L1629">
        <v>1</v>
      </c>
      <c r="M1629" t="s">
        <v>66</v>
      </c>
    </row>
    <row r="1630" spans="1:13" x14ac:dyDescent="0.3">
      <c r="A1630" t="s">
        <v>24</v>
      </c>
      <c r="B1630" t="s">
        <v>57</v>
      </c>
      <c r="C1630">
        <v>7.3600583131885031</v>
      </c>
      <c r="D1630">
        <v>0</v>
      </c>
      <c r="E1630">
        <v>0</v>
      </c>
      <c r="F1630">
        <v>0.92822917352239642</v>
      </c>
      <c r="G1630">
        <v>6.0073088953918719</v>
      </c>
      <c r="H1630">
        <v>41.974961278430932</v>
      </c>
      <c r="I1630">
        <v>23.81235892906745</v>
      </c>
      <c r="J1630">
        <v>24.168483100287009</v>
      </c>
      <c r="K1630">
        <v>761.83716749778262</v>
      </c>
      <c r="L1630">
        <v>0</v>
      </c>
      <c r="M1630" t="s">
        <v>66</v>
      </c>
    </row>
    <row r="1631" spans="1:13" x14ac:dyDescent="0.3">
      <c r="A1631" t="s">
        <v>25</v>
      </c>
      <c r="B1631" t="s">
        <v>62</v>
      </c>
      <c r="C1631">
        <v>595.98100853785411</v>
      </c>
      <c r="D1631">
        <v>24.849113496516331</v>
      </c>
      <c r="E1631">
        <v>38.709098283252999</v>
      </c>
      <c r="F1631">
        <v>88.555118510094673</v>
      </c>
      <c r="G1631">
        <v>4.4352321292437669</v>
      </c>
      <c r="H1631">
        <v>88.4</v>
      </c>
      <c r="I1631">
        <v>26.868727003869981</v>
      </c>
      <c r="J1631">
        <v>23.528792253045012</v>
      </c>
      <c r="K1631">
        <v>704.67278109819597</v>
      </c>
      <c r="L1631">
        <v>0</v>
      </c>
      <c r="M1631" t="s">
        <v>66</v>
      </c>
    </row>
    <row r="1632" spans="1:13" x14ac:dyDescent="0.3">
      <c r="A1632" t="s">
        <v>20</v>
      </c>
      <c r="B1632" t="s">
        <v>51</v>
      </c>
      <c r="C1632">
        <v>23.84917716873494</v>
      </c>
      <c r="D1632">
        <v>0.73698726185986807</v>
      </c>
      <c r="E1632">
        <v>1.0031183735442091</v>
      </c>
      <c r="F1632">
        <v>4.7571318036187833</v>
      </c>
      <c r="G1632">
        <v>6.1472971398143654</v>
      </c>
      <c r="H1632">
        <v>39.02283871603057</v>
      </c>
      <c r="I1632">
        <v>24.542979369370901</v>
      </c>
      <c r="J1632">
        <v>20.442933060337062</v>
      </c>
      <c r="K1632">
        <v>1666.5998868404331</v>
      </c>
      <c r="L1632">
        <v>1</v>
      </c>
      <c r="M1632" t="s">
        <v>66</v>
      </c>
    </row>
    <row r="1633" spans="1:13" x14ac:dyDescent="0.3">
      <c r="A1633" t="s">
        <v>25</v>
      </c>
      <c r="B1633" t="s">
        <v>62</v>
      </c>
      <c r="C1633">
        <v>25.006083913370279</v>
      </c>
      <c r="D1633">
        <v>0.9130458417811802</v>
      </c>
      <c r="E1633">
        <v>1.028860875662563</v>
      </c>
      <c r="F1633">
        <v>2.878398721717399</v>
      </c>
      <c r="G1633">
        <v>6.2470829991315622</v>
      </c>
      <c r="H1633">
        <v>67.899994293955942</v>
      </c>
      <c r="I1633">
        <v>19.420213147487239</v>
      </c>
      <c r="J1633">
        <v>24.487716962081851</v>
      </c>
      <c r="K1633">
        <v>1197.374439230558</v>
      </c>
      <c r="L1633">
        <v>0</v>
      </c>
      <c r="M1633" t="s">
        <v>66</v>
      </c>
    </row>
    <row r="1634" spans="1:13" x14ac:dyDescent="0.3">
      <c r="A1634" t="s">
        <v>17</v>
      </c>
      <c r="B1634" t="s">
        <v>39</v>
      </c>
      <c r="C1634">
        <v>12.76203656543122</v>
      </c>
      <c r="D1634">
        <v>0</v>
      </c>
      <c r="E1634">
        <v>0</v>
      </c>
      <c r="F1634">
        <v>1.9405389543854741</v>
      </c>
      <c r="G1634">
        <v>5.5029724898528718</v>
      </c>
      <c r="H1634">
        <v>28.94625272696673</v>
      </c>
      <c r="I1634">
        <v>20.057826721801341</v>
      </c>
      <c r="J1634">
        <v>26.02152071464182</v>
      </c>
      <c r="K1634">
        <v>2219.6076529500178</v>
      </c>
      <c r="L1634">
        <v>1</v>
      </c>
      <c r="M1634" t="s">
        <v>66</v>
      </c>
    </row>
    <row r="1635" spans="1:13" x14ac:dyDescent="0.3">
      <c r="A1635" t="s">
        <v>25</v>
      </c>
      <c r="B1635" t="s">
        <v>62</v>
      </c>
      <c r="C1635">
        <v>32.071168220225793</v>
      </c>
      <c r="D1635">
        <v>1.0555348576212089</v>
      </c>
      <c r="E1635">
        <v>2.0529698000650001</v>
      </c>
      <c r="F1635">
        <v>4.3594029837778621</v>
      </c>
      <c r="G1635">
        <v>6.3516521040498199</v>
      </c>
      <c r="H1635">
        <v>23.43438578993997</v>
      </c>
      <c r="I1635">
        <v>23.230792405419638</v>
      </c>
      <c r="J1635">
        <v>24.152465468762639</v>
      </c>
      <c r="K1635">
        <v>1157.514389434416</v>
      </c>
      <c r="L1635">
        <v>0</v>
      </c>
      <c r="M1635" t="s">
        <v>66</v>
      </c>
    </row>
    <row r="1636" spans="1:13" x14ac:dyDescent="0.3">
      <c r="A1636" t="s">
        <v>19</v>
      </c>
      <c r="B1636" t="s">
        <v>45</v>
      </c>
      <c r="C1636">
        <v>57.832028424473002</v>
      </c>
      <c r="D1636">
        <v>2.2291736702124361</v>
      </c>
      <c r="E1636">
        <v>2.8719195623907319</v>
      </c>
      <c r="F1636">
        <v>8.1827181874173718</v>
      </c>
      <c r="G1636">
        <v>5.9546004481678336</v>
      </c>
      <c r="H1636">
        <v>38.389134710634977</v>
      </c>
      <c r="I1636">
        <v>25.544847716220971</v>
      </c>
      <c r="J1636">
        <v>28.621611997514211</v>
      </c>
      <c r="K1636">
        <v>1473.251246350065</v>
      </c>
      <c r="L1636">
        <v>1</v>
      </c>
      <c r="M1636" t="s">
        <v>66</v>
      </c>
    </row>
    <row r="1637" spans="1:13" x14ac:dyDescent="0.3">
      <c r="A1637" t="s">
        <v>20</v>
      </c>
      <c r="B1637" t="s">
        <v>49</v>
      </c>
      <c r="C1637">
        <v>45.211643147730889</v>
      </c>
      <c r="D1637">
        <v>2.09877877580029</v>
      </c>
      <c r="E1637">
        <v>2.6407083701070011</v>
      </c>
      <c r="F1637">
        <v>6.0618610976074088</v>
      </c>
      <c r="G1637">
        <v>5.4587990879806219</v>
      </c>
      <c r="H1637">
        <v>19.404432216341601</v>
      </c>
      <c r="I1637">
        <v>32.3657459519913</v>
      </c>
      <c r="J1637">
        <v>25.362529641086049</v>
      </c>
      <c r="K1637">
        <v>1166.4941150951579</v>
      </c>
      <c r="L1637">
        <v>0</v>
      </c>
      <c r="M1637" t="s">
        <v>66</v>
      </c>
    </row>
    <row r="1638" spans="1:13" x14ac:dyDescent="0.3">
      <c r="A1638" t="s">
        <v>15</v>
      </c>
      <c r="B1638" t="s">
        <v>30</v>
      </c>
      <c r="C1638">
        <v>41.038512340958178</v>
      </c>
      <c r="D1638">
        <v>1.776383673998309</v>
      </c>
      <c r="E1638">
        <v>1.936574566874578</v>
      </c>
      <c r="F1638">
        <v>6.3337507363188728</v>
      </c>
      <c r="G1638">
        <v>6.3042832444245613</v>
      </c>
      <c r="H1638">
        <v>27.514687924402889</v>
      </c>
      <c r="I1638">
        <v>19.352251134933329</v>
      </c>
      <c r="J1638">
        <v>27.35162456190691</v>
      </c>
      <c r="K1638">
        <v>2023.4328544021951</v>
      </c>
      <c r="L1638">
        <v>1</v>
      </c>
      <c r="M1638" t="s">
        <v>66</v>
      </c>
    </row>
    <row r="1639" spans="1:13" x14ac:dyDescent="0.3">
      <c r="A1639" t="s">
        <v>19</v>
      </c>
      <c r="B1639" t="s">
        <v>44</v>
      </c>
      <c r="C1639">
        <v>29.690928225583448</v>
      </c>
      <c r="D1639">
        <v>0.80006193945829107</v>
      </c>
      <c r="E1639">
        <v>2.2440034238919009</v>
      </c>
      <c r="F1639">
        <v>4.2344443620173688</v>
      </c>
      <c r="G1639">
        <v>5.22010635436098</v>
      </c>
      <c r="H1639">
        <v>32.863681972811072</v>
      </c>
      <c r="I1639">
        <v>17.47758289219685</v>
      </c>
      <c r="J1639">
        <v>19.379392365209402</v>
      </c>
      <c r="K1639">
        <v>1744.768541707801</v>
      </c>
      <c r="L1639">
        <v>1</v>
      </c>
      <c r="M1639" t="s">
        <v>66</v>
      </c>
    </row>
    <row r="1640" spans="1:13" x14ac:dyDescent="0.3">
      <c r="A1640" t="s">
        <v>15</v>
      </c>
      <c r="B1640" t="s">
        <v>33</v>
      </c>
      <c r="C1640">
        <v>76.265954736693899</v>
      </c>
      <c r="D1640">
        <v>2.7441997481638678</v>
      </c>
      <c r="E1640">
        <v>4.74322241670124</v>
      </c>
      <c r="F1640">
        <v>11.572726176306841</v>
      </c>
      <c r="G1640">
        <v>5.3716043946968437</v>
      </c>
      <c r="H1640">
        <v>26.289471215758539</v>
      </c>
      <c r="I1640">
        <v>18.9984888653985</v>
      </c>
      <c r="J1640">
        <v>17.192702928087741</v>
      </c>
      <c r="K1640">
        <v>1917.596455012427</v>
      </c>
      <c r="L1640">
        <v>1</v>
      </c>
      <c r="M1640" t="s">
        <v>66</v>
      </c>
    </row>
    <row r="1641" spans="1:13" x14ac:dyDescent="0.3">
      <c r="A1641" t="s">
        <v>17</v>
      </c>
      <c r="B1641" t="s">
        <v>39</v>
      </c>
      <c r="C1641">
        <v>12.54687220520759</v>
      </c>
      <c r="D1641">
        <v>0</v>
      </c>
      <c r="E1641">
        <v>0</v>
      </c>
      <c r="F1641">
        <v>1.929723425807383</v>
      </c>
      <c r="G1641">
        <v>5.3321178281527288</v>
      </c>
      <c r="H1641">
        <v>28.588178670412042</v>
      </c>
      <c r="I1641">
        <v>18.75400503310026</v>
      </c>
      <c r="J1641">
        <v>25.716104729248212</v>
      </c>
      <c r="K1641">
        <v>2224.9338708001142</v>
      </c>
      <c r="L1641">
        <v>1</v>
      </c>
      <c r="M1641" t="s">
        <v>66</v>
      </c>
    </row>
    <row r="1642" spans="1:13" x14ac:dyDescent="0.3">
      <c r="A1642" t="s">
        <v>15</v>
      </c>
      <c r="B1642" t="s">
        <v>33</v>
      </c>
      <c r="C1642">
        <v>95.657876700444035</v>
      </c>
      <c r="D1642">
        <v>4.0551414055527282</v>
      </c>
      <c r="E1642">
        <v>6.3717120629580668</v>
      </c>
      <c r="F1642">
        <v>12.58909638718583</v>
      </c>
      <c r="G1642">
        <v>6.2508464549149174</v>
      </c>
      <c r="H1642">
        <v>30.18897342814552</v>
      </c>
      <c r="I1642">
        <v>20.3795216655001</v>
      </c>
      <c r="J1642">
        <v>19.559265622241838</v>
      </c>
      <c r="K1642">
        <v>2110.4011298455962</v>
      </c>
      <c r="L1642">
        <v>1</v>
      </c>
      <c r="M1642" t="s">
        <v>66</v>
      </c>
    </row>
    <row r="1643" spans="1:13" x14ac:dyDescent="0.3">
      <c r="A1643" t="s">
        <v>18</v>
      </c>
      <c r="B1643" t="s">
        <v>40</v>
      </c>
      <c r="C1643">
        <v>119.8397519806206</v>
      </c>
      <c r="D1643">
        <v>6.5939353868052466</v>
      </c>
      <c r="E1643">
        <v>7.6587214068150962</v>
      </c>
      <c r="F1643">
        <v>21.875066661243039</v>
      </c>
      <c r="G1643">
        <v>4.8539824089334687</v>
      </c>
      <c r="H1643">
        <v>53.430999599993719</v>
      </c>
      <c r="I1643">
        <v>19.647365646494301</v>
      </c>
      <c r="J1643">
        <v>20.2569692292188</v>
      </c>
      <c r="K1643">
        <v>1665.8129808344379</v>
      </c>
      <c r="L1643">
        <v>1</v>
      </c>
      <c r="M1643" t="s">
        <v>66</v>
      </c>
    </row>
    <row r="1644" spans="1:13" x14ac:dyDescent="0.3">
      <c r="A1644" t="s">
        <v>25</v>
      </c>
      <c r="B1644" t="s">
        <v>62</v>
      </c>
      <c r="C1644">
        <v>90.034899061736667</v>
      </c>
      <c r="D1644">
        <v>3.3592487754361229</v>
      </c>
      <c r="E1644">
        <v>5.0086899444430566</v>
      </c>
      <c r="F1644">
        <v>16.48193437982226</v>
      </c>
      <c r="G1644">
        <v>7.0164355862968453</v>
      </c>
      <c r="H1644">
        <v>16.190851588578749</v>
      </c>
      <c r="I1644">
        <v>34.244343219785193</v>
      </c>
      <c r="J1644">
        <v>31.210594284556411</v>
      </c>
      <c r="K1644">
        <v>47.943431386098609</v>
      </c>
      <c r="L1644">
        <v>-1</v>
      </c>
      <c r="M1644" t="s">
        <v>66</v>
      </c>
    </row>
    <row r="1645" spans="1:13" x14ac:dyDescent="0.3">
      <c r="A1645" t="s">
        <v>20</v>
      </c>
      <c r="B1645" t="s">
        <v>51</v>
      </c>
      <c r="C1645">
        <v>92.280674702897059</v>
      </c>
      <c r="D1645">
        <v>3.9937751933442511</v>
      </c>
      <c r="E1645">
        <v>6.438510219356548</v>
      </c>
      <c r="F1645">
        <v>15.421018406086279</v>
      </c>
      <c r="G1645">
        <v>6.1446638518067687</v>
      </c>
      <c r="H1645">
        <v>33.592177128410327</v>
      </c>
      <c r="I1645">
        <v>20.957172589692568</v>
      </c>
      <c r="J1645">
        <v>20.125743060093441</v>
      </c>
      <c r="K1645">
        <v>1549.5379094568721</v>
      </c>
      <c r="L1645">
        <v>1</v>
      </c>
      <c r="M1645" t="s">
        <v>66</v>
      </c>
    </row>
    <row r="1646" spans="1:13" x14ac:dyDescent="0.3">
      <c r="A1646" t="s">
        <v>15</v>
      </c>
      <c r="B1646" t="s">
        <v>34</v>
      </c>
      <c r="C1646">
        <v>108.9775308413912</v>
      </c>
      <c r="D1646">
        <v>3.7952140623060791</v>
      </c>
      <c r="E1646">
        <v>6.9377133162984252</v>
      </c>
      <c r="F1646">
        <v>17.749185099818341</v>
      </c>
      <c r="G1646">
        <v>5.7439788756351904</v>
      </c>
      <c r="H1646">
        <v>44.893106355363201</v>
      </c>
      <c r="I1646">
        <v>24.59796545117532</v>
      </c>
      <c r="J1646">
        <v>19.724890744905039</v>
      </c>
      <c r="K1646">
        <v>2021.096548437396</v>
      </c>
      <c r="L1646">
        <v>1</v>
      </c>
      <c r="M1646" t="s">
        <v>66</v>
      </c>
    </row>
    <row r="1647" spans="1:13" x14ac:dyDescent="0.3">
      <c r="A1647" t="s">
        <v>20</v>
      </c>
      <c r="B1647" t="s">
        <v>50</v>
      </c>
      <c r="C1647">
        <v>47.812430720158403</v>
      </c>
      <c r="D1647">
        <v>2.092737210822468</v>
      </c>
      <c r="E1647">
        <v>2.6350748898795628</v>
      </c>
      <c r="F1647">
        <v>9.3420872250787941</v>
      </c>
      <c r="G1647">
        <v>6.5940541481314154</v>
      </c>
      <c r="H1647">
        <v>21.577037395095761</v>
      </c>
      <c r="I1647">
        <v>22.724250327155541</v>
      </c>
      <c r="J1647">
        <v>21.099348221716479</v>
      </c>
      <c r="K1647">
        <v>1707.2443907707841</v>
      </c>
      <c r="L1647">
        <v>1</v>
      </c>
      <c r="M1647" t="s">
        <v>66</v>
      </c>
    </row>
    <row r="1648" spans="1:13" x14ac:dyDescent="0.3">
      <c r="A1648" t="s">
        <v>19</v>
      </c>
      <c r="B1648" t="s">
        <v>48</v>
      </c>
      <c r="C1648">
        <v>58.809887223358977</v>
      </c>
      <c r="D1648">
        <v>3.1061042332732751</v>
      </c>
      <c r="E1648">
        <v>3.1373559612054058</v>
      </c>
      <c r="F1648">
        <v>10.597754639438911</v>
      </c>
      <c r="G1648">
        <v>6.2274977312548874</v>
      </c>
      <c r="H1648">
        <v>17.98312521868051</v>
      </c>
      <c r="I1648">
        <v>34.108933426069044</v>
      </c>
      <c r="J1648">
        <v>28.02589026387281</v>
      </c>
      <c r="K1648">
        <v>1194.669112507665</v>
      </c>
      <c r="L1648">
        <v>0</v>
      </c>
      <c r="M1648" t="s">
        <v>66</v>
      </c>
    </row>
    <row r="1649" spans="1:13" x14ac:dyDescent="0.3">
      <c r="A1649" t="s">
        <v>19</v>
      </c>
      <c r="B1649" t="s">
        <v>46</v>
      </c>
      <c r="C1649">
        <v>27.33255168881054</v>
      </c>
      <c r="D1649">
        <v>0.98437097182009481</v>
      </c>
      <c r="E1649">
        <v>0.96056364912267256</v>
      </c>
      <c r="F1649">
        <v>4.258867101988697</v>
      </c>
      <c r="G1649">
        <v>6.0576350465322673</v>
      </c>
      <c r="H1649">
        <v>19.379414918289761</v>
      </c>
      <c r="I1649">
        <v>30.247828485516841</v>
      </c>
      <c r="J1649">
        <v>27.172057519476891</v>
      </c>
      <c r="K1649">
        <v>715.30928373235474</v>
      </c>
      <c r="L1649">
        <v>-1</v>
      </c>
      <c r="M1649" t="s">
        <v>66</v>
      </c>
    </row>
    <row r="1650" spans="1:13" x14ac:dyDescent="0.3">
      <c r="A1650" t="s">
        <v>20</v>
      </c>
      <c r="B1650" t="s">
        <v>51</v>
      </c>
      <c r="C1650">
        <v>46.346045688594081</v>
      </c>
      <c r="D1650">
        <v>2.2360822550450909</v>
      </c>
      <c r="E1650">
        <v>2.8513224986796448</v>
      </c>
      <c r="F1650">
        <v>7.4359826179080883</v>
      </c>
      <c r="G1650">
        <v>5.8735373429745197</v>
      </c>
      <c r="H1650">
        <v>23.001862405152249</v>
      </c>
      <c r="I1650">
        <v>19.978183971987839</v>
      </c>
      <c r="J1650">
        <v>20.92918727710677</v>
      </c>
      <c r="K1650">
        <v>1546.106141749508</v>
      </c>
      <c r="L1650">
        <v>1</v>
      </c>
      <c r="M1650" t="s">
        <v>66</v>
      </c>
    </row>
    <row r="1651" spans="1:13" x14ac:dyDescent="0.3">
      <c r="A1651" t="s">
        <v>19</v>
      </c>
      <c r="B1651" t="s">
        <v>44</v>
      </c>
      <c r="C1651">
        <v>30.603258449814611</v>
      </c>
      <c r="D1651">
        <v>0.98420564668215871</v>
      </c>
      <c r="E1651">
        <v>2.2052366739264748</v>
      </c>
      <c r="F1651">
        <v>3.9678013033919708</v>
      </c>
      <c r="G1651">
        <v>6.0093345056049197</v>
      </c>
      <c r="H1651">
        <v>19.713151580178931</v>
      </c>
      <c r="I1651">
        <v>20.0397440167506</v>
      </c>
      <c r="J1651">
        <v>18.82812855370425</v>
      </c>
      <c r="K1651">
        <v>1959.6454886816671</v>
      </c>
      <c r="L1651">
        <v>1</v>
      </c>
      <c r="M1651" t="s">
        <v>66</v>
      </c>
    </row>
    <row r="1652" spans="1:13" x14ac:dyDescent="0.3">
      <c r="A1652" t="s">
        <v>25</v>
      </c>
      <c r="B1652" t="s">
        <v>62</v>
      </c>
      <c r="C1652">
        <v>25.732738036912789</v>
      </c>
      <c r="D1652">
        <v>1.198365220007622</v>
      </c>
      <c r="E1652">
        <v>1.1060156481846359</v>
      </c>
      <c r="F1652">
        <v>3.1963825443096252</v>
      </c>
      <c r="G1652">
        <v>6.3081225272446408</v>
      </c>
      <c r="H1652">
        <v>69.023928538669892</v>
      </c>
      <c r="I1652">
        <v>20.258049924377119</v>
      </c>
      <c r="J1652">
        <v>22.927724317864659</v>
      </c>
      <c r="K1652">
        <v>1244.3395101157</v>
      </c>
      <c r="L1652">
        <v>0</v>
      </c>
      <c r="M1652" t="s">
        <v>66</v>
      </c>
    </row>
    <row r="1653" spans="1:13" x14ac:dyDescent="0.3">
      <c r="A1653" t="s">
        <v>19</v>
      </c>
      <c r="B1653" t="s">
        <v>44</v>
      </c>
      <c r="C1653">
        <v>45.526527253819459</v>
      </c>
      <c r="D1653">
        <v>2.2991299484934271</v>
      </c>
      <c r="E1653">
        <v>2.8843821431584811</v>
      </c>
      <c r="F1653">
        <v>6.6138103358024942</v>
      </c>
      <c r="G1653">
        <v>6.2116151088933016</v>
      </c>
      <c r="H1653">
        <v>24.764749202167192</v>
      </c>
      <c r="I1653">
        <v>20.017313854420529</v>
      </c>
      <c r="J1653">
        <v>31.031250923807612</v>
      </c>
      <c r="K1653">
        <v>2257</v>
      </c>
      <c r="L1653">
        <v>1</v>
      </c>
      <c r="M1653" t="s">
        <v>66</v>
      </c>
    </row>
    <row r="1654" spans="1:13" x14ac:dyDescent="0.3">
      <c r="A1654" t="s">
        <v>18</v>
      </c>
      <c r="B1654" t="s">
        <v>43</v>
      </c>
      <c r="C1654">
        <v>24.54057404036077</v>
      </c>
      <c r="D1654">
        <v>0.93788416638411487</v>
      </c>
      <c r="E1654">
        <v>1.047265178947292</v>
      </c>
      <c r="F1654">
        <v>3.4311041501116009</v>
      </c>
      <c r="G1654">
        <v>6.1497685730103679</v>
      </c>
      <c r="H1654">
        <v>25.308832992185149</v>
      </c>
      <c r="I1654">
        <v>25.73398580128444</v>
      </c>
      <c r="J1654">
        <v>19.234259296025328</v>
      </c>
      <c r="K1654">
        <v>1898.5231528328461</v>
      </c>
      <c r="L1654">
        <v>1</v>
      </c>
      <c r="M1654" t="s">
        <v>66</v>
      </c>
    </row>
    <row r="1655" spans="1:13" x14ac:dyDescent="0.3">
      <c r="A1655" t="s">
        <v>25</v>
      </c>
      <c r="B1655" t="s">
        <v>62</v>
      </c>
      <c r="C1655">
        <v>22.66521556157927</v>
      </c>
      <c r="D1655">
        <v>1.2028050209010579</v>
      </c>
      <c r="E1655">
        <v>0.81293499657484336</v>
      </c>
      <c r="F1655">
        <v>4.262952283004477</v>
      </c>
      <c r="G1655">
        <v>5.5032170820647721</v>
      </c>
      <c r="H1655">
        <v>47.919009199534763</v>
      </c>
      <c r="I1655">
        <v>19.840089068036491</v>
      </c>
      <c r="J1655">
        <v>23.55201786617544</v>
      </c>
      <c r="K1655">
        <v>1069.151520897148</v>
      </c>
      <c r="L1655">
        <v>0</v>
      </c>
      <c r="M1655" t="s">
        <v>66</v>
      </c>
    </row>
    <row r="1656" spans="1:13" x14ac:dyDescent="0.3">
      <c r="A1656" t="s">
        <v>18</v>
      </c>
      <c r="B1656" t="s">
        <v>41</v>
      </c>
      <c r="C1656">
        <v>11.911718420479369</v>
      </c>
      <c r="D1656">
        <v>0</v>
      </c>
      <c r="E1656">
        <v>0</v>
      </c>
      <c r="F1656">
        <v>1.083667878638247</v>
      </c>
      <c r="G1656">
        <v>6.1194009136467509</v>
      </c>
      <c r="H1656">
        <v>19.126239652824911</v>
      </c>
      <c r="I1656">
        <v>20.424561231979411</v>
      </c>
      <c r="J1656">
        <v>18.885098473677431</v>
      </c>
      <c r="K1656">
        <v>1855.336238721728</v>
      </c>
      <c r="L1656">
        <v>1</v>
      </c>
      <c r="M1656" t="s">
        <v>66</v>
      </c>
    </row>
    <row r="1657" spans="1:13" x14ac:dyDescent="0.3">
      <c r="A1657" t="s">
        <v>19</v>
      </c>
      <c r="B1657" t="s">
        <v>44</v>
      </c>
      <c r="C1657">
        <v>22.085589406619761</v>
      </c>
      <c r="D1657">
        <v>1.196856369496625</v>
      </c>
      <c r="E1657">
        <v>0.95615295248044152</v>
      </c>
      <c r="F1657">
        <v>2.7594873096067492</v>
      </c>
      <c r="G1657">
        <v>6.4247212740170294</v>
      </c>
      <c r="H1657">
        <v>20.216497593714742</v>
      </c>
      <c r="I1657">
        <v>27.748025607103749</v>
      </c>
      <c r="J1657">
        <v>23.834040432788591</v>
      </c>
      <c r="K1657">
        <v>1346.292539615107</v>
      </c>
      <c r="L1657">
        <v>0</v>
      </c>
      <c r="M1657" t="s">
        <v>66</v>
      </c>
    </row>
    <row r="1658" spans="1:13" x14ac:dyDescent="0.3">
      <c r="A1658" t="s">
        <v>17</v>
      </c>
      <c r="B1658" t="s">
        <v>39</v>
      </c>
      <c r="C1658">
        <v>17.668322474008288</v>
      </c>
      <c r="D1658">
        <v>0</v>
      </c>
      <c r="E1658">
        <v>1.1103922598274181</v>
      </c>
      <c r="F1658">
        <v>2.0803035718891709</v>
      </c>
      <c r="G1658">
        <v>5.4370784029219799</v>
      </c>
      <c r="H1658">
        <v>22.21598136466087</v>
      </c>
      <c r="I1658">
        <v>20.85328622941417</v>
      </c>
      <c r="J1658">
        <v>27.307616720009541</v>
      </c>
      <c r="K1658">
        <v>2161.6379482169591</v>
      </c>
      <c r="L1658">
        <v>1</v>
      </c>
      <c r="M1658" t="s">
        <v>66</v>
      </c>
    </row>
    <row r="1659" spans="1:13" x14ac:dyDescent="0.3">
      <c r="A1659" t="s">
        <v>15</v>
      </c>
      <c r="B1659" t="s">
        <v>34</v>
      </c>
      <c r="C1659">
        <v>101.54590048905671</v>
      </c>
      <c r="D1659">
        <v>5.0139123775945498</v>
      </c>
      <c r="E1659">
        <v>6.6481744591614218</v>
      </c>
      <c r="F1659">
        <v>18.96358043472863</v>
      </c>
      <c r="G1659">
        <v>5.9698061400961429</v>
      </c>
      <c r="H1659">
        <v>41.512711512744389</v>
      </c>
      <c r="I1659">
        <v>16.70488953902554</v>
      </c>
      <c r="J1659">
        <v>29.645683044761931</v>
      </c>
      <c r="K1659">
        <v>1658.888411658701</v>
      </c>
      <c r="L1659">
        <v>1</v>
      </c>
      <c r="M1659" t="s">
        <v>66</v>
      </c>
    </row>
    <row r="1660" spans="1:13" x14ac:dyDescent="0.3">
      <c r="A1660" t="s">
        <v>24</v>
      </c>
      <c r="B1660" t="s">
        <v>61</v>
      </c>
      <c r="C1660">
        <v>681.6491352920051</v>
      </c>
      <c r="D1660">
        <v>34.044917868911668</v>
      </c>
      <c r="E1660">
        <v>45.878543407999402</v>
      </c>
      <c r="F1660">
        <v>114.1825920396788</v>
      </c>
      <c r="G1660">
        <v>6.1629502457442484</v>
      </c>
      <c r="H1660">
        <v>74.286933282855387</v>
      </c>
      <c r="I1660">
        <v>30.711357209415649</v>
      </c>
      <c r="J1660">
        <v>30.25454214685298</v>
      </c>
      <c r="K1660">
        <v>11</v>
      </c>
      <c r="L1660">
        <v>-1</v>
      </c>
      <c r="M1660" t="s">
        <v>66</v>
      </c>
    </row>
    <row r="1661" spans="1:13" x14ac:dyDescent="0.3">
      <c r="A1661" t="s">
        <v>19</v>
      </c>
      <c r="B1661" t="s">
        <v>48</v>
      </c>
      <c r="C1661">
        <v>28.818367054821</v>
      </c>
      <c r="D1661">
        <v>0.93682061339685019</v>
      </c>
      <c r="E1661">
        <v>0.87722321699658945</v>
      </c>
      <c r="F1661">
        <v>3.9700498557336679</v>
      </c>
      <c r="G1661">
        <v>6.0400719045493068</v>
      </c>
      <c r="H1661">
        <v>16.775922896700159</v>
      </c>
      <c r="I1661">
        <v>31.516156601045431</v>
      </c>
      <c r="J1661">
        <v>25.216516278906969</v>
      </c>
      <c r="K1661">
        <v>1158.321720587177</v>
      </c>
      <c r="L1661">
        <v>0</v>
      </c>
      <c r="M1661" t="s">
        <v>66</v>
      </c>
    </row>
    <row r="1662" spans="1:13" x14ac:dyDescent="0.3">
      <c r="A1662" t="s">
        <v>19</v>
      </c>
      <c r="B1662" t="s">
        <v>44</v>
      </c>
      <c r="C1662">
        <v>38.328957600832958</v>
      </c>
      <c r="D1662">
        <v>1.077067894269103</v>
      </c>
      <c r="E1662">
        <v>1.7145150060806991</v>
      </c>
      <c r="F1662">
        <v>7.0396992591564214</v>
      </c>
      <c r="G1662">
        <v>5.8965819436849314</v>
      </c>
      <c r="H1662">
        <v>25.46798246889966</v>
      </c>
      <c r="I1662">
        <v>19.739731225365599</v>
      </c>
      <c r="J1662">
        <v>18.62125237288091</v>
      </c>
      <c r="K1662">
        <v>2001.3212081637489</v>
      </c>
      <c r="L1662">
        <v>1</v>
      </c>
      <c r="M1662" t="s">
        <v>66</v>
      </c>
    </row>
    <row r="1663" spans="1:13" x14ac:dyDescent="0.3">
      <c r="A1663" t="s">
        <v>15</v>
      </c>
      <c r="B1663" t="s">
        <v>34</v>
      </c>
      <c r="C1663">
        <v>115.6243484981709</v>
      </c>
      <c r="D1663">
        <v>5.2195641215667754</v>
      </c>
      <c r="E1663">
        <v>7.127975272635851</v>
      </c>
      <c r="F1663">
        <v>13.596451477423059</v>
      </c>
      <c r="G1663">
        <v>5.9730792764783214</v>
      </c>
      <c r="H1663">
        <v>34.764151606429543</v>
      </c>
      <c r="I1663">
        <v>23.583261612418319</v>
      </c>
      <c r="J1663">
        <v>19.205720075014291</v>
      </c>
      <c r="K1663">
        <v>2112.628462178528</v>
      </c>
      <c r="L1663">
        <v>1</v>
      </c>
      <c r="M1663" t="s">
        <v>66</v>
      </c>
    </row>
    <row r="1664" spans="1:13" x14ac:dyDescent="0.3">
      <c r="A1664" t="s">
        <v>15</v>
      </c>
      <c r="B1664" t="s">
        <v>33</v>
      </c>
      <c r="C1664">
        <v>79.036515615618342</v>
      </c>
      <c r="D1664">
        <v>2.8627154353778712</v>
      </c>
      <c r="E1664">
        <v>5.5724296182624116</v>
      </c>
      <c r="F1664">
        <v>11.30962169619279</v>
      </c>
      <c r="G1664">
        <v>5.4952491109421624</v>
      </c>
      <c r="H1664">
        <v>25.743162877188929</v>
      </c>
      <c r="I1664">
        <v>18.51279289371643</v>
      </c>
      <c r="J1664">
        <v>18.030525867252141</v>
      </c>
      <c r="K1664">
        <v>1912.639178509422</v>
      </c>
      <c r="L1664">
        <v>1</v>
      </c>
      <c r="M1664" t="s">
        <v>66</v>
      </c>
    </row>
    <row r="1665" spans="1:13" x14ac:dyDescent="0.3">
      <c r="A1665" t="s">
        <v>24</v>
      </c>
      <c r="B1665" t="s">
        <v>61</v>
      </c>
      <c r="C1665">
        <v>192.40627030753089</v>
      </c>
      <c r="D1665">
        <v>8.5302509467131422</v>
      </c>
      <c r="E1665">
        <v>10.549086377827949</v>
      </c>
      <c r="F1665">
        <v>25.935761887376071</v>
      </c>
      <c r="G1665">
        <v>6.1616421583121497</v>
      </c>
      <c r="H1665">
        <v>25.36182596906071</v>
      </c>
      <c r="I1665">
        <v>30.966354203494689</v>
      </c>
      <c r="J1665">
        <v>31.672899665588869</v>
      </c>
      <c r="K1665">
        <v>14.1910504723221</v>
      </c>
      <c r="L1665">
        <v>-1</v>
      </c>
      <c r="M1665" t="s">
        <v>66</v>
      </c>
    </row>
    <row r="1666" spans="1:13" x14ac:dyDescent="0.3">
      <c r="A1666" t="s">
        <v>24</v>
      </c>
      <c r="B1666" t="s">
        <v>59</v>
      </c>
      <c r="C1666">
        <v>370.14017219960891</v>
      </c>
      <c r="D1666">
        <v>16.092773199955051</v>
      </c>
      <c r="E1666">
        <v>23.666076192373922</v>
      </c>
      <c r="F1666">
        <v>55.844563121619863</v>
      </c>
      <c r="G1666">
        <v>5.0881017753873374</v>
      </c>
      <c r="H1666">
        <v>78.43824017937817</v>
      </c>
      <c r="I1666">
        <v>31.485421261911458</v>
      </c>
      <c r="J1666">
        <v>30.276143048568429</v>
      </c>
      <c r="K1666">
        <v>11</v>
      </c>
      <c r="L1666">
        <v>-1</v>
      </c>
      <c r="M1666" t="s">
        <v>66</v>
      </c>
    </row>
    <row r="1667" spans="1:13" x14ac:dyDescent="0.3">
      <c r="A1667" t="s">
        <v>24</v>
      </c>
      <c r="B1667" t="s">
        <v>57</v>
      </c>
      <c r="C1667">
        <v>8.7819335875792461</v>
      </c>
      <c r="D1667">
        <v>0</v>
      </c>
      <c r="E1667">
        <v>0</v>
      </c>
      <c r="F1667">
        <v>1.1395667917716319</v>
      </c>
      <c r="G1667">
        <v>6.1172664232540512</v>
      </c>
      <c r="H1667">
        <v>38.512060320345192</v>
      </c>
      <c r="I1667">
        <v>23.501748617120601</v>
      </c>
      <c r="J1667">
        <v>24.473567919524331</v>
      </c>
      <c r="K1667">
        <v>748.15961749784094</v>
      </c>
      <c r="L1667">
        <v>0</v>
      </c>
      <c r="M1667" t="s">
        <v>66</v>
      </c>
    </row>
    <row r="1668" spans="1:13" x14ac:dyDescent="0.3">
      <c r="A1668" t="s">
        <v>21</v>
      </c>
      <c r="B1668" t="s">
        <v>52</v>
      </c>
      <c r="C1668">
        <v>32.1533752765557</v>
      </c>
      <c r="D1668">
        <v>0.91753692534358944</v>
      </c>
      <c r="E1668">
        <v>2.0782889599973542</v>
      </c>
      <c r="F1668">
        <v>5.3096745716769682</v>
      </c>
      <c r="G1668">
        <v>6.1458638882515562</v>
      </c>
      <c r="H1668">
        <v>25.801065355065589</v>
      </c>
      <c r="I1668">
        <v>26.316711805005198</v>
      </c>
      <c r="J1668">
        <v>21.721810056544609</v>
      </c>
      <c r="K1668">
        <v>1173.4328574713461</v>
      </c>
      <c r="L1668">
        <v>1</v>
      </c>
      <c r="M1668" t="s">
        <v>66</v>
      </c>
    </row>
    <row r="1669" spans="1:13" x14ac:dyDescent="0.3">
      <c r="A1669" t="s">
        <v>15</v>
      </c>
      <c r="B1669" t="s">
        <v>34</v>
      </c>
      <c r="C1669">
        <v>122.8734828621192</v>
      </c>
      <c r="D1669">
        <v>4.4735818700028904</v>
      </c>
      <c r="E1669">
        <v>6.9929218064862866</v>
      </c>
      <c r="F1669">
        <v>17.589972076077508</v>
      </c>
      <c r="G1669">
        <v>6.0551683381209118</v>
      </c>
      <c r="H1669">
        <v>42.877995008264961</v>
      </c>
      <c r="I1669">
        <v>15.9</v>
      </c>
      <c r="J1669">
        <v>28.61343666619673</v>
      </c>
      <c r="K1669">
        <v>1679.242709608847</v>
      </c>
      <c r="L1669">
        <v>1</v>
      </c>
      <c r="M1669" t="s">
        <v>66</v>
      </c>
    </row>
    <row r="1670" spans="1:13" x14ac:dyDescent="0.3">
      <c r="A1670" t="s">
        <v>21</v>
      </c>
      <c r="B1670" t="s">
        <v>52</v>
      </c>
      <c r="C1670">
        <v>56.209668597946148</v>
      </c>
      <c r="D1670">
        <v>2.1570997143131971</v>
      </c>
      <c r="E1670">
        <v>2.9631787793761339</v>
      </c>
      <c r="F1670">
        <v>8.7470264226521657</v>
      </c>
      <c r="G1670">
        <v>6.4065686094228491</v>
      </c>
      <c r="H1670">
        <v>34.631306273512827</v>
      </c>
      <c r="I1670">
        <v>21.569150591315289</v>
      </c>
      <c r="J1670">
        <v>20.393338319372099</v>
      </c>
      <c r="K1670">
        <v>1271.6371056188</v>
      </c>
      <c r="L1670">
        <v>1</v>
      </c>
      <c r="M1670" t="s">
        <v>66</v>
      </c>
    </row>
    <row r="1671" spans="1:13" x14ac:dyDescent="0.3">
      <c r="A1671" t="s">
        <v>18</v>
      </c>
      <c r="B1671" t="s">
        <v>42</v>
      </c>
      <c r="C1671">
        <v>51.97071335756771</v>
      </c>
      <c r="D1671">
        <v>1.9343196482803009</v>
      </c>
      <c r="E1671">
        <v>2.962483590345979</v>
      </c>
      <c r="F1671">
        <v>9.3691118973902299</v>
      </c>
      <c r="G1671">
        <v>5.4420450571084791</v>
      </c>
      <c r="H1671">
        <v>19.648903146937378</v>
      </c>
      <c r="I1671">
        <v>21.03607141337547</v>
      </c>
      <c r="J1671">
        <v>30.347999726130769</v>
      </c>
      <c r="K1671">
        <v>1783.963099608877</v>
      </c>
      <c r="L1671">
        <v>1</v>
      </c>
      <c r="M1671" t="s">
        <v>66</v>
      </c>
    </row>
    <row r="1672" spans="1:13" x14ac:dyDescent="0.3">
      <c r="A1672" t="s">
        <v>15</v>
      </c>
      <c r="B1672" t="s">
        <v>33</v>
      </c>
      <c r="C1672">
        <v>101.9267493112437</v>
      </c>
      <c r="D1672">
        <v>2.9726688800439351</v>
      </c>
      <c r="E1672">
        <v>3.544341725389399</v>
      </c>
      <c r="F1672">
        <v>9.8030613476148041</v>
      </c>
      <c r="G1672">
        <v>6.0360833235909226</v>
      </c>
      <c r="H1672">
        <v>32.789046844411693</v>
      </c>
      <c r="I1672">
        <v>16.720901691783329</v>
      </c>
      <c r="J1672">
        <v>18.586117102632329</v>
      </c>
      <c r="K1672">
        <v>2049.5906047627582</v>
      </c>
      <c r="L1672">
        <v>1</v>
      </c>
      <c r="M1672" t="s">
        <v>66</v>
      </c>
    </row>
    <row r="1673" spans="1:13" x14ac:dyDescent="0.3">
      <c r="A1673" t="s">
        <v>16</v>
      </c>
      <c r="B1673" t="s">
        <v>36</v>
      </c>
      <c r="C1673">
        <v>21.395823536478218</v>
      </c>
      <c r="D1673">
        <v>1.012284238804567</v>
      </c>
      <c r="E1673">
        <v>0.96371973221958029</v>
      </c>
      <c r="F1673">
        <v>2.7206291106728808</v>
      </c>
      <c r="G1673">
        <v>6.3635953220905517</v>
      </c>
      <c r="H1673">
        <v>29.04408734550486</v>
      </c>
      <c r="I1673">
        <v>23.223539545833731</v>
      </c>
      <c r="J1673">
        <v>23.31851092776694</v>
      </c>
      <c r="K1673">
        <v>1760.4989988387269</v>
      </c>
      <c r="L1673">
        <v>1</v>
      </c>
      <c r="M1673" t="s">
        <v>66</v>
      </c>
    </row>
    <row r="1674" spans="1:13" x14ac:dyDescent="0.3">
      <c r="A1674" t="s">
        <v>22</v>
      </c>
      <c r="B1674" t="s">
        <v>53</v>
      </c>
      <c r="C1674">
        <v>171.9888481070623</v>
      </c>
      <c r="D1674">
        <v>7.8677979305032366</v>
      </c>
      <c r="E1674">
        <v>10.76236441354394</v>
      </c>
      <c r="F1674">
        <v>30.70715721463197</v>
      </c>
      <c r="G1674">
        <v>5.9023661364544528</v>
      </c>
      <c r="H1674">
        <v>33.918474439174631</v>
      </c>
      <c r="I1674">
        <v>23.656779200565989</v>
      </c>
      <c r="J1674">
        <v>20.838125881567581</v>
      </c>
      <c r="K1674">
        <v>1348.591769897507</v>
      </c>
      <c r="L1674">
        <v>1</v>
      </c>
      <c r="M1674" t="s">
        <v>66</v>
      </c>
    </row>
    <row r="1675" spans="1:13" x14ac:dyDescent="0.3">
      <c r="A1675" t="s">
        <v>15</v>
      </c>
      <c r="B1675" t="s">
        <v>33</v>
      </c>
      <c r="C1675">
        <v>67.86769792468975</v>
      </c>
      <c r="D1675">
        <v>2.7806714021788772</v>
      </c>
      <c r="E1675">
        <v>4.6906104923290082</v>
      </c>
      <c r="F1675">
        <v>10.808725891676101</v>
      </c>
      <c r="G1675">
        <v>5.4593602867245288</v>
      </c>
      <c r="H1675">
        <v>34.815716415866788</v>
      </c>
      <c r="I1675">
        <v>22.270631024286239</v>
      </c>
      <c r="J1675">
        <v>18.637772505370229</v>
      </c>
      <c r="K1675">
        <v>1889.2707752577339</v>
      </c>
      <c r="L1675">
        <v>1</v>
      </c>
      <c r="M1675" t="s">
        <v>66</v>
      </c>
    </row>
    <row r="1676" spans="1:13" x14ac:dyDescent="0.3">
      <c r="A1676" t="s">
        <v>16</v>
      </c>
      <c r="B1676" t="s">
        <v>36</v>
      </c>
      <c r="C1676">
        <v>21.780280052381741</v>
      </c>
      <c r="D1676">
        <v>1.0412799089961471</v>
      </c>
      <c r="E1676">
        <v>0.96552366573036341</v>
      </c>
      <c r="F1676">
        <v>2.739290073984709</v>
      </c>
      <c r="G1676">
        <v>5.9099055474523956</v>
      </c>
      <c r="H1676">
        <v>28.568272541876912</v>
      </c>
      <c r="I1676">
        <v>24.226403504428259</v>
      </c>
      <c r="J1676">
        <v>23.043433657623851</v>
      </c>
      <c r="K1676">
        <v>1692.93882439099</v>
      </c>
      <c r="L1676">
        <v>1</v>
      </c>
      <c r="M1676" t="s">
        <v>66</v>
      </c>
    </row>
    <row r="1677" spans="1:13" x14ac:dyDescent="0.3">
      <c r="A1677" t="s">
        <v>24</v>
      </c>
      <c r="B1677" t="s">
        <v>57</v>
      </c>
      <c r="C1677">
        <v>56.396160655368377</v>
      </c>
      <c r="D1677">
        <v>2.1177083361866331</v>
      </c>
      <c r="E1677">
        <v>2.6191557191614181</v>
      </c>
      <c r="F1677">
        <v>7.860526590788</v>
      </c>
      <c r="G1677">
        <v>5.4354964076009207</v>
      </c>
      <c r="H1677">
        <v>50.198005738626108</v>
      </c>
      <c r="I1677">
        <v>23.547382256629199</v>
      </c>
      <c r="J1677">
        <v>22.92931476138763</v>
      </c>
      <c r="K1677">
        <v>729.01815309197889</v>
      </c>
      <c r="L1677">
        <v>0</v>
      </c>
      <c r="M1677" t="s">
        <v>66</v>
      </c>
    </row>
    <row r="1678" spans="1:13" x14ac:dyDescent="0.3">
      <c r="A1678" t="s">
        <v>16</v>
      </c>
      <c r="B1678" t="s">
        <v>38</v>
      </c>
      <c r="C1678">
        <v>890.59426217243606</v>
      </c>
      <c r="D1678">
        <v>47</v>
      </c>
      <c r="E1678">
        <v>67</v>
      </c>
      <c r="F1678">
        <v>136.00780978504591</v>
      </c>
      <c r="G1678">
        <v>5.3516486416906091</v>
      </c>
      <c r="H1678">
        <v>24.009067693581851</v>
      </c>
      <c r="I1678">
        <v>18.95031523745557</v>
      </c>
      <c r="J1678">
        <v>21.91749731827322</v>
      </c>
      <c r="K1678">
        <v>1457.110506903382</v>
      </c>
      <c r="L1678">
        <v>1</v>
      </c>
      <c r="M1678" t="s">
        <v>66</v>
      </c>
    </row>
    <row r="1679" spans="1:13" x14ac:dyDescent="0.3">
      <c r="A1679" t="s">
        <v>23</v>
      </c>
      <c r="B1679" t="s">
        <v>56</v>
      </c>
      <c r="C1679">
        <v>84.961211356739284</v>
      </c>
      <c r="D1679">
        <v>3.634817418292668</v>
      </c>
      <c r="E1679">
        <v>4.6750111782386146</v>
      </c>
      <c r="F1679">
        <v>14.940859404437401</v>
      </c>
      <c r="G1679">
        <v>6.4332791952365866</v>
      </c>
      <c r="H1679">
        <v>22.50256784873832</v>
      </c>
      <c r="I1679">
        <v>20.17508520878231</v>
      </c>
      <c r="J1679">
        <v>18.363284414544591</v>
      </c>
      <c r="K1679">
        <v>1621.8912030266581</v>
      </c>
      <c r="L1679">
        <v>1</v>
      </c>
      <c r="M1679" t="s">
        <v>66</v>
      </c>
    </row>
    <row r="1680" spans="1:13" x14ac:dyDescent="0.3">
      <c r="A1680" t="s">
        <v>20</v>
      </c>
      <c r="B1680" t="s">
        <v>51</v>
      </c>
      <c r="C1680">
        <v>238.0927418529611</v>
      </c>
      <c r="D1680">
        <v>11.043458603627039</v>
      </c>
      <c r="E1680">
        <v>17.23827389446166</v>
      </c>
      <c r="F1680">
        <v>40.644829780303311</v>
      </c>
      <c r="G1680">
        <v>5.1579053119332814</v>
      </c>
      <c r="H1680">
        <v>29.860797882966668</v>
      </c>
      <c r="I1680">
        <v>20.195518651597911</v>
      </c>
      <c r="J1680">
        <v>19.107399454020609</v>
      </c>
      <c r="K1680">
        <v>1551.4099629229181</v>
      </c>
      <c r="L1680">
        <v>1</v>
      </c>
      <c r="M1680" t="s">
        <v>66</v>
      </c>
    </row>
    <row r="1681" spans="1:13" x14ac:dyDescent="0.3">
      <c r="A1681" t="s">
        <v>19</v>
      </c>
      <c r="B1681" t="s">
        <v>44</v>
      </c>
      <c r="C1681">
        <v>22.127416829106711</v>
      </c>
      <c r="D1681">
        <v>0.96686536494112918</v>
      </c>
      <c r="E1681">
        <v>0.89725991890086654</v>
      </c>
      <c r="F1681">
        <v>2.9171259379475458</v>
      </c>
      <c r="G1681">
        <v>6.624133054324008</v>
      </c>
      <c r="H1681">
        <v>18.886244876608309</v>
      </c>
      <c r="I1681">
        <v>26.57360528687834</v>
      </c>
      <c r="J1681">
        <v>23.624441861983019</v>
      </c>
      <c r="K1681">
        <v>1320.8439816378459</v>
      </c>
      <c r="L1681">
        <v>0</v>
      </c>
      <c r="M1681" t="s">
        <v>66</v>
      </c>
    </row>
    <row r="1682" spans="1:13" x14ac:dyDescent="0.3">
      <c r="A1682" t="s">
        <v>25</v>
      </c>
      <c r="B1682" t="s">
        <v>62</v>
      </c>
      <c r="C1682">
        <v>568.22110639328218</v>
      </c>
      <c r="D1682">
        <v>33.665957404756277</v>
      </c>
      <c r="E1682">
        <v>40.363783029271261</v>
      </c>
      <c r="F1682">
        <v>82.905635449930372</v>
      </c>
      <c r="G1682">
        <v>4.4651005250399871</v>
      </c>
      <c r="H1682">
        <v>88.4</v>
      </c>
      <c r="I1682">
        <v>26.55115977916396</v>
      </c>
      <c r="J1682">
        <v>23.86859833039993</v>
      </c>
      <c r="K1682">
        <v>727.40058759851274</v>
      </c>
      <c r="L1682">
        <v>0</v>
      </c>
      <c r="M1682" t="s">
        <v>66</v>
      </c>
    </row>
    <row r="1683" spans="1:13" x14ac:dyDescent="0.3">
      <c r="A1683" t="s">
        <v>18</v>
      </c>
      <c r="B1683" t="s">
        <v>41</v>
      </c>
      <c r="C1683">
        <v>0</v>
      </c>
      <c r="D1683">
        <v>0</v>
      </c>
      <c r="E1683">
        <v>0</v>
      </c>
      <c r="F1683">
        <v>-1.7763568394002501E-15</v>
      </c>
      <c r="G1683">
        <v>6.2614256799516799</v>
      </c>
      <c r="H1683">
        <v>21.012410209126539</v>
      </c>
      <c r="I1683">
        <v>32.185441473640189</v>
      </c>
      <c r="J1683">
        <v>34.469545872346963</v>
      </c>
      <c r="K1683">
        <v>1813.478925205138</v>
      </c>
      <c r="L1683">
        <v>1</v>
      </c>
      <c r="M1683" t="s">
        <v>66</v>
      </c>
    </row>
    <row r="1684" spans="1:13" x14ac:dyDescent="0.3">
      <c r="A1684" t="s">
        <v>16</v>
      </c>
      <c r="B1684" t="s">
        <v>35</v>
      </c>
      <c r="C1684">
        <v>65.512183786978071</v>
      </c>
      <c r="D1684">
        <v>2.821035942777717</v>
      </c>
      <c r="E1684">
        <v>4.0066009494583934</v>
      </c>
      <c r="F1684">
        <v>9.6139128731680579</v>
      </c>
      <c r="G1684">
        <v>5.9923807868642642</v>
      </c>
      <c r="H1684">
        <v>37.647873881954787</v>
      </c>
      <c r="I1684">
        <v>20.262243239697622</v>
      </c>
      <c r="J1684">
        <v>28.41528217733687</v>
      </c>
      <c r="K1684">
        <v>2100.8740753230159</v>
      </c>
      <c r="L1684">
        <v>1</v>
      </c>
      <c r="M1684" t="s">
        <v>66</v>
      </c>
    </row>
    <row r="1685" spans="1:13" x14ac:dyDescent="0.3">
      <c r="A1685" t="s">
        <v>16</v>
      </c>
      <c r="B1685" t="s">
        <v>36</v>
      </c>
      <c r="C1685">
        <v>22.21148368891723</v>
      </c>
      <c r="D1685">
        <v>0.90619637179080925</v>
      </c>
      <c r="E1685">
        <v>0.90516009798038422</v>
      </c>
      <c r="F1685">
        <v>2.6594539394194729</v>
      </c>
      <c r="G1685">
        <v>6.2021715036561504</v>
      </c>
      <c r="H1685">
        <v>26.299139827862021</v>
      </c>
      <c r="I1685">
        <v>23.118463139904328</v>
      </c>
      <c r="J1685">
        <v>23.000535489049781</v>
      </c>
      <c r="K1685">
        <v>1724.032092487545</v>
      </c>
      <c r="L1685">
        <v>1</v>
      </c>
      <c r="M1685" t="s">
        <v>66</v>
      </c>
    </row>
    <row r="1686" spans="1:13" x14ac:dyDescent="0.3">
      <c r="A1686" t="s">
        <v>15</v>
      </c>
      <c r="B1686" t="s">
        <v>31</v>
      </c>
      <c r="C1686">
        <v>21.631597373028342</v>
      </c>
      <c r="D1686">
        <v>0.97403648611039806</v>
      </c>
      <c r="E1686">
        <v>1.002113730153432</v>
      </c>
      <c r="F1686">
        <v>3.2233984169558312</v>
      </c>
      <c r="G1686">
        <v>6.4051138536328063</v>
      </c>
      <c r="H1686">
        <v>35.137971546571663</v>
      </c>
      <c r="I1686">
        <v>25.168017138352251</v>
      </c>
      <c r="J1686">
        <v>20.525490157909299</v>
      </c>
      <c r="K1686">
        <v>1598.162901653782</v>
      </c>
      <c r="L1686">
        <v>1</v>
      </c>
      <c r="M1686" t="s">
        <v>66</v>
      </c>
    </row>
    <row r="1687" spans="1:13" x14ac:dyDescent="0.3">
      <c r="A1687" t="s">
        <v>20</v>
      </c>
      <c r="B1687" t="s">
        <v>49</v>
      </c>
      <c r="C1687">
        <v>38.780902203445933</v>
      </c>
      <c r="D1687">
        <v>0.92693767987974862</v>
      </c>
      <c r="E1687">
        <v>2.0240406397394022</v>
      </c>
      <c r="F1687">
        <v>5.8725394148530619</v>
      </c>
      <c r="G1687">
        <v>6.3418159802440393</v>
      </c>
      <c r="H1687">
        <v>15.772495832435631</v>
      </c>
      <c r="I1687">
        <v>31.95285395219733</v>
      </c>
      <c r="J1687">
        <v>26.076805427345612</v>
      </c>
      <c r="K1687">
        <v>1183.0071795139011</v>
      </c>
      <c r="L1687">
        <v>0</v>
      </c>
      <c r="M1687" t="s">
        <v>66</v>
      </c>
    </row>
    <row r="1688" spans="1:13" x14ac:dyDescent="0.3">
      <c r="A1688" t="s">
        <v>24</v>
      </c>
      <c r="B1688" t="s">
        <v>58</v>
      </c>
      <c r="C1688">
        <v>36.189830705716297</v>
      </c>
      <c r="D1688">
        <v>0.90995417103085252</v>
      </c>
      <c r="E1688">
        <v>2.056270553778464</v>
      </c>
      <c r="F1688">
        <v>4.4852688653344153</v>
      </c>
      <c r="G1688">
        <v>6.8750327318268951</v>
      </c>
      <c r="H1688">
        <v>57.024276849962199</v>
      </c>
      <c r="I1688">
        <v>24.815630595637529</v>
      </c>
      <c r="J1688">
        <v>22.713645780171412</v>
      </c>
      <c r="K1688">
        <v>747.98216405743995</v>
      </c>
      <c r="L1688">
        <v>0</v>
      </c>
      <c r="M1688" t="s">
        <v>66</v>
      </c>
    </row>
    <row r="1689" spans="1:13" x14ac:dyDescent="0.3">
      <c r="A1689" t="s">
        <v>17</v>
      </c>
      <c r="B1689" t="s">
        <v>39</v>
      </c>
      <c r="C1689">
        <v>14.11420050131157</v>
      </c>
      <c r="D1689">
        <v>0</v>
      </c>
      <c r="E1689">
        <v>0</v>
      </c>
      <c r="F1689">
        <v>2.487261787180858</v>
      </c>
      <c r="G1689">
        <v>5.3200605649102588</v>
      </c>
      <c r="H1689">
        <v>27.269098236322179</v>
      </c>
      <c r="I1689">
        <v>20.52910597635622</v>
      </c>
      <c r="J1689">
        <v>24.66346056470865</v>
      </c>
      <c r="K1689">
        <v>2157.2144377236018</v>
      </c>
      <c r="L1689">
        <v>1</v>
      </c>
      <c r="M1689" t="s">
        <v>66</v>
      </c>
    </row>
    <row r="1690" spans="1:13" x14ac:dyDescent="0.3">
      <c r="A1690" t="s">
        <v>15</v>
      </c>
      <c r="B1690" t="s">
        <v>34</v>
      </c>
      <c r="C1690">
        <v>59.008155653896821</v>
      </c>
      <c r="D1690">
        <v>3.1912679703926661</v>
      </c>
      <c r="E1690">
        <v>4.2033500018698113</v>
      </c>
      <c r="F1690">
        <v>8.6495954091425951</v>
      </c>
      <c r="G1690">
        <v>6.1664942098183317</v>
      </c>
      <c r="H1690">
        <v>35.252836809515877</v>
      </c>
      <c r="I1690">
        <v>18.735775961804499</v>
      </c>
      <c r="J1690">
        <v>19.62884849231726</v>
      </c>
      <c r="K1690">
        <v>2134.962953865007</v>
      </c>
      <c r="L1690">
        <v>1</v>
      </c>
      <c r="M1690" t="s">
        <v>66</v>
      </c>
    </row>
    <row r="1691" spans="1:13" x14ac:dyDescent="0.3">
      <c r="A1691" t="s">
        <v>21</v>
      </c>
      <c r="B1691" t="s">
        <v>52</v>
      </c>
      <c r="C1691">
        <v>22.07950950344069</v>
      </c>
      <c r="D1691">
        <v>0.92240074021294927</v>
      </c>
      <c r="E1691">
        <v>1.211611881788111</v>
      </c>
      <c r="F1691">
        <v>2.9760833142537808</v>
      </c>
      <c r="G1691">
        <v>6.261728969351247</v>
      </c>
      <c r="H1691">
        <v>26.289558232326659</v>
      </c>
      <c r="I1691">
        <v>26.05958105391446</v>
      </c>
      <c r="J1691">
        <v>22.180745725660199</v>
      </c>
      <c r="K1691">
        <v>1232.0255276963289</v>
      </c>
      <c r="L1691">
        <v>1</v>
      </c>
      <c r="M1691" t="s">
        <v>66</v>
      </c>
    </row>
    <row r="1692" spans="1:13" x14ac:dyDescent="0.3">
      <c r="A1692" t="s">
        <v>16</v>
      </c>
      <c r="B1692" t="s">
        <v>36</v>
      </c>
      <c r="C1692">
        <v>21.048562796829088</v>
      </c>
      <c r="D1692">
        <v>1.0121713959165961</v>
      </c>
      <c r="E1692">
        <v>1.111172020262071</v>
      </c>
      <c r="F1692">
        <v>3.0735374484660549</v>
      </c>
      <c r="G1692">
        <v>6.3110141889810096</v>
      </c>
      <c r="H1692">
        <v>28.824389312717269</v>
      </c>
      <c r="I1692">
        <v>22.395211739362971</v>
      </c>
      <c r="J1692">
        <v>21.803034939718319</v>
      </c>
      <c r="K1692">
        <v>1762.9285973179569</v>
      </c>
      <c r="L1692">
        <v>1</v>
      </c>
      <c r="M1692" t="s">
        <v>66</v>
      </c>
    </row>
    <row r="1693" spans="1:13" x14ac:dyDescent="0.3">
      <c r="A1693" t="s">
        <v>25</v>
      </c>
      <c r="B1693" t="s">
        <v>62</v>
      </c>
      <c r="C1693">
        <v>31.537520762862211</v>
      </c>
      <c r="D1693">
        <v>1.099497779743801</v>
      </c>
      <c r="E1693">
        <v>2.0398953153909241</v>
      </c>
      <c r="F1693">
        <v>5.1905254201530333</v>
      </c>
      <c r="G1693">
        <v>6.3500209264872192</v>
      </c>
      <c r="H1693">
        <v>34.202507304098411</v>
      </c>
      <c r="I1693">
        <v>20.32555780546431</v>
      </c>
      <c r="J1693">
        <v>24.646826062574071</v>
      </c>
      <c r="K1693">
        <v>1094.4565528169051</v>
      </c>
      <c r="L1693">
        <v>0</v>
      </c>
      <c r="M1693" t="s">
        <v>66</v>
      </c>
    </row>
    <row r="1694" spans="1:13" x14ac:dyDescent="0.3">
      <c r="A1694" t="s">
        <v>19</v>
      </c>
      <c r="B1694" t="s">
        <v>44</v>
      </c>
      <c r="C1694">
        <v>30.898203911291411</v>
      </c>
      <c r="D1694">
        <v>0.87889009596016443</v>
      </c>
      <c r="E1694">
        <v>2.021218244490369</v>
      </c>
      <c r="F1694">
        <v>3.8258078389580881</v>
      </c>
      <c r="G1694">
        <v>5.764023496147189</v>
      </c>
      <c r="H1694">
        <v>20.638755799846969</v>
      </c>
      <c r="I1694">
        <v>16.67763062607348</v>
      </c>
      <c r="J1694">
        <v>21.762329414839218</v>
      </c>
      <c r="K1694">
        <v>1768.2336896690699</v>
      </c>
      <c r="L1694">
        <v>1</v>
      </c>
      <c r="M1694" t="s">
        <v>66</v>
      </c>
    </row>
    <row r="1695" spans="1:13" x14ac:dyDescent="0.3">
      <c r="A1695" t="s">
        <v>21</v>
      </c>
      <c r="B1695" t="s">
        <v>52</v>
      </c>
      <c r="C1695">
        <v>32.621125036422882</v>
      </c>
      <c r="D1695">
        <v>1.005013778977454</v>
      </c>
      <c r="E1695">
        <v>2.010069447072643</v>
      </c>
      <c r="F1695">
        <v>5.3441609640872159</v>
      </c>
      <c r="G1695">
        <v>5.9999419588244223</v>
      </c>
      <c r="H1695">
        <v>33.263776075518493</v>
      </c>
      <c r="I1695">
        <v>19.740154721868851</v>
      </c>
      <c r="J1695">
        <v>19.39256815951088</v>
      </c>
      <c r="K1695">
        <v>1535.58431975952</v>
      </c>
      <c r="L1695">
        <v>1</v>
      </c>
      <c r="M1695" t="s">
        <v>66</v>
      </c>
    </row>
    <row r="1696" spans="1:13" x14ac:dyDescent="0.3">
      <c r="A1696" t="s">
        <v>16</v>
      </c>
      <c r="B1696" t="s">
        <v>37</v>
      </c>
      <c r="C1696">
        <v>12.185653115096001</v>
      </c>
      <c r="D1696">
        <v>0</v>
      </c>
      <c r="E1696">
        <v>0</v>
      </c>
      <c r="F1696">
        <v>1.1280721453852769</v>
      </c>
      <c r="G1696">
        <v>6.5550852640921926</v>
      </c>
      <c r="H1696">
        <v>33.546833041443548</v>
      </c>
      <c r="I1696">
        <v>17.572424657833771</v>
      </c>
      <c r="J1696">
        <v>21.81552518004575</v>
      </c>
      <c r="K1696">
        <v>1480.141563364828</v>
      </c>
      <c r="L1696">
        <v>1</v>
      </c>
      <c r="M1696" t="s">
        <v>66</v>
      </c>
    </row>
    <row r="1697" spans="1:13" x14ac:dyDescent="0.3">
      <c r="A1697" t="s">
        <v>22</v>
      </c>
      <c r="B1697" t="s">
        <v>53</v>
      </c>
      <c r="C1697">
        <v>72.127532533685667</v>
      </c>
      <c r="D1697">
        <v>2.5261991144397342</v>
      </c>
      <c r="E1697">
        <v>5.2529018970129249</v>
      </c>
      <c r="F1697">
        <v>13.32017369751286</v>
      </c>
      <c r="G1697">
        <v>6.1056938002472929</v>
      </c>
      <c r="H1697">
        <v>32.672683886045562</v>
      </c>
      <c r="I1697">
        <v>26.119047220404621</v>
      </c>
      <c r="J1697">
        <v>21.39709534168728</v>
      </c>
      <c r="K1697">
        <v>1308.0780389900799</v>
      </c>
      <c r="L1697">
        <v>1</v>
      </c>
      <c r="M1697" t="s">
        <v>66</v>
      </c>
    </row>
    <row r="1698" spans="1:13" x14ac:dyDescent="0.3">
      <c r="A1698" t="s">
        <v>19</v>
      </c>
      <c r="B1698" t="s">
        <v>45</v>
      </c>
      <c r="C1698">
        <v>44.901551603069187</v>
      </c>
      <c r="D1698">
        <v>1.7789062900918211</v>
      </c>
      <c r="E1698">
        <v>2.7936524770365549</v>
      </c>
      <c r="F1698">
        <v>6.2712329607138262</v>
      </c>
      <c r="G1698">
        <v>6.247945702440588</v>
      </c>
      <c r="H1698">
        <v>32.591478535485109</v>
      </c>
      <c r="I1698">
        <v>21.637160834029089</v>
      </c>
      <c r="J1698">
        <v>27.56752397301841</v>
      </c>
      <c r="K1698">
        <v>1412.4261161599429</v>
      </c>
      <c r="L1698">
        <v>1</v>
      </c>
      <c r="M1698" t="s">
        <v>66</v>
      </c>
    </row>
    <row r="1699" spans="1:13" x14ac:dyDescent="0.3">
      <c r="A1699" t="s">
        <v>15</v>
      </c>
      <c r="B1699" t="s">
        <v>34</v>
      </c>
      <c r="C1699">
        <v>111.9887255835213</v>
      </c>
      <c r="D1699">
        <v>5.176565547602725</v>
      </c>
      <c r="E1699">
        <v>7.9507180576229146</v>
      </c>
      <c r="F1699">
        <v>18.660461514856529</v>
      </c>
      <c r="G1699">
        <v>5.8959148068889284</v>
      </c>
      <c r="H1699">
        <v>42.951188448159733</v>
      </c>
      <c r="I1699">
        <v>16.66836802161664</v>
      </c>
      <c r="J1699">
        <v>29.098774679375811</v>
      </c>
      <c r="K1699">
        <v>1624.5911123088781</v>
      </c>
      <c r="L1699">
        <v>1</v>
      </c>
      <c r="M1699" t="s">
        <v>66</v>
      </c>
    </row>
    <row r="1700" spans="1:13" x14ac:dyDescent="0.3">
      <c r="A1700" t="s">
        <v>16</v>
      </c>
      <c r="B1700" t="s">
        <v>36</v>
      </c>
      <c r="C1700">
        <v>15.3781509070912</v>
      </c>
      <c r="D1700">
        <v>0</v>
      </c>
      <c r="E1700">
        <v>0.94418561137392309</v>
      </c>
      <c r="F1700">
        <v>1.7232737289752309</v>
      </c>
      <c r="G1700">
        <v>5.6014454451185616</v>
      </c>
      <c r="H1700">
        <v>28.655464389053861</v>
      </c>
      <c r="I1700">
        <v>23.589836431068779</v>
      </c>
      <c r="J1700">
        <v>28.510713598145291</v>
      </c>
      <c r="K1700">
        <v>1946.13898839835</v>
      </c>
      <c r="L1700">
        <v>1</v>
      </c>
      <c r="M1700" t="s">
        <v>66</v>
      </c>
    </row>
    <row r="1701" spans="1:13" x14ac:dyDescent="0.3">
      <c r="A1701" t="s">
        <v>19</v>
      </c>
      <c r="B1701" t="s">
        <v>45</v>
      </c>
      <c r="C1701">
        <v>19.463901678263781</v>
      </c>
      <c r="D1701">
        <v>0.8683505465319632</v>
      </c>
      <c r="E1701">
        <v>0.87036626765689729</v>
      </c>
      <c r="F1701">
        <v>3.6521589271597552</v>
      </c>
      <c r="G1701">
        <v>6.2110928572964568</v>
      </c>
      <c r="H1701">
        <v>19.4692707441131</v>
      </c>
      <c r="I1701">
        <v>31.763357599936921</v>
      </c>
      <c r="J1701">
        <v>24.272651559446832</v>
      </c>
      <c r="K1701">
        <v>1340.677803532049</v>
      </c>
      <c r="L1701">
        <v>0</v>
      </c>
      <c r="M1701" t="s">
        <v>66</v>
      </c>
    </row>
    <row r="1702" spans="1:13" x14ac:dyDescent="0.3">
      <c r="A1702" t="s">
        <v>22</v>
      </c>
      <c r="B1702" t="s">
        <v>53</v>
      </c>
      <c r="C1702">
        <v>47.740993579449793</v>
      </c>
      <c r="D1702">
        <v>2.1193496378613168</v>
      </c>
      <c r="E1702">
        <v>3.5095688588756841</v>
      </c>
      <c r="F1702">
        <v>8.1507285300672905</v>
      </c>
      <c r="G1702">
        <v>5.7850556028368301</v>
      </c>
      <c r="H1702">
        <v>27.219594142180739</v>
      </c>
      <c r="I1702">
        <v>24.323032219640371</v>
      </c>
      <c r="J1702">
        <v>23.07082290562062</v>
      </c>
      <c r="K1702">
        <v>1469.1292773084249</v>
      </c>
      <c r="L1702">
        <v>1</v>
      </c>
      <c r="M1702" t="s">
        <v>66</v>
      </c>
    </row>
    <row r="1703" spans="1:13" x14ac:dyDescent="0.3">
      <c r="A1703" t="s">
        <v>19</v>
      </c>
      <c r="B1703" t="s">
        <v>47</v>
      </c>
      <c r="C1703">
        <v>10.323146211077161</v>
      </c>
      <c r="D1703">
        <v>5.15039716461746</v>
      </c>
      <c r="E1703">
        <v>6.3937885422534384</v>
      </c>
      <c r="F1703">
        <v>14.529780665015069</v>
      </c>
      <c r="G1703">
        <v>6.1813362590141869</v>
      </c>
      <c r="H1703">
        <v>28.192835625720448</v>
      </c>
      <c r="I1703">
        <v>25.741359258660172</v>
      </c>
      <c r="J1703">
        <v>25.220923382795121</v>
      </c>
      <c r="K1703">
        <v>692.99660917289782</v>
      </c>
      <c r="L1703">
        <v>1</v>
      </c>
      <c r="M1703" t="s">
        <v>66</v>
      </c>
    </row>
    <row r="1704" spans="1:13" x14ac:dyDescent="0.3">
      <c r="A1704" t="s">
        <v>15</v>
      </c>
      <c r="B1704" t="s">
        <v>34</v>
      </c>
      <c r="C1704">
        <v>31.576337571051891</v>
      </c>
      <c r="D1704">
        <v>1.0678166468760391</v>
      </c>
      <c r="E1704">
        <v>1.811729894614698</v>
      </c>
      <c r="F1704">
        <v>3.5357584923738301</v>
      </c>
      <c r="G1704">
        <v>6.5291027775749599</v>
      </c>
      <c r="H1704">
        <v>23.220920299702762</v>
      </c>
      <c r="I1704">
        <v>17.259480218900251</v>
      </c>
      <c r="J1704">
        <v>26.71722634992366</v>
      </c>
      <c r="K1704">
        <v>1634.7956159901601</v>
      </c>
      <c r="L1704">
        <v>1</v>
      </c>
      <c r="M1704" t="s">
        <v>66</v>
      </c>
    </row>
    <row r="1705" spans="1:13" x14ac:dyDescent="0.3">
      <c r="A1705" t="s">
        <v>18</v>
      </c>
      <c r="B1705" t="s">
        <v>41</v>
      </c>
      <c r="C1705">
        <v>122.5410368936344</v>
      </c>
      <c r="D1705">
        <v>5.3432308333838661</v>
      </c>
      <c r="E1705">
        <v>9.7101690420626348</v>
      </c>
      <c r="F1705">
        <v>17.928473204841548</v>
      </c>
      <c r="G1705">
        <v>4.4144517977137454</v>
      </c>
      <c r="H1705">
        <v>55.394935182994693</v>
      </c>
      <c r="I1705">
        <v>21.149815380642071</v>
      </c>
      <c r="J1705">
        <v>20.361047636418739</v>
      </c>
      <c r="K1705">
        <v>1688.411760186033</v>
      </c>
      <c r="L1705">
        <v>1</v>
      </c>
      <c r="M1705" t="s">
        <v>66</v>
      </c>
    </row>
    <row r="1706" spans="1:13" x14ac:dyDescent="0.3">
      <c r="A1706" t="s">
        <v>20</v>
      </c>
      <c r="B1706" t="s">
        <v>49</v>
      </c>
      <c r="C1706">
        <v>84.85192084923095</v>
      </c>
      <c r="D1706">
        <v>3.4666750005832738</v>
      </c>
      <c r="E1706">
        <v>5.5148620339470504</v>
      </c>
      <c r="F1706">
        <v>14.254814760520009</v>
      </c>
      <c r="G1706">
        <v>5.4066777514064874</v>
      </c>
      <c r="H1706">
        <v>28.442477323616071</v>
      </c>
      <c r="I1706">
        <v>21.271691840351121</v>
      </c>
      <c r="J1706">
        <v>21.13469567581377</v>
      </c>
      <c r="K1706">
        <v>1711.6820358799509</v>
      </c>
      <c r="L1706">
        <v>1</v>
      </c>
      <c r="M1706" t="s">
        <v>66</v>
      </c>
    </row>
    <row r="1707" spans="1:13" x14ac:dyDescent="0.3">
      <c r="A1707" t="s">
        <v>19</v>
      </c>
      <c r="B1707" t="s">
        <v>45</v>
      </c>
      <c r="C1707">
        <v>43.443900874785037</v>
      </c>
      <c r="D1707">
        <v>1.966194761556018</v>
      </c>
      <c r="E1707">
        <v>2.6600210580097872</v>
      </c>
      <c r="F1707">
        <v>6.5027693571562466</v>
      </c>
      <c r="G1707">
        <v>6.2413200200447063</v>
      </c>
      <c r="H1707">
        <v>32.305691825768413</v>
      </c>
      <c r="I1707">
        <v>22.225165747069401</v>
      </c>
      <c r="J1707">
        <v>26.972547653259241</v>
      </c>
      <c r="K1707">
        <v>1396.6950871774411</v>
      </c>
      <c r="L1707">
        <v>1</v>
      </c>
      <c r="M1707" t="s">
        <v>66</v>
      </c>
    </row>
    <row r="1708" spans="1:13" x14ac:dyDescent="0.3">
      <c r="A1708" t="s">
        <v>15</v>
      </c>
      <c r="B1708" t="s">
        <v>32</v>
      </c>
      <c r="C1708">
        <v>46.623527573574847</v>
      </c>
      <c r="D1708">
        <v>1.745683054361731</v>
      </c>
      <c r="E1708">
        <v>3.2249627347985239</v>
      </c>
      <c r="F1708">
        <v>6.1237465208885773</v>
      </c>
      <c r="G1708">
        <v>6.1175652521463002</v>
      </c>
      <c r="H1708">
        <v>31.530072341509051</v>
      </c>
      <c r="I1708">
        <v>20.126918572588529</v>
      </c>
      <c r="J1708">
        <v>17.49798666566846</v>
      </c>
      <c r="K1708">
        <v>1877.8064364542249</v>
      </c>
      <c r="L1708">
        <v>1</v>
      </c>
      <c r="M1708" t="s">
        <v>66</v>
      </c>
    </row>
    <row r="1709" spans="1:13" x14ac:dyDescent="0.3">
      <c r="A1709" t="s">
        <v>24</v>
      </c>
      <c r="B1709" t="s">
        <v>60</v>
      </c>
      <c r="C1709">
        <v>535.32541170255968</v>
      </c>
      <c r="D1709">
        <v>21.806143951976448</v>
      </c>
      <c r="E1709">
        <v>37.106839770195677</v>
      </c>
      <c r="F1709">
        <v>85.302231457704295</v>
      </c>
      <c r="G1709">
        <v>5.2120806774461554</v>
      </c>
      <c r="H1709">
        <v>68.778144892767472</v>
      </c>
      <c r="I1709">
        <v>29.863881948095589</v>
      </c>
      <c r="J1709">
        <v>30.789866159626492</v>
      </c>
      <c r="K1709">
        <v>11</v>
      </c>
      <c r="L1709">
        <v>-1</v>
      </c>
      <c r="M1709" t="s">
        <v>66</v>
      </c>
    </row>
    <row r="1710" spans="1:13" x14ac:dyDescent="0.3">
      <c r="A1710" t="s">
        <v>22</v>
      </c>
      <c r="B1710" t="s">
        <v>54</v>
      </c>
      <c r="C1710">
        <v>45.231414445852288</v>
      </c>
      <c r="D1710">
        <v>2.0301747769943002</v>
      </c>
      <c r="E1710">
        <v>3.1954084639390148</v>
      </c>
      <c r="F1710">
        <v>7.1728813876900093</v>
      </c>
      <c r="G1710">
        <v>7.4877202384006498</v>
      </c>
      <c r="H1710">
        <v>47.609363094774757</v>
      </c>
      <c r="I1710">
        <v>29.945105890453</v>
      </c>
      <c r="J1710">
        <v>21.72553327725284</v>
      </c>
      <c r="K1710">
        <v>1342.8109608590701</v>
      </c>
      <c r="L1710">
        <v>1</v>
      </c>
      <c r="M1710" t="s">
        <v>66</v>
      </c>
    </row>
    <row r="1711" spans="1:13" x14ac:dyDescent="0.3">
      <c r="A1711" t="s">
        <v>15</v>
      </c>
      <c r="B1711" t="s">
        <v>30</v>
      </c>
      <c r="C1711">
        <v>97.673119030715682</v>
      </c>
      <c r="D1711">
        <v>5.3757585957409137</v>
      </c>
      <c r="E1711">
        <v>6.3914947819829786</v>
      </c>
      <c r="F1711">
        <v>15.632508340358109</v>
      </c>
      <c r="G1711">
        <v>6.087234932440861</v>
      </c>
      <c r="H1711">
        <v>25.97919249760038</v>
      </c>
      <c r="I1711">
        <v>20.970146757912961</v>
      </c>
      <c r="J1711">
        <v>27.57741201149333</v>
      </c>
      <c r="K1711">
        <v>1921.5521392506309</v>
      </c>
      <c r="L1711">
        <v>1</v>
      </c>
      <c r="M1711" t="s">
        <v>66</v>
      </c>
    </row>
    <row r="1712" spans="1:13" x14ac:dyDescent="0.3">
      <c r="A1712" t="s">
        <v>18</v>
      </c>
      <c r="B1712" t="s">
        <v>41</v>
      </c>
      <c r="C1712">
        <v>0</v>
      </c>
      <c r="D1712">
        <v>0</v>
      </c>
      <c r="E1712">
        <v>0</v>
      </c>
      <c r="F1712">
        <v>-1.7763568394002501E-15</v>
      </c>
      <c r="G1712">
        <v>6.0622257021419976</v>
      </c>
      <c r="H1712">
        <v>22.059061641187981</v>
      </c>
      <c r="I1712">
        <v>28.841016004489241</v>
      </c>
      <c r="J1712">
        <v>33.122133927595392</v>
      </c>
      <c r="K1712">
        <v>1822.6248171786569</v>
      </c>
      <c r="L1712">
        <v>1</v>
      </c>
      <c r="M1712" t="s">
        <v>66</v>
      </c>
    </row>
    <row r="1713" spans="1:13" x14ac:dyDescent="0.3">
      <c r="A1713" t="s">
        <v>22</v>
      </c>
      <c r="B1713" t="s">
        <v>53</v>
      </c>
      <c r="C1713">
        <v>345.81883242060161</v>
      </c>
      <c r="D1713">
        <v>16.39452249542591</v>
      </c>
      <c r="E1713">
        <v>23.56036420376789</v>
      </c>
      <c r="F1713">
        <v>60.773056116483637</v>
      </c>
      <c r="G1713">
        <v>6.4086340309696128</v>
      </c>
      <c r="H1713">
        <v>29.321141303955041</v>
      </c>
      <c r="I1713">
        <v>25.278765743167121</v>
      </c>
      <c r="J1713">
        <v>21.792502197462479</v>
      </c>
      <c r="K1713">
        <v>1346.496956430851</v>
      </c>
      <c r="L1713">
        <v>1</v>
      </c>
      <c r="M1713" t="s">
        <v>66</v>
      </c>
    </row>
    <row r="1714" spans="1:13" x14ac:dyDescent="0.3">
      <c r="A1714" t="s">
        <v>15</v>
      </c>
      <c r="B1714" t="s">
        <v>34</v>
      </c>
      <c r="C1714">
        <v>60.123976168341812</v>
      </c>
      <c r="D1714">
        <v>2.6056705633599599</v>
      </c>
      <c r="E1714">
        <v>3.180329858114924</v>
      </c>
      <c r="F1714">
        <v>9.7604440531699233</v>
      </c>
      <c r="G1714">
        <v>6.175083807251351</v>
      </c>
      <c r="H1714">
        <v>35.371292098298589</v>
      </c>
      <c r="I1714">
        <v>17.73522207154814</v>
      </c>
      <c r="J1714">
        <v>18.60973462353191</v>
      </c>
      <c r="K1714">
        <v>2168.8141888566311</v>
      </c>
      <c r="L1714">
        <v>1</v>
      </c>
      <c r="M1714" t="s">
        <v>66</v>
      </c>
    </row>
    <row r="1715" spans="1:13" x14ac:dyDescent="0.3">
      <c r="A1715" t="s">
        <v>18</v>
      </c>
      <c r="B1715" t="s">
        <v>43</v>
      </c>
      <c r="C1715">
        <v>61.228038661674219</v>
      </c>
      <c r="D1715">
        <v>1.587389843692945</v>
      </c>
      <c r="E1715">
        <v>3.1714245185174001</v>
      </c>
      <c r="F1715">
        <v>7.7087392139231223</v>
      </c>
      <c r="G1715">
        <v>5.9058909836287592</v>
      </c>
      <c r="H1715">
        <v>60.744740576955436</v>
      </c>
      <c r="I1715">
        <v>21.843421775416079</v>
      </c>
      <c r="J1715">
        <v>18.78542071493063</v>
      </c>
      <c r="K1715">
        <v>1973.380876121704</v>
      </c>
      <c r="L1715">
        <v>1</v>
      </c>
      <c r="M1715" t="s">
        <v>66</v>
      </c>
    </row>
    <row r="1716" spans="1:13" x14ac:dyDescent="0.3">
      <c r="A1716" t="s">
        <v>16</v>
      </c>
      <c r="B1716" t="s">
        <v>35</v>
      </c>
      <c r="C1716">
        <v>84.076945824333706</v>
      </c>
      <c r="D1716">
        <v>3.0694824478858349</v>
      </c>
      <c r="E1716">
        <v>6.7678784229659659</v>
      </c>
      <c r="F1716">
        <v>13.417831673363841</v>
      </c>
      <c r="G1716">
        <v>6.2430544980931542</v>
      </c>
      <c r="H1716">
        <v>39.974332589791622</v>
      </c>
      <c r="I1716">
        <v>20.283224588815042</v>
      </c>
      <c r="J1716">
        <v>27.84878112310863</v>
      </c>
      <c r="K1716">
        <v>2048.3566748505759</v>
      </c>
      <c r="L1716">
        <v>1</v>
      </c>
      <c r="M1716" t="s">
        <v>66</v>
      </c>
    </row>
    <row r="1717" spans="1:13" x14ac:dyDescent="0.3">
      <c r="A1717" t="s">
        <v>16</v>
      </c>
      <c r="B1717" t="s">
        <v>35</v>
      </c>
      <c r="C1717">
        <v>19.158727122860359</v>
      </c>
      <c r="D1717">
        <v>0</v>
      </c>
      <c r="E1717">
        <v>1.1248980515644449</v>
      </c>
      <c r="F1717">
        <v>1.5037528111576519</v>
      </c>
      <c r="G1717">
        <v>6.2089649043361286</v>
      </c>
      <c r="H1717">
        <v>23.089470710223271</v>
      </c>
      <c r="I1717">
        <v>22.637297419655241</v>
      </c>
      <c r="J1717">
        <v>27.56828474110112</v>
      </c>
      <c r="K1717">
        <v>2061.4705407862289</v>
      </c>
      <c r="L1717">
        <v>1</v>
      </c>
      <c r="M1717" t="s">
        <v>66</v>
      </c>
    </row>
    <row r="1718" spans="1:13" x14ac:dyDescent="0.3">
      <c r="A1718" t="s">
        <v>15</v>
      </c>
      <c r="B1718" t="s">
        <v>33</v>
      </c>
      <c r="C1718">
        <v>79.626504761041886</v>
      </c>
      <c r="D1718">
        <v>2.9993110137818531</v>
      </c>
      <c r="E1718">
        <v>6.0069536444462166</v>
      </c>
      <c r="F1718">
        <v>12.572674664118439</v>
      </c>
      <c r="G1718">
        <v>5.5804195722748071</v>
      </c>
      <c r="H1718">
        <v>27.471228212233761</v>
      </c>
      <c r="I1718">
        <v>18.46704115959626</v>
      </c>
      <c r="J1718">
        <v>18.027948406689859</v>
      </c>
      <c r="K1718">
        <v>1936.757017028398</v>
      </c>
      <c r="L1718">
        <v>1</v>
      </c>
      <c r="M1718" t="s">
        <v>66</v>
      </c>
    </row>
    <row r="1719" spans="1:13" x14ac:dyDescent="0.3">
      <c r="A1719" t="s">
        <v>15</v>
      </c>
      <c r="B1719" t="s">
        <v>34</v>
      </c>
      <c r="C1719">
        <v>144.99688822393389</v>
      </c>
      <c r="D1719">
        <v>7.3151332352970169</v>
      </c>
      <c r="E1719">
        <v>9.7115267683373752</v>
      </c>
      <c r="F1719">
        <v>20.495766870426021</v>
      </c>
      <c r="G1719">
        <v>5.8521704641395296</v>
      </c>
      <c r="H1719">
        <v>27.310366256543009</v>
      </c>
      <c r="I1719">
        <v>23.47019493407117</v>
      </c>
      <c r="J1719">
        <v>18.905695062106449</v>
      </c>
      <c r="K1719">
        <v>2058.6597487045578</v>
      </c>
      <c r="L1719">
        <v>1</v>
      </c>
      <c r="M1719" t="s">
        <v>66</v>
      </c>
    </row>
    <row r="1720" spans="1:13" x14ac:dyDescent="0.3">
      <c r="A1720" t="s">
        <v>15</v>
      </c>
      <c r="B1720" t="s">
        <v>34</v>
      </c>
      <c r="C1720">
        <v>63.606563885461611</v>
      </c>
      <c r="D1720">
        <v>2.802545215620881</v>
      </c>
      <c r="E1720">
        <v>3.632271920559365</v>
      </c>
      <c r="F1720">
        <v>8.9376695157460393</v>
      </c>
      <c r="G1720">
        <v>6.2857887613319399</v>
      </c>
      <c r="H1720">
        <v>35.926579844411293</v>
      </c>
      <c r="I1720">
        <v>17.653027545844509</v>
      </c>
      <c r="J1720">
        <v>20.002161309635522</v>
      </c>
      <c r="K1720">
        <v>2144.5985117169348</v>
      </c>
      <c r="L1720">
        <v>1</v>
      </c>
      <c r="M1720" t="s">
        <v>66</v>
      </c>
    </row>
    <row r="1721" spans="1:13" x14ac:dyDescent="0.3">
      <c r="A1721" t="s">
        <v>16</v>
      </c>
      <c r="B1721" t="s">
        <v>36</v>
      </c>
      <c r="C1721">
        <v>16.410473868528971</v>
      </c>
      <c r="D1721">
        <v>0</v>
      </c>
      <c r="E1721">
        <v>1.034427319617373</v>
      </c>
      <c r="F1721">
        <v>1.81563314605236</v>
      </c>
      <c r="G1721">
        <v>5.4382941998812111</v>
      </c>
      <c r="H1721">
        <v>26.729703370469501</v>
      </c>
      <c r="I1721">
        <v>23.041900467516651</v>
      </c>
      <c r="J1721">
        <v>26.200117842305751</v>
      </c>
      <c r="K1721">
        <v>2014.361468174988</v>
      </c>
      <c r="L1721">
        <v>1</v>
      </c>
      <c r="M1721" t="s">
        <v>66</v>
      </c>
    </row>
    <row r="1722" spans="1:13" x14ac:dyDescent="0.3">
      <c r="A1722" t="s">
        <v>19</v>
      </c>
      <c r="B1722" t="s">
        <v>44</v>
      </c>
      <c r="C1722">
        <v>11.689603535690249</v>
      </c>
      <c r="D1722">
        <v>0</v>
      </c>
      <c r="E1722">
        <v>0</v>
      </c>
      <c r="F1722">
        <v>1.043462095693938</v>
      </c>
      <c r="G1722">
        <v>6.4778801577158323</v>
      </c>
      <c r="H1722">
        <v>24.861977722976238</v>
      </c>
      <c r="I1722">
        <v>18.567881452549141</v>
      </c>
      <c r="J1722">
        <v>29.349859157405952</v>
      </c>
      <c r="K1722">
        <v>2144.9695069035861</v>
      </c>
      <c r="L1722">
        <v>1</v>
      </c>
      <c r="M1722" t="s">
        <v>66</v>
      </c>
    </row>
    <row r="1723" spans="1:13" x14ac:dyDescent="0.3">
      <c r="A1723" t="s">
        <v>18</v>
      </c>
      <c r="B1723" t="s">
        <v>41</v>
      </c>
      <c r="C1723">
        <v>11.3939074006752</v>
      </c>
      <c r="D1723">
        <v>0</v>
      </c>
      <c r="E1723">
        <v>0</v>
      </c>
      <c r="F1723">
        <v>0.99891267892438762</v>
      </c>
      <c r="G1723">
        <v>5.8126553650985038</v>
      </c>
      <c r="H1723">
        <v>18.89656857138883</v>
      </c>
      <c r="I1723">
        <v>18.337071538596678</v>
      </c>
      <c r="J1723">
        <v>20.580878696253532</v>
      </c>
      <c r="K1723">
        <v>1858.812414522936</v>
      </c>
      <c r="L1723">
        <v>1</v>
      </c>
      <c r="M1723" t="s">
        <v>66</v>
      </c>
    </row>
    <row r="1724" spans="1:13" x14ac:dyDescent="0.3">
      <c r="A1724" t="s">
        <v>24</v>
      </c>
      <c r="B1724" t="s">
        <v>59</v>
      </c>
      <c r="C1724">
        <v>335.36575375683861</v>
      </c>
      <c r="D1724">
        <v>17.51155521569245</v>
      </c>
      <c r="E1724">
        <v>26.913152901217359</v>
      </c>
      <c r="F1724">
        <v>54.548023117330359</v>
      </c>
      <c r="G1724">
        <v>5.2238748914024402</v>
      </c>
      <c r="H1724">
        <v>81.629517452290202</v>
      </c>
      <c r="I1724">
        <v>30.329343406694669</v>
      </c>
      <c r="J1724">
        <v>29.490954337515198</v>
      </c>
      <c r="K1724">
        <v>11.133770353180131</v>
      </c>
      <c r="L1724">
        <v>-1</v>
      </c>
      <c r="M1724" t="s">
        <v>66</v>
      </c>
    </row>
    <row r="1725" spans="1:13" x14ac:dyDescent="0.3">
      <c r="A1725" t="s">
        <v>19</v>
      </c>
      <c r="B1725" t="s">
        <v>48</v>
      </c>
      <c r="C1725">
        <v>98.093620579520277</v>
      </c>
      <c r="D1725">
        <v>3.9288460735211781</v>
      </c>
      <c r="E1725">
        <v>5.982050208370846</v>
      </c>
      <c r="F1725">
        <v>16.619053880226058</v>
      </c>
      <c r="G1725">
        <v>5.6060045939039407</v>
      </c>
      <c r="H1725">
        <v>35.361280133461101</v>
      </c>
      <c r="I1725">
        <v>23.611174023766161</v>
      </c>
      <c r="J1725">
        <v>26.583608192128391</v>
      </c>
      <c r="K1725">
        <v>672.42232693268875</v>
      </c>
      <c r="L1725">
        <v>1</v>
      </c>
      <c r="M1725" t="s">
        <v>66</v>
      </c>
    </row>
    <row r="1726" spans="1:13" x14ac:dyDescent="0.3">
      <c r="A1726" t="s">
        <v>18</v>
      </c>
      <c r="B1726" t="s">
        <v>42</v>
      </c>
      <c r="C1726">
        <v>36.14528584570931</v>
      </c>
      <c r="D1726">
        <v>0.98510646345518804</v>
      </c>
      <c r="E1726">
        <v>2.2070389269420621</v>
      </c>
      <c r="F1726">
        <v>4.601030471883492</v>
      </c>
      <c r="G1726">
        <v>5.4670759417454589</v>
      </c>
      <c r="H1726">
        <v>26.795705015045559</v>
      </c>
      <c r="I1726">
        <v>21.126719560554879</v>
      </c>
      <c r="J1726">
        <v>25.82389953962344</v>
      </c>
      <c r="K1726">
        <v>1838.410451534093</v>
      </c>
      <c r="L1726">
        <v>1</v>
      </c>
      <c r="M1726" t="s">
        <v>66</v>
      </c>
    </row>
    <row r="1727" spans="1:13" x14ac:dyDescent="0.3">
      <c r="A1727" t="s">
        <v>15</v>
      </c>
      <c r="B1727" t="s">
        <v>33</v>
      </c>
      <c r="C1727">
        <v>40.693345232138327</v>
      </c>
      <c r="D1727">
        <v>2.3011150138855681</v>
      </c>
      <c r="E1727">
        <v>2.0768335015749</v>
      </c>
      <c r="F1727">
        <v>5.9183871834759643</v>
      </c>
      <c r="G1727">
        <v>6.0326308068604559</v>
      </c>
      <c r="H1727">
        <v>34.525421217384427</v>
      </c>
      <c r="I1727">
        <v>20.145440642134439</v>
      </c>
      <c r="J1727">
        <v>17.706501869245258</v>
      </c>
      <c r="K1727">
        <v>1906.879142639076</v>
      </c>
      <c r="L1727">
        <v>1</v>
      </c>
      <c r="M1727" t="s">
        <v>66</v>
      </c>
    </row>
    <row r="1728" spans="1:13" x14ac:dyDescent="0.3">
      <c r="A1728" t="s">
        <v>19</v>
      </c>
      <c r="B1728" t="s">
        <v>44</v>
      </c>
      <c r="C1728">
        <v>23.007778417470121</v>
      </c>
      <c r="D1728">
        <v>1.055200241487902</v>
      </c>
      <c r="E1728">
        <v>1.130012326035049</v>
      </c>
      <c r="F1728">
        <v>3.280973717651829</v>
      </c>
      <c r="G1728">
        <v>6.5747924511775544</v>
      </c>
      <c r="H1728">
        <v>18.28860135518881</v>
      </c>
      <c r="I1728">
        <v>27.394097240899551</v>
      </c>
      <c r="J1728">
        <v>24.746190715641301</v>
      </c>
      <c r="K1728">
        <v>1340.3752119404501</v>
      </c>
      <c r="L1728">
        <v>0</v>
      </c>
      <c r="M1728" t="s">
        <v>66</v>
      </c>
    </row>
    <row r="1729" spans="1:13" x14ac:dyDescent="0.3">
      <c r="A1729" t="s">
        <v>16</v>
      </c>
      <c r="B1729" t="s">
        <v>36</v>
      </c>
      <c r="C1729">
        <v>15.64069028613325</v>
      </c>
      <c r="D1729">
        <v>0</v>
      </c>
      <c r="E1729">
        <v>0.99739220985406707</v>
      </c>
      <c r="F1729">
        <v>2.0221754851275069</v>
      </c>
      <c r="G1729">
        <v>5.3931009548290447</v>
      </c>
      <c r="H1729">
        <v>25.727452814157349</v>
      </c>
      <c r="I1729">
        <v>24.437148554952049</v>
      </c>
      <c r="J1729">
        <v>26.554561887887012</v>
      </c>
      <c r="K1729">
        <v>2009.8562529135299</v>
      </c>
      <c r="L1729">
        <v>1</v>
      </c>
      <c r="M1729" t="s">
        <v>66</v>
      </c>
    </row>
    <row r="1730" spans="1:13" x14ac:dyDescent="0.3">
      <c r="A1730" t="s">
        <v>18</v>
      </c>
      <c r="B1730" t="s">
        <v>42</v>
      </c>
      <c r="C1730">
        <v>52.711614362775038</v>
      </c>
      <c r="D1730">
        <v>1.890471604911286</v>
      </c>
      <c r="E1730">
        <v>2.8052142213714002</v>
      </c>
      <c r="F1730">
        <v>8.2393760420262865</v>
      </c>
      <c r="G1730">
        <v>5.460498824265489</v>
      </c>
      <c r="H1730">
        <v>24.409563584174229</v>
      </c>
      <c r="I1730">
        <v>20.937391873340211</v>
      </c>
      <c r="J1730">
        <v>30.145404421897052</v>
      </c>
      <c r="K1730">
        <v>1734.1469277088929</v>
      </c>
      <c r="L1730">
        <v>1</v>
      </c>
      <c r="M1730" t="s">
        <v>66</v>
      </c>
    </row>
    <row r="1731" spans="1:13" x14ac:dyDescent="0.3">
      <c r="A1731" t="s">
        <v>22</v>
      </c>
      <c r="B1731" t="s">
        <v>54</v>
      </c>
      <c r="C1731">
        <v>50.538778970657951</v>
      </c>
      <c r="D1731">
        <v>2.0757589921122279</v>
      </c>
      <c r="E1731">
        <v>3.036907928109859</v>
      </c>
      <c r="F1731">
        <v>6.8018582546128776</v>
      </c>
      <c r="G1731">
        <v>7.5</v>
      </c>
      <c r="H1731">
        <v>46.781747142338709</v>
      </c>
      <c r="I1731">
        <v>30.706046407866751</v>
      </c>
      <c r="J1731">
        <v>22.244952596236779</v>
      </c>
      <c r="K1731">
        <v>1346.526228467395</v>
      </c>
      <c r="L1731">
        <v>1</v>
      </c>
      <c r="M1731" t="s">
        <v>66</v>
      </c>
    </row>
    <row r="1732" spans="1:13" x14ac:dyDescent="0.3">
      <c r="A1732" t="s">
        <v>19</v>
      </c>
      <c r="B1732" t="s">
        <v>48</v>
      </c>
      <c r="C1732">
        <v>101.392334130547</v>
      </c>
      <c r="D1732">
        <v>4.1759180187683489</v>
      </c>
      <c r="E1732">
        <v>7.0167059432219512</v>
      </c>
      <c r="F1732">
        <v>15.023813391438649</v>
      </c>
      <c r="G1732">
        <v>5.7666049886324613</v>
      </c>
      <c r="H1732">
        <v>35.16975041164671</v>
      </c>
      <c r="I1732">
        <v>24.485511787200409</v>
      </c>
      <c r="J1732">
        <v>25.439395800063849</v>
      </c>
      <c r="K1732">
        <v>694.83611667790547</v>
      </c>
      <c r="L1732">
        <v>1</v>
      </c>
      <c r="M1732" t="s">
        <v>66</v>
      </c>
    </row>
    <row r="1733" spans="1:13" x14ac:dyDescent="0.3">
      <c r="A1733" t="s">
        <v>16</v>
      </c>
      <c r="B1733" t="s">
        <v>35</v>
      </c>
      <c r="C1733">
        <v>17.959832017694382</v>
      </c>
      <c r="D1733">
        <v>0</v>
      </c>
      <c r="E1733">
        <v>1.0373000312358389</v>
      </c>
      <c r="F1733">
        <v>2.1351008280697261</v>
      </c>
      <c r="G1733">
        <v>6.1065270465650139</v>
      </c>
      <c r="H1733">
        <v>21.251524323697979</v>
      </c>
      <c r="I1733">
        <v>23.000900787236951</v>
      </c>
      <c r="J1733">
        <v>29.21831490551401</v>
      </c>
      <c r="K1733">
        <v>2095.2987049181938</v>
      </c>
      <c r="L1733">
        <v>1</v>
      </c>
      <c r="M1733" t="s">
        <v>66</v>
      </c>
    </row>
    <row r="1734" spans="1:13" x14ac:dyDescent="0.3">
      <c r="A1734" t="s">
        <v>18</v>
      </c>
      <c r="B1734" t="s">
        <v>41</v>
      </c>
      <c r="C1734">
        <v>12.56627552580191</v>
      </c>
      <c r="D1734">
        <v>0</v>
      </c>
      <c r="E1734">
        <v>0</v>
      </c>
      <c r="F1734">
        <v>1.173906265233549</v>
      </c>
      <c r="G1734">
        <v>6.128825038513563</v>
      </c>
      <c r="H1734">
        <v>19.109027012464111</v>
      </c>
      <c r="I1734">
        <v>18.521841591539289</v>
      </c>
      <c r="J1734">
        <v>18.915231791237051</v>
      </c>
      <c r="K1734">
        <v>1829.2665467540439</v>
      </c>
      <c r="L1734">
        <v>1</v>
      </c>
      <c r="M1734" t="s">
        <v>66</v>
      </c>
    </row>
    <row r="1735" spans="1:13" x14ac:dyDescent="0.3">
      <c r="A1735" t="s">
        <v>21</v>
      </c>
      <c r="B1735" t="s">
        <v>52</v>
      </c>
      <c r="C1735">
        <v>21.39970961290507</v>
      </c>
      <c r="D1735">
        <v>0.92797571606080709</v>
      </c>
      <c r="E1735">
        <v>0.99197105827850773</v>
      </c>
      <c r="F1735">
        <v>3.291032148029752</v>
      </c>
      <c r="G1735">
        <v>6.3672868663640614</v>
      </c>
      <c r="H1735">
        <v>50.89972017352072</v>
      </c>
      <c r="I1735">
        <v>22.312842121813439</v>
      </c>
      <c r="J1735">
        <v>21.607845670817099</v>
      </c>
      <c r="K1735">
        <v>1273.181573598979</v>
      </c>
      <c r="L1735">
        <v>1</v>
      </c>
      <c r="M1735" t="s">
        <v>66</v>
      </c>
    </row>
    <row r="1736" spans="1:13" x14ac:dyDescent="0.3">
      <c r="A1736" t="s">
        <v>22</v>
      </c>
      <c r="B1736" t="s">
        <v>54</v>
      </c>
      <c r="C1736">
        <v>48.076468270484114</v>
      </c>
      <c r="D1736">
        <v>2.1209188134119081</v>
      </c>
      <c r="E1736">
        <v>2.9219538677635528</v>
      </c>
      <c r="F1736">
        <v>6.4224926142679877</v>
      </c>
      <c r="G1736">
        <v>7.4033535827022057</v>
      </c>
      <c r="H1736">
        <v>43.571490505070308</v>
      </c>
      <c r="I1736">
        <v>30.234603703896859</v>
      </c>
      <c r="J1736">
        <v>22.426637105634271</v>
      </c>
      <c r="K1736">
        <v>1320.9913128799781</v>
      </c>
      <c r="L1736">
        <v>1</v>
      </c>
      <c r="M1736" t="s">
        <v>66</v>
      </c>
    </row>
    <row r="1737" spans="1:13" x14ac:dyDescent="0.3">
      <c r="A1737" t="s">
        <v>24</v>
      </c>
      <c r="B1737" t="s">
        <v>61</v>
      </c>
      <c r="C1737">
        <v>722.22525652939896</v>
      </c>
      <c r="D1737">
        <v>41.646021754701202</v>
      </c>
      <c r="E1737">
        <v>48.805724891074597</v>
      </c>
      <c r="F1737">
        <v>119.68089433094271</v>
      </c>
      <c r="G1737">
        <v>6.0413590327323003</v>
      </c>
      <c r="H1737">
        <v>69.733368209378639</v>
      </c>
      <c r="I1737">
        <v>29.494285046827759</v>
      </c>
      <c r="J1737">
        <v>31.162071731619189</v>
      </c>
      <c r="K1737">
        <v>11.16519021359341</v>
      </c>
      <c r="L1737">
        <v>-1</v>
      </c>
      <c r="M1737" t="s">
        <v>66</v>
      </c>
    </row>
    <row r="1738" spans="1:13" x14ac:dyDescent="0.3">
      <c r="A1738" t="s">
        <v>18</v>
      </c>
      <c r="B1738" t="s">
        <v>40</v>
      </c>
      <c r="C1738">
        <v>123.43087166966551</v>
      </c>
      <c r="D1738">
        <v>6.000044609140101</v>
      </c>
      <c r="E1738">
        <v>6.8469578697058688</v>
      </c>
      <c r="F1738">
        <v>19.98491694667549</v>
      </c>
      <c r="G1738">
        <v>4.9671451917828131</v>
      </c>
      <c r="H1738">
        <v>51.41227667815707</v>
      </c>
      <c r="I1738">
        <v>20.207483876535171</v>
      </c>
      <c r="J1738">
        <v>22.178713311825419</v>
      </c>
      <c r="K1738">
        <v>1652.8736937619069</v>
      </c>
      <c r="L1738">
        <v>1</v>
      </c>
      <c r="M1738" t="s">
        <v>66</v>
      </c>
    </row>
    <row r="1739" spans="1:13" x14ac:dyDescent="0.3">
      <c r="A1739" t="s">
        <v>15</v>
      </c>
      <c r="B1739" t="s">
        <v>34</v>
      </c>
      <c r="C1739">
        <v>58.66025122636858</v>
      </c>
      <c r="D1739">
        <v>2.407836544301142</v>
      </c>
      <c r="E1739">
        <v>4.2702714543496576</v>
      </c>
      <c r="F1739">
        <v>8.9187690721109778</v>
      </c>
      <c r="G1739">
        <v>5.9299012652613126</v>
      </c>
      <c r="H1739">
        <v>28.691649573773351</v>
      </c>
      <c r="I1739">
        <v>18.697792215068279</v>
      </c>
      <c r="J1739">
        <v>19.778883819057231</v>
      </c>
      <c r="K1739">
        <v>2199.9979563089719</v>
      </c>
      <c r="L1739">
        <v>1</v>
      </c>
      <c r="M1739" t="s">
        <v>66</v>
      </c>
    </row>
    <row r="1740" spans="1:13" x14ac:dyDescent="0.3">
      <c r="A1740" t="s">
        <v>24</v>
      </c>
      <c r="B1740" t="s">
        <v>61</v>
      </c>
      <c r="C1740">
        <v>123.5506361197381</v>
      </c>
      <c r="D1740">
        <v>5.5763661714307018</v>
      </c>
      <c r="E1740">
        <v>8.3866152598492274</v>
      </c>
      <c r="F1740">
        <v>18.189292815921529</v>
      </c>
      <c r="G1740">
        <v>6.3608519985044873</v>
      </c>
      <c r="H1740">
        <v>19.82385752847177</v>
      </c>
      <c r="I1740">
        <v>29.450493625377309</v>
      </c>
      <c r="J1740">
        <v>30.614500830987101</v>
      </c>
      <c r="K1740">
        <v>49.399634952265842</v>
      </c>
      <c r="L1740">
        <v>-1</v>
      </c>
      <c r="M1740" t="s">
        <v>66</v>
      </c>
    </row>
    <row r="1741" spans="1:13" x14ac:dyDescent="0.3">
      <c r="A1741" t="s">
        <v>15</v>
      </c>
      <c r="B1741" t="s">
        <v>34</v>
      </c>
      <c r="C1741">
        <v>103.5631612985436</v>
      </c>
      <c r="D1741">
        <v>5.0236958021670892</v>
      </c>
      <c r="E1741">
        <v>5.4326342714352176</v>
      </c>
      <c r="F1741">
        <v>18.681721231961969</v>
      </c>
      <c r="G1741">
        <v>5.7981854303702693</v>
      </c>
      <c r="H1741">
        <v>42.182564818675758</v>
      </c>
      <c r="I1741">
        <v>23.56558035320856</v>
      </c>
      <c r="J1741">
        <v>18.766222494466898</v>
      </c>
      <c r="K1741">
        <v>2082.835181423764</v>
      </c>
      <c r="L1741">
        <v>1</v>
      </c>
      <c r="M1741" t="s">
        <v>66</v>
      </c>
    </row>
    <row r="1742" spans="1:13" x14ac:dyDescent="0.3">
      <c r="A1742" t="s">
        <v>22</v>
      </c>
      <c r="B1742" t="s">
        <v>53</v>
      </c>
      <c r="C1742">
        <v>52.47159926059998</v>
      </c>
      <c r="D1742">
        <v>1.9701487282827641</v>
      </c>
      <c r="E1742">
        <v>2.795735059199695</v>
      </c>
      <c r="F1742">
        <v>7.4429866315004052</v>
      </c>
      <c r="G1742">
        <v>6.0784335612080662</v>
      </c>
      <c r="H1742">
        <v>27.711877927802369</v>
      </c>
      <c r="I1742">
        <v>23.916585883025771</v>
      </c>
      <c r="J1742">
        <v>24.190038918676908</v>
      </c>
      <c r="K1742">
        <v>1475.114977173622</v>
      </c>
      <c r="L1742">
        <v>1</v>
      </c>
      <c r="M1742" t="s">
        <v>66</v>
      </c>
    </row>
    <row r="1743" spans="1:13" x14ac:dyDescent="0.3">
      <c r="A1743" t="s">
        <v>19</v>
      </c>
      <c r="B1743" t="s">
        <v>45</v>
      </c>
      <c r="C1743">
        <v>45.899664763935156</v>
      </c>
      <c r="D1743">
        <v>1.8964786952612149</v>
      </c>
      <c r="E1743">
        <v>3.1284231793229851</v>
      </c>
      <c r="F1743">
        <v>5.9351061699332046</v>
      </c>
      <c r="G1743">
        <v>6.1107914998897392</v>
      </c>
      <c r="H1743">
        <v>33.061237490633218</v>
      </c>
      <c r="I1743">
        <v>22.531466029777128</v>
      </c>
      <c r="J1743">
        <v>29.1722693541243</v>
      </c>
      <c r="K1743">
        <v>1408.2590417065931</v>
      </c>
      <c r="L1743">
        <v>1</v>
      </c>
      <c r="M1743" t="s">
        <v>66</v>
      </c>
    </row>
    <row r="1744" spans="1:13" x14ac:dyDescent="0.3">
      <c r="A1744" t="s">
        <v>15</v>
      </c>
      <c r="B1744" t="s">
        <v>33</v>
      </c>
      <c r="C1744">
        <v>69.945334349758113</v>
      </c>
      <c r="D1744">
        <v>3.11630656399235</v>
      </c>
      <c r="E1744">
        <v>3.812016347513993</v>
      </c>
      <c r="F1744">
        <v>8.3759250794918181</v>
      </c>
      <c r="G1744">
        <v>5.753187838851904</v>
      </c>
      <c r="H1744">
        <v>34.401332723810143</v>
      </c>
      <c r="I1744">
        <v>21.102985176053839</v>
      </c>
      <c r="J1744">
        <v>18.166806891664919</v>
      </c>
      <c r="K1744">
        <v>1937.7698048609809</v>
      </c>
      <c r="L1744">
        <v>1</v>
      </c>
      <c r="M1744" t="s">
        <v>66</v>
      </c>
    </row>
    <row r="1745" spans="1:13" x14ac:dyDescent="0.3">
      <c r="A1745" t="s">
        <v>18</v>
      </c>
      <c r="B1745" t="s">
        <v>43</v>
      </c>
      <c r="C1745">
        <v>25.572423797740541</v>
      </c>
      <c r="D1745">
        <v>0.94454025610468406</v>
      </c>
      <c r="E1745">
        <v>1.156658274891494</v>
      </c>
      <c r="F1745">
        <v>3.3661645839851322</v>
      </c>
      <c r="G1745">
        <v>6.3276762414557117</v>
      </c>
      <c r="H1745">
        <v>25.01729407701179</v>
      </c>
      <c r="I1745">
        <v>25.27197188378776</v>
      </c>
      <c r="J1745">
        <v>18.92622187938581</v>
      </c>
      <c r="K1745">
        <v>1840.196808736913</v>
      </c>
      <c r="L1745">
        <v>1</v>
      </c>
      <c r="M1745" t="s">
        <v>66</v>
      </c>
    </row>
    <row r="1746" spans="1:13" x14ac:dyDescent="0.3">
      <c r="A1746" t="s">
        <v>21</v>
      </c>
      <c r="B1746" t="s">
        <v>52</v>
      </c>
      <c r="C1746">
        <v>139.96154069506451</v>
      </c>
      <c r="D1746">
        <v>6.386200918947516</v>
      </c>
      <c r="E1746">
        <v>7.8647572063050104</v>
      </c>
      <c r="F1746">
        <v>21.294010074538281</v>
      </c>
      <c r="G1746">
        <v>5.5319177620251914</v>
      </c>
      <c r="H1746">
        <v>54.941175191595399</v>
      </c>
      <c r="I1746">
        <v>28.417461929344618</v>
      </c>
      <c r="J1746">
        <v>24.086320264381619</v>
      </c>
      <c r="K1746">
        <v>759.99755562159737</v>
      </c>
      <c r="L1746">
        <v>0</v>
      </c>
      <c r="M1746" t="s">
        <v>66</v>
      </c>
    </row>
    <row r="1747" spans="1:13" x14ac:dyDescent="0.3">
      <c r="A1747" t="s">
        <v>22</v>
      </c>
      <c r="B1747" t="s">
        <v>53</v>
      </c>
      <c r="C1747">
        <v>68.242496616326491</v>
      </c>
      <c r="D1747">
        <v>2.6970815457277859</v>
      </c>
      <c r="E1747">
        <v>4.5223235526177081</v>
      </c>
      <c r="F1747">
        <v>11.623808586002371</v>
      </c>
      <c r="G1747">
        <v>6.0606066864372048</v>
      </c>
      <c r="H1747">
        <v>32.593347801071552</v>
      </c>
      <c r="I1747">
        <v>27.320503460546529</v>
      </c>
      <c r="J1747">
        <v>22.239468867317751</v>
      </c>
      <c r="K1747">
        <v>1299.105318948652</v>
      </c>
      <c r="L1747">
        <v>1</v>
      </c>
      <c r="M1747" t="s">
        <v>66</v>
      </c>
    </row>
    <row r="1748" spans="1:13" x14ac:dyDescent="0.3">
      <c r="A1748" t="s">
        <v>19</v>
      </c>
      <c r="B1748" t="s">
        <v>46</v>
      </c>
      <c r="C1748">
        <v>26.26433266724402</v>
      </c>
      <c r="D1748">
        <v>1.055203680174249</v>
      </c>
      <c r="E1748">
        <v>0.83847170845069297</v>
      </c>
      <c r="F1748">
        <v>3.644136663864193</v>
      </c>
      <c r="G1748">
        <v>6.0311850545719681</v>
      </c>
      <c r="H1748">
        <v>19.920241653838271</v>
      </c>
      <c r="I1748">
        <v>29.502581383457159</v>
      </c>
      <c r="J1748">
        <v>26.194140811346241</v>
      </c>
      <c r="K1748">
        <v>727.92165549757055</v>
      </c>
      <c r="L1748">
        <v>-1</v>
      </c>
      <c r="M1748" t="s">
        <v>66</v>
      </c>
    </row>
    <row r="1749" spans="1:13" x14ac:dyDescent="0.3">
      <c r="A1749" t="s">
        <v>19</v>
      </c>
      <c r="B1749" t="s">
        <v>44</v>
      </c>
      <c r="C1749">
        <v>11.66789702980212</v>
      </c>
      <c r="D1749">
        <v>0</v>
      </c>
      <c r="E1749">
        <v>0</v>
      </c>
      <c r="F1749">
        <v>1.0625711070293029</v>
      </c>
      <c r="G1749">
        <v>6.6068068262168262</v>
      </c>
      <c r="H1749">
        <v>26.590348833660649</v>
      </c>
      <c r="I1749">
        <v>18.457305372569561</v>
      </c>
      <c r="J1749">
        <v>30.031154887712699</v>
      </c>
      <c r="K1749">
        <v>2257</v>
      </c>
      <c r="L1749">
        <v>1</v>
      </c>
      <c r="M1749" t="s">
        <v>66</v>
      </c>
    </row>
    <row r="1750" spans="1:13" x14ac:dyDescent="0.3">
      <c r="A1750" t="s">
        <v>24</v>
      </c>
      <c r="B1750" t="s">
        <v>57</v>
      </c>
      <c r="C1750">
        <v>55.5302971330457</v>
      </c>
      <c r="D1750">
        <v>1.9497891574688679</v>
      </c>
      <c r="E1750">
        <v>2.9467165975346399</v>
      </c>
      <c r="F1750">
        <v>9.6025676751514997</v>
      </c>
      <c r="G1750">
        <v>5.5852091420507772</v>
      </c>
      <c r="H1750">
        <v>50.358228923042738</v>
      </c>
      <c r="I1750">
        <v>23.195273346305221</v>
      </c>
      <c r="J1750">
        <v>22.908095851327339</v>
      </c>
      <c r="K1750">
        <v>734.90898756984325</v>
      </c>
      <c r="L1750">
        <v>0</v>
      </c>
      <c r="M1750" t="s">
        <v>66</v>
      </c>
    </row>
    <row r="1751" spans="1:13" x14ac:dyDescent="0.3">
      <c r="A1751" t="s">
        <v>18</v>
      </c>
      <c r="B1751" t="s">
        <v>43</v>
      </c>
      <c r="C1751">
        <v>59.381089049571429</v>
      </c>
      <c r="D1751">
        <v>2.0322239784673601</v>
      </c>
      <c r="E1751">
        <v>3.7100897586563222</v>
      </c>
      <c r="F1751">
        <v>8.9011314310423231</v>
      </c>
      <c r="G1751">
        <v>5.4021970501352978</v>
      </c>
      <c r="H1751">
        <v>54.634237713066611</v>
      </c>
      <c r="I1751">
        <v>22.10330340447857</v>
      </c>
      <c r="J1751">
        <v>19.375750342059259</v>
      </c>
      <c r="K1751">
        <v>1936.008921036635</v>
      </c>
      <c r="L1751">
        <v>1</v>
      </c>
      <c r="M1751" t="s">
        <v>66</v>
      </c>
    </row>
    <row r="1752" spans="1:13" x14ac:dyDescent="0.3">
      <c r="A1752" t="s">
        <v>19</v>
      </c>
      <c r="B1752" t="s">
        <v>44</v>
      </c>
      <c r="C1752">
        <v>11.661266197343471</v>
      </c>
      <c r="D1752">
        <v>0</v>
      </c>
      <c r="E1752">
        <v>0</v>
      </c>
      <c r="F1752">
        <v>0.88043274791289683</v>
      </c>
      <c r="G1752">
        <v>6.2221174201712852</v>
      </c>
      <c r="H1752">
        <v>23.83669882381464</v>
      </c>
      <c r="I1752">
        <v>18.349984437243691</v>
      </c>
      <c r="J1752">
        <v>29.606725320971901</v>
      </c>
      <c r="K1752">
        <v>2257</v>
      </c>
      <c r="L1752">
        <v>1</v>
      </c>
      <c r="M1752" t="s">
        <v>66</v>
      </c>
    </row>
    <row r="1753" spans="1:13" x14ac:dyDescent="0.3">
      <c r="A1753" t="s">
        <v>15</v>
      </c>
      <c r="B1753" t="s">
        <v>34</v>
      </c>
      <c r="C1753">
        <v>25.47967258766727</v>
      </c>
      <c r="D1753">
        <v>1.0069908271938499</v>
      </c>
      <c r="E1753">
        <v>1.7348051994383129</v>
      </c>
      <c r="F1753">
        <v>4.7803367957440699</v>
      </c>
      <c r="G1753">
        <v>6.241218540045546</v>
      </c>
      <c r="H1753">
        <v>22.777506546527299</v>
      </c>
      <c r="I1753">
        <v>17.44825671881965</v>
      </c>
      <c r="J1753">
        <v>26.61204968467306</v>
      </c>
      <c r="K1753">
        <v>1589.3998440806711</v>
      </c>
      <c r="L1753">
        <v>1</v>
      </c>
      <c r="M1753" t="s">
        <v>66</v>
      </c>
    </row>
    <row r="1754" spans="1:13" x14ac:dyDescent="0.3">
      <c r="A1754" t="s">
        <v>15</v>
      </c>
      <c r="B1754" t="s">
        <v>34</v>
      </c>
      <c r="C1754">
        <v>152.76847186798659</v>
      </c>
      <c r="D1754">
        <v>7.5712346321828869</v>
      </c>
      <c r="E1754">
        <v>9.1120286735046836</v>
      </c>
      <c r="F1754">
        <v>26.33119949525312</v>
      </c>
      <c r="G1754">
        <v>5.6831030918321384</v>
      </c>
      <c r="H1754">
        <v>24.834510649549159</v>
      </c>
      <c r="I1754">
        <v>24.517838395241061</v>
      </c>
      <c r="J1754">
        <v>19.567951789375829</v>
      </c>
      <c r="K1754">
        <v>2049.078344675529</v>
      </c>
      <c r="L1754">
        <v>1</v>
      </c>
      <c r="M1754" t="s">
        <v>66</v>
      </c>
    </row>
    <row r="1755" spans="1:13" x14ac:dyDescent="0.3">
      <c r="A1755" t="s">
        <v>18</v>
      </c>
      <c r="B1755" t="s">
        <v>43</v>
      </c>
      <c r="C1755">
        <v>50.136272716849312</v>
      </c>
      <c r="D1755">
        <v>1.6837458995185319</v>
      </c>
      <c r="E1755">
        <v>3.112605824172348</v>
      </c>
      <c r="F1755">
        <v>6.1718472764091103</v>
      </c>
      <c r="G1755">
        <v>5.6513206700565473</v>
      </c>
      <c r="H1755">
        <v>62.048124401798432</v>
      </c>
      <c r="I1755">
        <v>22.503502998065439</v>
      </c>
      <c r="J1755">
        <v>18.67100151980214</v>
      </c>
      <c r="K1755">
        <v>1970.2921873928831</v>
      </c>
      <c r="L1755">
        <v>1</v>
      </c>
      <c r="M1755" t="s">
        <v>66</v>
      </c>
    </row>
    <row r="1756" spans="1:13" x14ac:dyDescent="0.3">
      <c r="A1756" t="s">
        <v>19</v>
      </c>
      <c r="B1756" t="s">
        <v>45</v>
      </c>
      <c r="C1756">
        <v>59.679011458770439</v>
      </c>
      <c r="D1756">
        <v>2.0982886704260499</v>
      </c>
      <c r="E1756">
        <v>3.0851223453930978</v>
      </c>
      <c r="F1756">
        <v>6.7408551624075166</v>
      </c>
      <c r="G1756">
        <v>6.1354762883664744</v>
      </c>
      <c r="H1756">
        <v>38.698656585289513</v>
      </c>
      <c r="I1756">
        <v>26.034169867389611</v>
      </c>
      <c r="J1756">
        <v>27.528934167770888</v>
      </c>
      <c r="K1756">
        <v>1494.2394947508219</v>
      </c>
      <c r="L1756">
        <v>1</v>
      </c>
      <c r="M1756" t="s">
        <v>66</v>
      </c>
    </row>
    <row r="1757" spans="1:13" x14ac:dyDescent="0.3">
      <c r="A1757" t="s">
        <v>20</v>
      </c>
      <c r="B1757" t="s">
        <v>51</v>
      </c>
      <c r="C1757">
        <v>239.73792421839559</v>
      </c>
      <c r="D1757">
        <v>12.360313665118751</v>
      </c>
      <c r="E1757">
        <v>16.716792697046881</v>
      </c>
      <c r="F1757">
        <v>38.384593302642358</v>
      </c>
      <c r="G1757">
        <v>5.3792331862854148</v>
      </c>
      <c r="H1757">
        <v>24.913163933002469</v>
      </c>
      <c r="I1757">
        <v>20.387932931239611</v>
      </c>
      <c r="J1757">
        <v>18.199911904043809</v>
      </c>
      <c r="K1757">
        <v>1567.2812517754869</v>
      </c>
      <c r="L1757">
        <v>1</v>
      </c>
      <c r="M1757" t="s">
        <v>66</v>
      </c>
    </row>
    <row r="1758" spans="1:13" x14ac:dyDescent="0.3">
      <c r="A1758" t="s">
        <v>19</v>
      </c>
      <c r="B1758" t="s">
        <v>48</v>
      </c>
      <c r="C1758">
        <v>29.79153932791716</v>
      </c>
      <c r="D1758">
        <v>1.084385314852788</v>
      </c>
      <c r="E1758">
        <v>2.1463395462707879</v>
      </c>
      <c r="F1758">
        <v>5.8819803354567766</v>
      </c>
      <c r="G1758">
        <v>6.0193054009477391</v>
      </c>
      <c r="H1758">
        <v>21.022238184434318</v>
      </c>
      <c r="I1758">
        <v>32.831895338293783</v>
      </c>
      <c r="J1758">
        <v>25.182322016872401</v>
      </c>
      <c r="K1758">
        <v>1189.979430430418</v>
      </c>
      <c r="L1758">
        <v>0</v>
      </c>
      <c r="M1758" t="s">
        <v>66</v>
      </c>
    </row>
    <row r="1759" spans="1:13" x14ac:dyDescent="0.3">
      <c r="A1759" t="s">
        <v>16</v>
      </c>
      <c r="B1759" t="s">
        <v>37</v>
      </c>
      <c r="C1759">
        <v>11.140736260046721</v>
      </c>
      <c r="D1759">
        <v>0</v>
      </c>
      <c r="E1759">
        <v>0</v>
      </c>
      <c r="F1759">
        <v>0.95923923427432989</v>
      </c>
      <c r="G1759">
        <v>6.5079594262899496</v>
      </c>
      <c r="H1759">
        <v>37.242039498146269</v>
      </c>
      <c r="I1759">
        <v>17.465632529260581</v>
      </c>
      <c r="J1759">
        <v>22.428086052462451</v>
      </c>
      <c r="K1759">
        <v>1451.311172328491</v>
      </c>
      <c r="L1759">
        <v>1</v>
      </c>
      <c r="M1759" t="s">
        <v>66</v>
      </c>
    </row>
    <row r="1760" spans="1:13" x14ac:dyDescent="0.3">
      <c r="A1760" t="s">
        <v>15</v>
      </c>
      <c r="B1760" t="s">
        <v>33</v>
      </c>
      <c r="C1760">
        <v>73.435645758745906</v>
      </c>
      <c r="D1760">
        <v>3.0998684120474538</v>
      </c>
      <c r="E1760">
        <v>4.6317799741303611</v>
      </c>
      <c r="F1760">
        <v>12.544908069997071</v>
      </c>
      <c r="G1760">
        <v>5.4823747609649551</v>
      </c>
      <c r="H1760">
        <v>30.628941261891541</v>
      </c>
      <c r="I1760">
        <v>17.71190135817222</v>
      </c>
      <c r="J1760">
        <v>18.515043549715301</v>
      </c>
      <c r="K1760">
        <v>1873.1029003336801</v>
      </c>
      <c r="L1760">
        <v>1</v>
      </c>
      <c r="M1760" t="s">
        <v>66</v>
      </c>
    </row>
    <row r="1761" spans="1:13" x14ac:dyDescent="0.3">
      <c r="A1761" t="s">
        <v>18</v>
      </c>
      <c r="B1761" t="s">
        <v>40</v>
      </c>
      <c r="C1761">
        <v>138.4115106734387</v>
      </c>
      <c r="D1761">
        <v>6.1224308125101734</v>
      </c>
      <c r="E1761">
        <v>9.0813961580864841</v>
      </c>
      <c r="F1761">
        <v>20.534014381200471</v>
      </c>
      <c r="G1761">
        <v>6.2256648165198074</v>
      </c>
      <c r="H1761">
        <v>28.203178745480269</v>
      </c>
      <c r="I1761">
        <v>22.22488285289263</v>
      </c>
      <c r="J1761">
        <v>21.57785433809374</v>
      </c>
      <c r="K1761">
        <v>1650.821020764706</v>
      </c>
      <c r="L1761">
        <v>1</v>
      </c>
      <c r="M1761" t="s">
        <v>66</v>
      </c>
    </row>
    <row r="1762" spans="1:13" x14ac:dyDescent="0.3">
      <c r="A1762" t="s">
        <v>16</v>
      </c>
      <c r="B1762" t="s">
        <v>38</v>
      </c>
      <c r="C1762">
        <v>960</v>
      </c>
      <c r="D1762">
        <v>42.598149541981591</v>
      </c>
      <c r="E1762">
        <v>67</v>
      </c>
      <c r="F1762">
        <v>138.3815721407027</v>
      </c>
      <c r="G1762">
        <v>5.2029217062164621</v>
      </c>
      <c r="H1762">
        <v>25.518875033787211</v>
      </c>
      <c r="I1762">
        <v>19.977867517227661</v>
      </c>
      <c r="J1762">
        <v>21.959423210751961</v>
      </c>
      <c r="K1762">
        <v>1473.964813219588</v>
      </c>
      <c r="L1762">
        <v>1</v>
      </c>
      <c r="M1762" t="s">
        <v>66</v>
      </c>
    </row>
    <row r="1763" spans="1:13" x14ac:dyDescent="0.3">
      <c r="A1763" t="s">
        <v>20</v>
      </c>
      <c r="B1763" t="s">
        <v>49</v>
      </c>
      <c r="C1763">
        <v>74.78830276453678</v>
      </c>
      <c r="D1763">
        <v>3.1612086689430252</v>
      </c>
      <c r="E1763">
        <v>3.3291409833494008</v>
      </c>
      <c r="F1763">
        <v>11.496486743211969</v>
      </c>
      <c r="G1763">
        <v>5.6468116007282001</v>
      </c>
      <c r="H1763">
        <v>27.217761302093582</v>
      </c>
      <c r="I1763">
        <v>18.29320095375547</v>
      </c>
      <c r="J1763">
        <v>20.956330184777709</v>
      </c>
      <c r="K1763">
        <v>1717.4670900284591</v>
      </c>
      <c r="L1763">
        <v>1</v>
      </c>
      <c r="M1763" t="s">
        <v>66</v>
      </c>
    </row>
    <row r="1764" spans="1:13" x14ac:dyDescent="0.3">
      <c r="A1764" t="s">
        <v>24</v>
      </c>
      <c r="B1764" t="s">
        <v>57</v>
      </c>
      <c r="C1764">
        <v>11.5396162313621</v>
      </c>
      <c r="D1764">
        <v>0</v>
      </c>
      <c r="E1764">
        <v>0</v>
      </c>
      <c r="F1764">
        <v>0.97471025531354805</v>
      </c>
      <c r="G1764">
        <v>6.4428499497556952</v>
      </c>
      <c r="H1764">
        <v>16.012799121475592</v>
      </c>
      <c r="I1764">
        <v>21.982579616428598</v>
      </c>
      <c r="J1764">
        <v>20.95229029960224</v>
      </c>
      <c r="K1764">
        <v>1557.0488312472301</v>
      </c>
      <c r="L1764">
        <v>1</v>
      </c>
      <c r="M1764" t="s">
        <v>66</v>
      </c>
    </row>
    <row r="1765" spans="1:13" x14ac:dyDescent="0.3">
      <c r="A1765" t="s">
        <v>15</v>
      </c>
      <c r="B1765" t="s">
        <v>33</v>
      </c>
      <c r="C1765">
        <v>80.945680115364155</v>
      </c>
      <c r="D1765">
        <v>2.938650965535214</v>
      </c>
      <c r="E1765">
        <v>4.5164651770372179</v>
      </c>
      <c r="F1765">
        <v>11.1768325789155</v>
      </c>
      <c r="G1765">
        <v>5.7060163741362144</v>
      </c>
      <c r="H1765">
        <v>33.694411054159033</v>
      </c>
      <c r="I1765">
        <v>16.981260373761959</v>
      </c>
      <c r="J1765">
        <v>18.10742872152143</v>
      </c>
      <c r="K1765">
        <v>1888.1699101215379</v>
      </c>
      <c r="L1765">
        <v>1</v>
      </c>
      <c r="M1765" t="s">
        <v>66</v>
      </c>
    </row>
    <row r="1766" spans="1:13" x14ac:dyDescent="0.3">
      <c r="A1766" t="s">
        <v>19</v>
      </c>
      <c r="B1766" t="s">
        <v>46</v>
      </c>
      <c r="C1766">
        <v>27.98877995497784</v>
      </c>
      <c r="D1766">
        <v>1.0807981196863761</v>
      </c>
      <c r="E1766">
        <v>0.89190965104689823</v>
      </c>
      <c r="F1766">
        <v>3.83612610192856</v>
      </c>
      <c r="G1766">
        <v>5.9146650301665771</v>
      </c>
      <c r="H1766">
        <v>18.965399293563031</v>
      </c>
      <c r="I1766">
        <v>30.371688307248789</v>
      </c>
      <c r="J1766">
        <v>26.298659027078621</v>
      </c>
      <c r="K1766">
        <v>731.61279267563134</v>
      </c>
      <c r="L1766">
        <v>-1</v>
      </c>
      <c r="M1766" t="s">
        <v>66</v>
      </c>
    </row>
    <row r="1767" spans="1:13" x14ac:dyDescent="0.3">
      <c r="A1767" t="s">
        <v>17</v>
      </c>
      <c r="B1767" t="s">
        <v>39</v>
      </c>
      <c r="C1767">
        <v>12.76116548636462</v>
      </c>
      <c r="D1767">
        <v>0</v>
      </c>
      <c r="E1767">
        <v>0</v>
      </c>
      <c r="F1767">
        <v>2.0842969941878171</v>
      </c>
      <c r="G1767">
        <v>5.0886056238379576</v>
      </c>
      <c r="H1767">
        <v>25.869689111913051</v>
      </c>
      <c r="I1767">
        <v>20.778003395920599</v>
      </c>
      <c r="J1767">
        <v>22.315349240202039</v>
      </c>
      <c r="K1767">
        <v>2094.515329967021</v>
      </c>
      <c r="L1767">
        <v>1</v>
      </c>
      <c r="M1767" t="s">
        <v>66</v>
      </c>
    </row>
    <row r="1768" spans="1:13" x14ac:dyDescent="0.3">
      <c r="A1768" t="s">
        <v>24</v>
      </c>
      <c r="B1768" t="s">
        <v>59</v>
      </c>
      <c r="C1768">
        <v>332.77976083100492</v>
      </c>
      <c r="D1768">
        <v>18.738510646704299</v>
      </c>
      <c r="E1768">
        <v>23.729105681862869</v>
      </c>
      <c r="F1768">
        <v>53.71795126151865</v>
      </c>
      <c r="G1768">
        <v>5.3474416030708243</v>
      </c>
      <c r="H1768">
        <v>71.860471475935455</v>
      </c>
      <c r="I1768">
        <v>30.568920334375822</v>
      </c>
      <c r="J1768">
        <v>31.43344475660982</v>
      </c>
      <c r="K1768">
        <v>11</v>
      </c>
      <c r="L1768">
        <v>-1</v>
      </c>
      <c r="M1768" t="s">
        <v>66</v>
      </c>
    </row>
    <row r="1769" spans="1:13" x14ac:dyDescent="0.3">
      <c r="A1769" t="s">
        <v>19</v>
      </c>
      <c r="B1769" t="s">
        <v>44</v>
      </c>
      <c r="C1769">
        <v>42.783664061880572</v>
      </c>
      <c r="D1769">
        <v>0.89530514263484839</v>
      </c>
      <c r="E1769">
        <v>1.9347220510877521</v>
      </c>
      <c r="F1769">
        <v>6.5223139558489081</v>
      </c>
      <c r="G1769">
        <v>5.6202096028191288</v>
      </c>
      <c r="H1769">
        <v>30.27261936847767</v>
      </c>
      <c r="I1769">
        <v>16.16927001059074</v>
      </c>
      <c r="J1769">
        <v>20.69311579972835</v>
      </c>
      <c r="K1769">
        <v>1801.495246007933</v>
      </c>
      <c r="L1769">
        <v>1</v>
      </c>
      <c r="M1769" t="s">
        <v>66</v>
      </c>
    </row>
    <row r="1770" spans="1:13" x14ac:dyDescent="0.3">
      <c r="A1770" t="s">
        <v>21</v>
      </c>
      <c r="B1770" t="s">
        <v>52</v>
      </c>
      <c r="C1770">
        <v>21.110589411352208</v>
      </c>
      <c r="D1770">
        <v>0.94381470461387229</v>
      </c>
      <c r="E1770">
        <v>1.082214844124374</v>
      </c>
      <c r="F1770">
        <v>2.996550158822417</v>
      </c>
      <c r="G1770">
        <v>6.1944375664925291</v>
      </c>
      <c r="H1770">
        <v>31.911445674104701</v>
      </c>
      <c r="I1770">
        <v>22.89166761605906</v>
      </c>
      <c r="J1770">
        <v>20.493825233809758</v>
      </c>
      <c r="K1770">
        <v>1253.090671844054</v>
      </c>
      <c r="L1770">
        <v>1</v>
      </c>
      <c r="M1770" t="s">
        <v>66</v>
      </c>
    </row>
    <row r="1771" spans="1:13" x14ac:dyDescent="0.3">
      <c r="A1771" t="s">
        <v>18</v>
      </c>
      <c r="B1771" t="s">
        <v>40</v>
      </c>
      <c r="C1771">
        <v>123.715255000483</v>
      </c>
      <c r="D1771">
        <v>5.3423856171771638</v>
      </c>
      <c r="E1771">
        <v>8.0544914213223766</v>
      </c>
      <c r="F1771">
        <v>21.426596240406621</v>
      </c>
      <c r="G1771">
        <v>4.8642234486171301</v>
      </c>
      <c r="H1771">
        <v>51.963781966937319</v>
      </c>
      <c r="I1771">
        <v>20.518166501768039</v>
      </c>
      <c r="J1771">
        <v>22.000716775823861</v>
      </c>
      <c r="K1771">
        <v>1742.3057747382379</v>
      </c>
      <c r="L1771">
        <v>1</v>
      </c>
      <c r="M1771" t="s">
        <v>66</v>
      </c>
    </row>
    <row r="1772" spans="1:13" x14ac:dyDescent="0.3">
      <c r="A1772" t="s">
        <v>25</v>
      </c>
      <c r="B1772" t="s">
        <v>62</v>
      </c>
      <c r="C1772">
        <v>575.41212017616863</v>
      </c>
      <c r="D1772">
        <v>26.2633210256236</v>
      </c>
      <c r="E1772">
        <v>44.346626787365928</v>
      </c>
      <c r="F1772">
        <v>83.879490534421677</v>
      </c>
      <c r="G1772">
        <v>4.5021797408687059</v>
      </c>
      <c r="H1772">
        <v>85.006840697687551</v>
      </c>
      <c r="I1772">
        <v>27.59573726345042</v>
      </c>
      <c r="J1772">
        <v>24.646513299683079</v>
      </c>
      <c r="K1772">
        <v>724.992725491025</v>
      </c>
      <c r="L1772">
        <v>0</v>
      </c>
      <c r="M1772" t="s">
        <v>66</v>
      </c>
    </row>
    <row r="1773" spans="1:13" x14ac:dyDescent="0.3">
      <c r="A1773" t="s">
        <v>24</v>
      </c>
      <c r="B1773" t="s">
        <v>60</v>
      </c>
      <c r="C1773">
        <v>581.68477223390369</v>
      </c>
      <c r="D1773">
        <v>29.089121324867961</v>
      </c>
      <c r="E1773">
        <v>41.984286281406803</v>
      </c>
      <c r="F1773">
        <v>93.868748550727219</v>
      </c>
      <c r="G1773">
        <v>6.1126575195237418</v>
      </c>
      <c r="H1773">
        <v>78.444059411916328</v>
      </c>
      <c r="I1773">
        <v>31.011662684014379</v>
      </c>
      <c r="J1773">
        <v>30.677346767507629</v>
      </c>
      <c r="K1773">
        <v>11.14424720973852</v>
      </c>
      <c r="L1773">
        <v>-1</v>
      </c>
      <c r="M1773" t="s">
        <v>69</v>
      </c>
    </row>
    <row r="1774" spans="1:13" x14ac:dyDescent="0.3">
      <c r="A1774" t="s">
        <v>25</v>
      </c>
      <c r="B1774" t="s">
        <v>62</v>
      </c>
      <c r="C1774">
        <v>89.900089380201379</v>
      </c>
      <c r="D1774">
        <v>4.24508429226508</v>
      </c>
      <c r="E1774">
        <v>5.7232066119751579</v>
      </c>
      <c r="F1774">
        <v>14.12590136644876</v>
      </c>
      <c r="G1774">
        <v>6.6635674809250762</v>
      </c>
      <c r="H1774">
        <v>13.9</v>
      </c>
      <c r="I1774">
        <v>30.930429132557489</v>
      </c>
      <c r="J1774">
        <v>30.43694370788322</v>
      </c>
      <c r="K1774">
        <v>47.423184854472083</v>
      </c>
      <c r="L1774">
        <v>-1</v>
      </c>
      <c r="M1774" t="s">
        <v>69</v>
      </c>
    </row>
    <row r="1775" spans="1:13" x14ac:dyDescent="0.3">
      <c r="A1775" t="s">
        <v>25</v>
      </c>
      <c r="B1775" t="s">
        <v>62</v>
      </c>
      <c r="C1775">
        <v>91.25645386890092</v>
      </c>
      <c r="D1775">
        <v>3.4444940406401341</v>
      </c>
      <c r="E1775">
        <v>5.6932711919206902</v>
      </c>
      <c r="F1775">
        <v>15.775404247590201</v>
      </c>
      <c r="G1775">
        <v>6.9076287335384512</v>
      </c>
      <c r="H1775">
        <v>13.9</v>
      </c>
      <c r="I1775">
        <v>30.95458695082911</v>
      </c>
      <c r="J1775">
        <v>31.97249214163773</v>
      </c>
      <c r="K1775">
        <v>46.972824214662751</v>
      </c>
      <c r="L1775">
        <v>-1</v>
      </c>
      <c r="M1775" t="s">
        <v>69</v>
      </c>
    </row>
    <row r="1776" spans="1:13" x14ac:dyDescent="0.3">
      <c r="A1776" t="s">
        <v>25</v>
      </c>
      <c r="B1776" t="s">
        <v>62</v>
      </c>
      <c r="C1776">
        <v>89.589148000367345</v>
      </c>
      <c r="D1776">
        <v>4.1233841619646556</v>
      </c>
      <c r="E1776">
        <v>5.9468207977601084</v>
      </c>
      <c r="F1776">
        <v>12.902412364152051</v>
      </c>
      <c r="G1776">
        <v>6.7686988266422006</v>
      </c>
      <c r="H1776">
        <v>13.95870045015617</v>
      </c>
      <c r="I1776">
        <v>30.45918214978634</v>
      </c>
      <c r="J1776">
        <v>32.011843598931847</v>
      </c>
      <c r="K1776">
        <v>47.575133946406822</v>
      </c>
      <c r="L1776">
        <v>-1</v>
      </c>
      <c r="M1776" t="s">
        <v>69</v>
      </c>
    </row>
    <row r="1777" spans="1:13" x14ac:dyDescent="0.3">
      <c r="A1777" t="s">
        <v>19</v>
      </c>
      <c r="B1777" t="s">
        <v>46</v>
      </c>
      <c r="C1777">
        <v>26.02131921848968</v>
      </c>
      <c r="D1777">
        <v>0.89648336556594987</v>
      </c>
      <c r="E1777">
        <v>0.92502352267588783</v>
      </c>
      <c r="F1777">
        <v>4.2910948602824561</v>
      </c>
      <c r="G1777">
        <v>5.7893219929040329</v>
      </c>
      <c r="H1777">
        <v>18.194635302974781</v>
      </c>
      <c r="I1777">
        <v>30.71542327501146</v>
      </c>
      <c r="J1777">
        <v>26.522151033037069</v>
      </c>
      <c r="K1777">
        <v>724.37579094716966</v>
      </c>
      <c r="L1777">
        <v>-1</v>
      </c>
      <c r="M1777" t="s">
        <v>69</v>
      </c>
    </row>
    <row r="1778" spans="1:13" x14ac:dyDescent="0.3">
      <c r="A1778" t="s">
        <v>24</v>
      </c>
      <c r="B1778" t="s">
        <v>61</v>
      </c>
      <c r="C1778">
        <v>84.203321420034712</v>
      </c>
      <c r="D1778">
        <v>4.2120144224136649</v>
      </c>
      <c r="E1778">
        <v>5.6619157799737199</v>
      </c>
      <c r="F1778">
        <v>13.77605422612057</v>
      </c>
      <c r="G1778">
        <v>6.2182684860091406</v>
      </c>
      <c r="H1778">
        <v>13.9719617334713</v>
      </c>
      <c r="I1778">
        <v>33.778501027960701</v>
      </c>
      <c r="J1778">
        <v>29.014039961131701</v>
      </c>
      <c r="K1778">
        <v>47.938965826163439</v>
      </c>
      <c r="L1778">
        <v>-1</v>
      </c>
      <c r="M1778" t="s">
        <v>69</v>
      </c>
    </row>
    <row r="1779" spans="1:13" x14ac:dyDescent="0.3">
      <c r="A1779" t="s">
        <v>24</v>
      </c>
      <c r="B1779" t="s">
        <v>60</v>
      </c>
      <c r="C1779">
        <v>573.30132860625292</v>
      </c>
      <c r="D1779">
        <v>29.937224970977439</v>
      </c>
      <c r="E1779">
        <v>41.188734248091443</v>
      </c>
      <c r="F1779">
        <v>93.629527484787872</v>
      </c>
      <c r="G1779">
        <v>6.1257467731410031</v>
      </c>
      <c r="H1779">
        <v>79.076153823102331</v>
      </c>
      <c r="I1779">
        <v>31.203403080845309</v>
      </c>
      <c r="J1779">
        <v>30.2460403322156</v>
      </c>
      <c r="K1779">
        <v>11.12706282229556</v>
      </c>
      <c r="L1779">
        <v>-1</v>
      </c>
      <c r="M1779" t="s">
        <v>69</v>
      </c>
    </row>
    <row r="1780" spans="1:13" x14ac:dyDescent="0.3">
      <c r="A1780" t="s">
        <v>24</v>
      </c>
      <c r="B1780" t="s">
        <v>61</v>
      </c>
      <c r="C1780">
        <v>680.71325263544475</v>
      </c>
      <c r="D1780">
        <v>34.228285707809697</v>
      </c>
      <c r="E1780">
        <v>46.165017249202627</v>
      </c>
      <c r="F1780">
        <v>114.4110002647538</v>
      </c>
      <c r="G1780">
        <v>6.152332562889482</v>
      </c>
      <c r="H1780">
        <v>74.20208273909229</v>
      </c>
      <c r="I1780">
        <v>30.688467635767221</v>
      </c>
      <c r="J1780">
        <v>30.30126807025151</v>
      </c>
      <c r="K1780">
        <v>11</v>
      </c>
      <c r="L1780">
        <v>-1</v>
      </c>
      <c r="M1780" t="s">
        <v>69</v>
      </c>
    </row>
    <row r="1781" spans="1:13" x14ac:dyDescent="0.3">
      <c r="A1781" t="s">
        <v>24</v>
      </c>
      <c r="B1781" t="s">
        <v>61</v>
      </c>
      <c r="C1781">
        <v>321.41086911923873</v>
      </c>
      <c r="D1781">
        <v>16.453710827062931</v>
      </c>
      <c r="E1781">
        <v>22.095608503920079</v>
      </c>
      <c r="F1781">
        <v>43.49512724614992</v>
      </c>
      <c r="G1781">
        <v>4.3</v>
      </c>
      <c r="H1781">
        <v>57.966582609431441</v>
      </c>
      <c r="I1781">
        <v>29.028413184057111</v>
      </c>
      <c r="J1781">
        <v>31.866333282255582</v>
      </c>
      <c r="K1781">
        <v>13.941215536553729</v>
      </c>
      <c r="L1781">
        <v>-1</v>
      </c>
      <c r="M1781" t="s">
        <v>69</v>
      </c>
    </row>
    <row r="1782" spans="1:13" x14ac:dyDescent="0.3">
      <c r="A1782" t="s">
        <v>24</v>
      </c>
      <c r="B1782" t="s">
        <v>61</v>
      </c>
      <c r="C1782">
        <v>82.447453363221499</v>
      </c>
      <c r="D1782">
        <v>3.9864513061374551</v>
      </c>
      <c r="E1782">
        <v>4.9421447318401244</v>
      </c>
      <c r="F1782">
        <v>11.759550760829541</v>
      </c>
      <c r="G1782">
        <v>6.1930673140549546</v>
      </c>
      <c r="H1782">
        <v>14.84730996920595</v>
      </c>
      <c r="I1782">
        <v>34.724709763306542</v>
      </c>
      <c r="J1782">
        <v>30.768715405802482</v>
      </c>
      <c r="K1782">
        <v>48.161844984472282</v>
      </c>
      <c r="L1782">
        <v>-1</v>
      </c>
      <c r="M1782" t="s">
        <v>69</v>
      </c>
    </row>
    <row r="1783" spans="1:13" x14ac:dyDescent="0.3">
      <c r="A1783" t="s">
        <v>24</v>
      </c>
      <c r="B1783" t="s">
        <v>61</v>
      </c>
      <c r="C1783">
        <v>682.33423751807902</v>
      </c>
      <c r="D1783">
        <v>33.946480833513831</v>
      </c>
      <c r="E1783">
        <v>46.10683928421966</v>
      </c>
      <c r="F1783">
        <v>112.5651030626079</v>
      </c>
      <c r="G1783">
        <v>6.1517437304952098</v>
      </c>
      <c r="H1783">
        <v>73.709802216646381</v>
      </c>
      <c r="I1783">
        <v>30.720630558239112</v>
      </c>
      <c r="J1783">
        <v>30.288716840704989</v>
      </c>
      <c r="K1783">
        <v>11</v>
      </c>
      <c r="L1783">
        <v>-1</v>
      </c>
      <c r="M1783" t="s">
        <v>69</v>
      </c>
    </row>
    <row r="1784" spans="1:13" x14ac:dyDescent="0.3">
      <c r="A1784" t="s">
        <v>24</v>
      </c>
      <c r="B1784" t="s">
        <v>60</v>
      </c>
      <c r="C1784">
        <v>621.06989175449155</v>
      </c>
      <c r="D1784">
        <v>38.351134889337033</v>
      </c>
      <c r="E1784">
        <v>51.119864571078139</v>
      </c>
      <c r="F1784">
        <v>104.2620168616604</v>
      </c>
      <c r="G1784">
        <v>5.8611161107350602</v>
      </c>
      <c r="H1784">
        <v>78.848835823426754</v>
      </c>
      <c r="I1784">
        <v>29.99706612353279</v>
      </c>
      <c r="J1784">
        <v>32.432069588069417</v>
      </c>
      <c r="K1784">
        <v>11.32666192066586</v>
      </c>
      <c r="L1784">
        <v>-1</v>
      </c>
      <c r="M1784" t="s">
        <v>69</v>
      </c>
    </row>
    <row r="1785" spans="1:13" x14ac:dyDescent="0.3">
      <c r="A1785" t="s">
        <v>24</v>
      </c>
      <c r="B1785" t="s">
        <v>61</v>
      </c>
      <c r="C1785">
        <v>189.16646454990919</v>
      </c>
      <c r="D1785">
        <v>8.3971849293455527</v>
      </c>
      <c r="E1785">
        <v>12.321547127018031</v>
      </c>
      <c r="F1785">
        <v>29.016581743275211</v>
      </c>
      <c r="G1785">
        <v>6.0878739548040031</v>
      </c>
      <c r="H1785">
        <v>23.916044034124631</v>
      </c>
      <c r="I1785">
        <v>29.30220197126593</v>
      </c>
      <c r="J1785">
        <v>32.740484124004823</v>
      </c>
      <c r="K1785">
        <v>13.94479362588481</v>
      </c>
      <c r="L1785">
        <v>-1</v>
      </c>
      <c r="M1785" t="s">
        <v>69</v>
      </c>
    </row>
    <row r="1786" spans="1:13" x14ac:dyDescent="0.3">
      <c r="A1786" t="s">
        <v>19</v>
      </c>
      <c r="B1786" t="s">
        <v>46</v>
      </c>
      <c r="C1786">
        <v>27.138581985937179</v>
      </c>
      <c r="D1786">
        <v>0.99862698737018318</v>
      </c>
      <c r="E1786">
        <v>0.95591534884755003</v>
      </c>
      <c r="F1786">
        <v>3.899480566891409</v>
      </c>
      <c r="G1786">
        <v>6.0450402141318689</v>
      </c>
      <c r="H1786">
        <v>19.60093750380339</v>
      </c>
      <c r="I1786">
        <v>30.747519176167131</v>
      </c>
      <c r="J1786">
        <v>25.966201331569909</v>
      </c>
      <c r="K1786">
        <v>722.02840191090843</v>
      </c>
      <c r="L1786">
        <v>-1</v>
      </c>
      <c r="M1786" t="s">
        <v>69</v>
      </c>
    </row>
    <row r="1787" spans="1:13" x14ac:dyDescent="0.3">
      <c r="A1787" t="s">
        <v>24</v>
      </c>
      <c r="B1787" t="s">
        <v>61</v>
      </c>
      <c r="C1787">
        <v>121.33295453503329</v>
      </c>
      <c r="D1787">
        <v>5.9959892748801789</v>
      </c>
      <c r="E1787">
        <v>7.4110848792779969</v>
      </c>
      <c r="F1787">
        <v>21.6784051634944</v>
      </c>
      <c r="G1787">
        <v>6.0644390950193081</v>
      </c>
      <c r="H1787">
        <v>20.156103871724468</v>
      </c>
      <c r="I1787">
        <v>31.12474738317308</v>
      </c>
      <c r="J1787">
        <v>31.160879376340912</v>
      </c>
      <c r="K1787">
        <v>47.359742731869353</v>
      </c>
      <c r="L1787">
        <v>-1</v>
      </c>
      <c r="M1787" t="s">
        <v>69</v>
      </c>
    </row>
    <row r="1788" spans="1:13" x14ac:dyDescent="0.3">
      <c r="A1788" t="s">
        <v>19</v>
      </c>
      <c r="B1788" t="s">
        <v>46</v>
      </c>
      <c r="C1788">
        <v>27.170240538826139</v>
      </c>
      <c r="D1788">
        <v>1.0637197012748789</v>
      </c>
      <c r="E1788">
        <v>1.012244607751581</v>
      </c>
      <c r="F1788">
        <v>3.6405556820847358</v>
      </c>
      <c r="G1788">
        <v>6.0218552607126226</v>
      </c>
      <c r="H1788">
        <v>20.23770224580532</v>
      </c>
      <c r="I1788">
        <v>29.593215472883251</v>
      </c>
      <c r="J1788">
        <v>26.17594155588078</v>
      </c>
      <c r="K1788">
        <v>729.87341828410422</v>
      </c>
      <c r="L1788">
        <v>-1</v>
      </c>
      <c r="M1788" t="s">
        <v>69</v>
      </c>
    </row>
    <row r="1789" spans="1:13" x14ac:dyDescent="0.3">
      <c r="A1789" t="s">
        <v>24</v>
      </c>
      <c r="B1789" t="s">
        <v>61</v>
      </c>
      <c r="C1789">
        <v>666.0451654639262</v>
      </c>
      <c r="D1789">
        <v>42.366654161295948</v>
      </c>
      <c r="E1789">
        <v>44.105848530952883</v>
      </c>
      <c r="F1789">
        <v>118.2395230586876</v>
      </c>
      <c r="G1789">
        <v>6.1194283947060564</v>
      </c>
      <c r="H1789">
        <v>72.412904994748146</v>
      </c>
      <c r="I1789">
        <v>28.55790794777614</v>
      </c>
      <c r="J1789">
        <v>29.76925172599627</v>
      </c>
      <c r="K1789">
        <v>11.028909273833049</v>
      </c>
      <c r="L1789">
        <v>-1</v>
      </c>
      <c r="M1789" t="s">
        <v>69</v>
      </c>
    </row>
    <row r="1790" spans="1:13" x14ac:dyDescent="0.3">
      <c r="A1790" t="s">
        <v>25</v>
      </c>
      <c r="B1790" t="s">
        <v>62</v>
      </c>
      <c r="C1790">
        <v>93.900630293006216</v>
      </c>
      <c r="D1790">
        <v>3.670609391313854</v>
      </c>
      <c r="E1790">
        <v>5.7018750070954081</v>
      </c>
      <c r="F1790">
        <v>14.125577175716099</v>
      </c>
      <c r="G1790">
        <v>6.8511945362905582</v>
      </c>
      <c r="H1790">
        <v>14.137258674705491</v>
      </c>
      <c r="I1790">
        <v>33.641493658556861</v>
      </c>
      <c r="J1790">
        <v>30.541632060046449</v>
      </c>
      <c r="K1790">
        <v>47.312796549909081</v>
      </c>
      <c r="L1790">
        <v>-1</v>
      </c>
      <c r="M1790" t="s">
        <v>69</v>
      </c>
    </row>
    <row r="1791" spans="1:13" x14ac:dyDescent="0.3">
      <c r="A1791" t="s">
        <v>24</v>
      </c>
      <c r="B1791" t="s">
        <v>61</v>
      </c>
      <c r="C1791">
        <v>669.24487973244322</v>
      </c>
      <c r="D1791">
        <v>42.331171338386802</v>
      </c>
      <c r="E1791">
        <v>45.107144989151223</v>
      </c>
      <c r="F1791">
        <v>119.6214228001966</v>
      </c>
      <c r="G1791">
        <v>6.0688736565596333</v>
      </c>
      <c r="H1791">
        <v>71.673475568437141</v>
      </c>
      <c r="I1791">
        <v>28.345029174529049</v>
      </c>
      <c r="J1791">
        <v>29.859744566362711</v>
      </c>
      <c r="K1791">
        <v>11.0268305432171</v>
      </c>
      <c r="L1791">
        <v>-1</v>
      </c>
      <c r="M1791" t="s">
        <v>69</v>
      </c>
    </row>
    <row r="1792" spans="1:13" x14ac:dyDescent="0.3">
      <c r="A1792" t="s">
        <v>24</v>
      </c>
      <c r="B1792" t="s">
        <v>60</v>
      </c>
      <c r="C1792">
        <v>510.14519438293331</v>
      </c>
      <c r="D1792">
        <v>25.744350735475582</v>
      </c>
      <c r="E1792">
        <v>30.159475342774989</v>
      </c>
      <c r="F1792">
        <v>78.498731991596784</v>
      </c>
      <c r="G1792">
        <v>5.4432613985606508</v>
      </c>
      <c r="H1792">
        <v>63.645120680456593</v>
      </c>
      <c r="I1792">
        <v>31.679961807192139</v>
      </c>
      <c r="J1792">
        <v>32.22813126421898</v>
      </c>
      <c r="K1792">
        <v>11.34653552795271</v>
      </c>
      <c r="L1792">
        <v>-1</v>
      </c>
      <c r="M1792" t="s">
        <v>69</v>
      </c>
    </row>
    <row r="1793" spans="1:13" x14ac:dyDescent="0.3">
      <c r="A1793" t="s">
        <v>24</v>
      </c>
      <c r="B1793" t="s">
        <v>60</v>
      </c>
      <c r="C1793">
        <v>496.09276092016648</v>
      </c>
      <c r="D1793">
        <v>22.26863581783045</v>
      </c>
      <c r="E1793">
        <v>35.878687973794449</v>
      </c>
      <c r="F1793">
        <v>93.071432549923657</v>
      </c>
      <c r="G1793">
        <v>5.4289585740475008</v>
      </c>
      <c r="H1793">
        <v>66.157927165020496</v>
      </c>
      <c r="I1793">
        <v>30.669117955086449</v>
      </c>
      <c r="J1793">
        <v>32.577963481164602</v>
      </c>
      <c r="K1793">
        <v>11</v>
      </c>
      <c r="L1793">
        <v>-1</v>
      </c>
      <c r="M1793" t="s">
        <v>69</v>
      </c>
    </row>
    <row r="1794" spans="1:13" x14ac:dyDescent="0.3">
      <c r="A1794" t="s">
        <v>24</v>
      </c>
      <c r="B1794" t="s">
        <v>61</v>
      </c>
      <c r="C1794">
        <v>329.06078554937119</v>
      </c>
      <c r="D1794">
        <v>18.075022392649519</v>
      </c>
      <c r="E1794">
        <v>22.271063015891119</v>
      </c>
      <c r="F1794">
        <v>50.012470154993949</v>
      </c>
      <c r="G1794">
        <v>4.3453538700256882</v>
      </c>
      <c r="H1794">
        <v>55.429623522949008</v>
      </c>
      <c r="I1794">
        <v>29.834376743783231</v>
      </c>
      <c r="J1794">
        <v>31.42537852706894</v>
      </c>
      <c r="K1794">
        <v>13.870057921967151</v>
      </c>
      <c r="L1794">
        <v>-1</v>
      </c>
      <c r="M1794" t="s">
        <v>69</v>
      </c>
    </row>
    <row r="1795" spans="1:13" x14ac:dyDescent="0.3">
      <c r="A1795" t="s">
        <v>24</v>
      </c>
      <c r="B1795" t="s">
        <v>61</v>
      </c>
      <c r="C1795">
        <v>82.591446877811578</v>
      </c>
      <c r="D1795">
        <v>3.8196473359214198</v>
      </c>
      <c r="E1795">
        <v>5.8384499807001804</v>
      </c>
      <c r="F1795">
        <v>15.262458602434039</v>
      </c>
      <c r="G1795">
        <v>6.6488275091410074</v>
      </c>
      <c r="H1795">
        <v>14.07786059511643</v>
      </c>
      <c r="I1795">
        <v>32.033823980982667</v>
      </c>
      <c r="J1795">
        <v>30.97071795527156</v>
      </c>
      <c r="K1795">
        <v>47.851613853219988</v>
      </c>
      <c r="L1795">
        <v>-1</v>
      </c>
      <c r="M1795" t="s">
        <v>69</v>
      </c>
    </row>
    <row r="1796" spans="1:13" x14ac:dyDescent="0.3">
      <c r="A1796" t="s">
        <v>24</v>
      </c>
      <c r="B1796" t="s">
        <v>61</v>
      </c>
      <c r="C1796">
        <v>340.55388257578483</v>
      </c>
      <c r="D1796">
        <v>16.726020151517691</v>
      </c>
      <c r="E1796">
        <v>22.25915901060446</v>
      </c>
      <c r="F1796">
        <v>51.726375644415079</v>
      </c>
      <c r="G1796">
        <v>4.3211964725951084</v>
      </c>
      <c r="H1796">
        <v>54.589931585062338</v>
      </c>
      <c r="I1796">
        <v>30.11288248377495</v>
      </c>
      <c r="J1796">
        <v>31.321280114245351</v>
      </c>
      <c r="K1796">
        <v>13.904675121031691</v>
      </c>
      <c r="L1796">
        <v>-1</v>
      </c>
      <c r="M1796" t="s">
        <v>69</v>
      </c>
    </row>
    <row r="1797" spans="1:13" x14ac:dyDescent="0.3">
      <c r="A1797" t="s">
        <v>24</v>
      </c>
      <c r="B1797" t="s">
        <v>60</v>
      </c>
      <c r="C1797">
        <v>526.10643408420526</v>
      </c>
      <c r="D1797">
        <v>21.746567596644901</v>
      </c>
      <c r="E1797">
        <v>37.490854524425202</v>
      </c>
      <c r="F1797">
        <v>84.582701008731448</v>
      </c>
      <c r="G1797">
        <v>5.2256847791296819</v>
      </c>
      <c r="H1797">
        <v>68.35818774757972</v>
      </c>
      <c r="I1797">
        <v>30.560829686643899</v>
      </c>
      <c r="J1797">
        <v>31.089259532253489</v>
      </c>
      <c r="K1797">
        <v>11</v>
      </c>
      <c r="L1797">
        <v>-1</v>
      </c>
      <c r="M1797" t="s">
        <v>69</v>
      </c>
    </row>
    <row r="1798" spans="1:13" x14ac:dyDescent="0.3">
      <c r="A1798" t="s">
        <v>24</v>
      </c>
      <c r="B1798" t="s">
        <v>59</v>
      </c>
      <c r="C1798">
        <v>351.78758532707309</v>
      </c>
      <c r="D1798">
        <v>17.044312414841151</v>
      </c>
      <c r="E1798">
        <v>24.33912917707957</v>
      </c>
      <c r="F1798">
        <v>55.938664132248192</v>
      </c>
      <c r="G1798">
        <v>5.1986121005749402</v>
      </c>
      <c r="H1798">
        <v>75.229104800273035</v>
      </c>
      <c r="I1798">
        <v>30.633862450135069</v>
      </c>
      <c r="J1798">
        <v>30.96602078520468</v>
      </c>
      <c r="K1798">
        <v>11.011022026588989</v>
      </c>
      <c r="L1798">
        <v>-1</v>
      </c>
      <c r="M1798" t="s">
        <v>69</v>
      </c>
    </row>
    <row r="1799" spans="1:13" x14ac:dyDescent="0.3">
      <c r="A1799" t="s">
        <v>24</v>
      </c>
      <c r="B1799" t="s">
        <v>61</v>
      </c>
      <c r="C1799">
        <v>81.739239497526611</v>
      </c>
      <c r="D1799">
        <v>3.992321609122</v>
      </c>
      <c r="E1799">
        <v>5.2670860272432867</v>
      </c>
      <c r="F1799">
        <v>10.802240024149819</v>
      </c>
      <c r="G1799">
        <v>6.1812618707668827</v>
      </c>
      <c r="H1799">
        <v>15.182152633510199</v>
      </c>
      <c r="I1799">
        <v>34.828253759989472</v>
      </c>
      <c r="J1799">
        <v>30.6543487766697</v>
      </c>
      <c r="K1799">
        <v>47.724885497170128</v>
      </c>
      <c r="L1799">
        <v>-1</v>
      </c>
      <c r="M1799" t="s">
        <v>69</v>
      </c>
    </row>
    <row r="1800" spans="1:13" x14ac:dyDescent="0.3">
      <c r="A1800" t="s">
        <v>24</v>
      </c>
      <c r="B1800" t="s">
        <v>60</v>
      </c>
      <c r="C1800">
        <v>521.70228185707583</v>
      </c>
      <c r="D1800">
        <v>23.925452562992611</v>
      </c>
      <c r="E1800">
        <v>39.726908530540364</v>
      </c>
      <c r="F1800">
        <v>85.79526106556591</v>
      </c>
      <c r="G1800">
        <v>5.4052130866107753</v>
      </c>
      <c r="H1800">
        <v>67.979181885627725</v>
      </c>
      <c r="I1800">
        <v>31.183389392639601</v>
      </c>
      <c r="J1800">
        <v>31.52291327109873</v>
      </c>
      <c r="K1800">
        <v>11</v>
      </c>
      <c r="L1800">
        <v>-1</v>
      </c>
      <c r="M1800" t="s">
        <v>69</v>
      </c>
    </row>
    <row r="1801" spans="1:13" x14ac:dyDescent="0.3">
      <c r="A1801" t="s">
        <v>24</v>
      </c>
      <c r="B1801" t="s">
        <v>60</v>
      </c>
      <c r="C1801">
        <v>508.37660904350952</v>
      </c>
      <c r="D1801">
        <v>24.43430680526761</v>
      </c>
      <c r="E1801">
        <v>39.824217123117577</v>
      </c>
      <c r="F1801">
        <v>82.353817808784441</v>
      </c>
      <c r="G1801">
        <v>5.4364428920342149</v>
      </c>
      <c r="H1801">
        <v>67.499846088817947</v>
      </c>
      <c r="I1801">
        <v>30.96385752993444</v>
      </c>
      <c r="J1801">
        <v>30.935504613203769</v>
      </c>
      <c r="K1801">
        <v>11</v>
      </c>
      <c r="L1801">
        <v>-1</v>
      </c>
      <c r="M1801" t="s">
        <v>69</v>
      </c>
    </row>
    <row r="1802" spans="1:13" x14ac:dyDescent="0.3">
      <c r="A1802" t="s">
        <v>24</v>
      </c>
      <c r="B1802" t="s">
        <v>61</v>
      </c>
      <c r="C1802">
        <v>180.15655911166181</v>
      </c>
      <c r="D1802">
        <v>9.0038785682487372</v>
      </c>
      <c r="E1802">
        <v>11.537743142440959</v>
      </c>
      <c r="F1802">
        <v>29.53641358882501</v>
      </c>
      <c r="G1802">
        <v>6.0176080606218356</v>
      </c>
      <c r="H1802">
        <v>25.133179588755318</v>
      </c>
      <c r="I1802">
        <v>29.608034713713518</v>
      </c>
      <c r="J1802">
        <v>32.334925919373838</v>
      </c>
      <c r="K1802">
        <v>14.098792357950741</v>
      </c>
      <c r="L1802">
        <v>-1</v>
      </c>
      <c r="M1802" t="s">
        <v>69</v>
      </c>
    </row>
    <row r="1803" spans="1:13" x14ac:dyDescent="0.3">
      <c r="A1803" t="s">
        <v>24</v>
      </c>
      <c r="B1803" t="s">
        <v>61</v>
      </c>
      <c r="C1803">
        <v>314.55481032653518</v>
      </c>
      <c r="D1803">
        <v>16.36084952740428</v>
      </c>
      <c r="E1803">
        <v>19.300910038374351</v>
      </c>
      <c r="F1803">
        <v>51.242638153113681</v>
      </c>
      <c r="G1803">
        <v>4.4472614670659478</v>
      </c>
      <c r="H1803">
        <v>57.827551007969547</v>
      </c>
      <c r="I1803">
        <v>30.333637728157282</v>
      </c>
      <c r="J1803">
        <v>29.92166531411921</v>
      </c>
      <c r="K1803">
        <v>14.52739407708941</v>
      </c>
      <c r="L1803">
        <v>-1</v>
      </c>
      <c r="M1803" t="s">
        <v>69</v>
      </c>
    </row>
    <row r="1804" spans="1:13" x14ac:dyDescent="0.3">
      <c r="A1804" t="s">
        <v>24</v>
      </c>
      <c r="B1804" t="s">
        <v>60</v>
      </c>
      <c r="C1804">
        <v>591.35457935707575</v>
      </c>
      <c r="D1804">
        <v>29.490723048109771</v>
      </c>
      <c r="E1804">
        <v>40.438479966084671</v>
      </c>
      <c r="F1804">
        <v>94.181309008134093</v>
      </c>
      <c r="G1804">
        <v>6.2149629775832071</v>
      </c>
      <c r="H1804">
        <v>82.282314864154657</v>
      </c>
      <c r="I1804">
        <v>31.179604032936549</v>
      </c>
      <c r="J1804">
        <v>30.971999306645259</v>
      </c>
      <c r="K1804">
        <v>11</v>
      </c>
      <c r="L1804">
        <v>-1</v>
      </c>
      <c r="M1804" t="s">
        <v>69</v>
      </c>
    </row>
    <row r="1805" spans="1:13" x14ac:dyDescent="0.3">
      <c r="A1805" t="s">
        <v>24</v>
      </c>
      <c r="B1805" t="s">
        <v>61</v>
      </c>
      <c r="C1805">
        <v>183.8376950994986</v>
      </c>
      <c r="D1805">
        <v>8.989301904951283</v>
      </c>
      <c r="E1805">
        <v>11.860677997349191</v>
      </c>
      <c r="F1805">
        <v>29.238783370384599</v>
      </c>
      <c r="G1805">
        <v>6.2774571685932887</v>
      </c>
      <c r="H1805">
        <v>25.63356439368474</v>
      </c>
      <c r="I1805">
        <v>29.640864253406779</v>
      </c>
      <c r="J1805">
        <v>30.60845515931565</v>
      </c>
      <c r="K1805">
        <v>13.95710110437358</v>
      </c>
      <c r="L1805">
        <v>-1</v>
      </c>
      <c r="M1805" t="s">
        <v>69</v>
      </c>
    </row>
    <row r="1806" spans="1:13" x14ac:dyDescent="0.3">
      <c r="A1806" t="s">
        <v>24</v>
      </c>
      <c r="B1806" t="s">
        <v>59</v>
      </c>
      <c r="C1806">
        <v>330.40933289538373</v>
      </c>
      <c r="D1806">
        <v>15.72647916467238</v>
      </c>
      <c r="E1806">
        <v>24.155700611474462</v>
      </c>
      <c r="F1806">
        <v>50.084215165590187</v>
      </c>
      <c r="G1806">
        <v>5.135714773927142</v>
      </c>
      <c r="H1806">
        <v>81.570473098286527</v>
      </c>
      <c r="I1806">
        <v>31.102315025840731</v>
      </c>
      <c r="J1806">
        <v>30.16007177243474</v>
      </c>
      <c r="K1806">
        <v>11</v>
      </c>
      <c r="L1806">
        <v>-1</v>
      </c>
      <c r="M1806" t="s">
        <v>69</v>
      </c>
    </row>
    <row r="1807" spans="1:13" x14ac:dyDescent="0.3">
      <c r="A1807" t="s">
        <v>24</v>
      </c>
      <c r="B1807" t="s">
        <v>61</v>
      </c>
      <c r="C1807">
        <v>80.934565409424081</v>
      </c>
      <c r="D1807">
        <v>4.3506148894778072</v>
      </c>
      <c r="E1807">
        <v>5.1375648948068804</v>
      </c>
      <c r="F1807">
        <v>11.42550438731744</v>
      </c>
      <c r="G1807">
        <v>6.3695842407144374</v>
      </c>
      <c r="H1807">
        <v>14.64440206930959</v>
      </c>
      <c r="I1807">
        <v>34.925085999571998</v>
      </c>
      <c r="J1807">
        <v>31.077358447570209</v>
      </c>
      <c r="K1807">
        <v>47.613826220286462</v>
      </c>
      <c r="L1807">
        <v>-1</v>
      </c>
      <c r="M1807" t="s">
        <v>69</v>
      </c>
    </row>
    <row r="1808" spans="1:13" x14ac:dyDescent="0.3">
      <c r="A1808" t="s">
        <v>25</v>
      </c>
      <c r="B1808" t="s">
        <v>62</v>
      </c>
      <c r="C1808">
        <v>91.897231241343647</v>
      </c>
      <c r="D1808">
        <v>4.0053314186658522</v>
      </c>
      <c r="E1808">
        <v>6.0330567594869242</v>
      </c>
      <c r="F1808">
        <v>13.786929674208039</v>
      </c>
      <c r="G1808">
        <v>6.8976272972220007</v>
      </c>
      <c r="H1808">
        <v>14.619659658619661</v>
      </c>
      <c r="I1808">
        <v>34.003463288063323</v>
      </c>
      <c r="J1808">
        <v>30.934113305264379</v>
      </c>
      <c r="K1808">
        <v>47.920526319012197</v>
      </c>
      <c r="L1808">
        <v>-1</v>
      </c>
      <c r="M1808" t="s">
        <v>69</v>
      </c>
    </row>
    <row r="1809" spans="1:13" x14ac:dyDescent="0.3">
      <c r="A1809" t="s">
        <v>24</v>
      </c>
      <c r="B1809" t="s">
        <v>61</v>
      </c>
      <c r="C1809">
        <v>127.87124285688439</v>
      </c>
      <c r="D1809">
        <v>6.0129235450258829</v>
      </c>
      <c r="E1809">
        <v>8.0425618810946169</v>
      </c>
      <c r="F1809">
        <v>20.35132064437008</v>
      </c>
      <c r="G1809">
        <v>6.3027083404797049</v>
      </c>
      <c r="H1809">
        <v>19.332651914752081</v>
      </c>
      <c r="I1809">
        <v>30.367759562136381</v>
      </c>
      <c r="J1809">
        <v>31.036866637201381</v>
      </c>
      <c r="K1809">
        <v>47.922885686704831</v>
      </c>
      <c r="L1809">
        <v>-1</v>
      </c>
      <c r="M1809" t="s">
        <v>69</v>
      </c>
    </row>
    <row r="1810" spans="1:13" x14ac:dyDescent="0.3">
      <c r="A1810" t="s">
        <v>24</v>
      </c>
      <c r="B1810" t="s">
        <v>61</v>
      </c>
      <c r="C1810">
        <v>124.0913881448197</v>
      </c>
      <c r="D1810">
        <v>6.0471439977015953</v>
      </c>
      <c r="E1810">
        <v>8.1060934958212538</v>
      </c>
      <c r="F1810">
        <v>21.654856454143118</v>
      </c>
      <c r="G1810">
        <v>6.1410452082486362</v>
      </c>
      <c r="H1810">
        <v>21.057181573587801</v>
      </c>
      <c r="I1810">
        <v>31.080018578871911</v>
      </c>
      <c r="J1810">
        <v>30.96473817021413</v>
      </c>
      <c r="K1810">
        <v>48.278724871853228</v>
      </c>
      <c r="L1810">
        <v>-1</v>
      </c>
      <c r="M1810" t="s">
        <v>69</v>
      </c>
    </row>
    <row r="1811" spans="1:13" x14ac:dyDescent="0.3">
      <c r="A1811" t="s">
        <v>25</v>
      </c>
      <c r="B1811" t="s">
        <v>62</v>
      </c>
      <c r="C1811">
        <v>89.278761330344764</v>
      </c>
      <c r="D1811">
        <v>4.0525706513611022</v>
      </c>
      <c r="E1811">
        <v>5.9165701954985499</v>
      </c>
      <c r="F1811">
        <v>13.841895556163291</v>
      </c>
      <c r="G1811">
        <v>6.7044809522543369</v>
      </c>
      <c r="H1811">
        <v>13.9</v>
      </c>
      <c r="I1811">
        <v>31.370191884389332</v>
      </c>
      <c r="J1811">
        <v>30.970737311168389</v>
      </c>
      <c r="K1811">
        <v>47.982821431813591</v>
      </c>
      <c r="L1811">
        <v>-1</v>
      </c>
      <c r="M1811" t="s">
        <v>69</v>
      </c>
    </row>
    <row r="1812" spans="1:13" x14ac:dyDescent="0.3">
      <c r="A1812" t="s">
        <v>24</v>
      </c>
      <c r="B1812" t="s">
        <v>61</v>
      </c>
      <c r="C1812">
        <v>333.09634890310588</v>
      </c>
      <c r="D1812">
        <v>18.05093996871765</v>
      </c>
      <c r="E1812">
        <v>21.603009322002769</v>
      </c>
      <c r="F1812">
        <v>50.89770696042293</v>
      </c>
      <c r="G1812">
        <v>4.3611299024117001</v>
      </c>
      <c r="H1812">
        <v>56.169988922200787</v>
      </c>
      <c r="I1812">
        <v>29.341282902929422</v>
      </c>
      <c r="J1812">
        <v>31.80580327860276</v>
      </c>
      <c r="K1812">
        <v>13.954960038999619</v>
      </c>
      <c r="L1812">
        <v>-1</v>
      </c>
      <c r="M1812" t="s">
        <v>69</v>
      </c>
    </row>
    <row r="1813" spans="1:13" x14ac:dyDescent="0.3">
      <c r="A1813" t="s">
        <v>24</v>
      </c>
      <c r="B1813" t="s">
        <v>60</v>
      </c>
      <c r="C1813">
        <v>553.89589720848244</v>
      </c>
      <c r="D1813">
        <v>26.099456992260631</v>
      </c>
      <c r="E1813">
        <v>35.329692159046367</v>
      </c>
      <c r="F1813">
        <v>96.396402068068653</v>
      </c>
      <c r="G1813">
        <v>6.1282652309014818</v>
      </c>
      <c r="H1813">
        <v>78.771873846505315</v>
      </c>
      <c r="I1813">
        <v>30.595043478143889</v>
      </c>
      <c r="J1813">
        <v>28.870488075995791</v>
      </c>
      <c r="K1813">
        <v>11</v>
      </c>
      <c r="L1813">
        <v>-1</v>
      </c>
      <c r="M1813" t="s">
        <v>69</v>
      </c>
    </row>
    <row r="1814" spans="1:13" x14ac:dyDescent="0.3">
      <c r="A1814" t="s">
        <v>25</v>
      </c>
      <c r="B1814" t="s">
        <v>62</v>
      </c>
      <c r="C1814">
        <v>93.40159172470338</v>
      </c>
      <c r="D1814">
        <v>3.8970052766758601</v>
      </c>
      <c r="E1814">
        <v>6.6655893278330129</v>
      </c>
      <c r="F1814">
        <v>13.54199661745845</v>
      </c>
      <c r="G1814">
        <v>6.9467486384594652</v>
      </c>
      <c r="H1814">
        <v>14.070836483785641</v>
      </c>
      <c r="I1814">
        <v>33.818489705592327</v>
      </c>
      <c r="J1814">
        <v>31.779822252536061</v>
      </c>
      <c r="K1814">
        <v>46.74390118763904</v>
      </c>
      <c r="L1814">
        <v>-1</v>
      </c>
      <c r="M1814" t="s">
        <v>69</v>
      </c>
    </row>
    <row r="1815" spans="1:13" x14ac:dyDescent="0.3">
      <c r="A1815" t="s">
        <v>24</v>
      </c>
      <c r="B1815" t="s">
        <v>60</v>
      </c>
      <c r="C1815">
        <v>613.44560213495845</v>
      </c>
      <c r="D1815">
        <v>27.88311448835352</v>
      </c>
      <c r="E1815">
        <v>48.941311190711659</v>
      </c>
      <c r="F1815">
        <v>91.041225410055887</v>
      </c>
      <c r="G1815">
        <v>6.0515292927009554</v>
      </c>
      <c r="H1815">
        <v>76.748560484794012</v>
      </c>
      <c r="I1815">
        <v>29.604157888178651</v>
      </c>
      <c r="J1815">
        <v>30.314686706695401</v>
      </c>
      <c r="K1815">
        <v>11.09559196318264</v>
      </c>
      <c r="L1815">
        <v>-1</v>
      </c>
      <c r="M1815" t="s">
        <v>69</v>
      </c>
    </row>
    <row r="1816" spans="1:13" x14ac:dyDescent="0.3">
      <c r="A1816" t="s">
        <v>24</v>
      </c>
      <c r="B1816" t="s">
        <v>59</v>
      </c>
      <c r="C1816">
        <v>360.08706216917471</v>
      </c>
      <c r="D1816">
        <v>17.32179742096298</v>
      </c>
      <c r="E1816">
        <v>24.120582676495211</v>
      </c>
      <c r="F1816">
        <v>54.199777505170509</v>
      </c>
      <c r="G1816">
        <v>5.1839856547101046</v>
      </c>
      <c r="H1816">
        <v>78.979766360979511</v>
      </c>
      <c r="I1816">
        <v>31.698194195993711</v>
      </c>
      <c r="J1816">
        <v>30.782869151626642</v>
      </c>
      <c r="K1816">
        <v>11</v>
      </c>
      <c r="L1816">
        <v>-1</v>
      </c>
      <c r="M1816" t="s">
        <v>69</v>
      </c>
    </row>
    <row r="1817" spans="1:13" x14ac:dyDescent="0.3">
      <c r="A1817" t="s">
        <v>24</v>
      </c>
      <c r="B1817" t="s">
        <v>61</v>
      </c>
      <c r="C1817">
        <v>81.439585949093214</v>
      </c>
      <c r="D1817">
        <v>4.3915446418679061</v>
      </c>
      <c r="E1817">
        <v>5.1342771863243453</v>
      </c>
      <c r="F1817">
        <v>10.763306374955731</v>
      </c>
      <c r="G1817">
        <v>6.3737358827911352</v>
      </c>
      <c r="H1817">
        <v>14.73020490043168</v>
      </c>
      <c r="I1817">
        <v>34.940568616022219</v>
      </c>
      <c r="J1817">
        <v>30.929904100477849</v>
      </c>
      <c r="K1817">
        <v>47.656267120251186</v>
      </c>
      <c r="L1817">
        <v>-1</v>
      </c>
      <c r="M1817" t="s">
        <v>69</v>
      </c>
    </row>
    <row r="1818" spans="1:13" x14ac:dyDescent="0.3">
      <c r="A1818" t="s">
        <v>19</v>
      </c>
      <c r="B1818" t="s">
        <v>46</v>
      </c>
      <c r="C1818">
        <v>28.175542814138591</v>
      </c>
      <c r="D1818">
        <v>1.0516292497171229</v>
      </c>
      <c r="E1818">
        <v>0.9699567516862988</v>
      </c>
      <c r="F1818">
        <v>4.216260635776905</v>
      </c>
      <c r="G1818">
        <v>6.0492952120366956</v>
      </c>
      <c r="H1818">
        <v>19.196387169915841</v>
      </c>
      <c r="I1818">
        <v>30.88240277164228</v>
      </c>
      <c r="J1818">
        <v>26.306228502229509</v>
      </c>
      <c r="K1818">
        <v>732.31616662439387</v>
      </c>
      <c r="L1818">
        <v>-1</v>
      </c>
      <c r="M1818" t="s">
        <v>69</v>
      </c>
    </row>
    <row r="1819" spans="1:13" x14ac:dyDescent="0.3">
      <c r="A1819" t="s">
        <v>24</v>
      </c>
      <c r="B1819" t="s">
        <v>61</v>
      </c>
      <c r="C1819">
        <v>80.215185000425208</v>
      </c>
      <c r="D1819">
        <v>3.9804022526576941</v>
      </c>
      <c r="E1819">
        <v>5.1315106857571893</v>
      </c>
      <c r="F1819">
        <v>13.14380899329637</v>
      </c>
      <c r="G1819">
        <v>6.2159210412512849</v>
      </c>
      <c r="H1819">
        <v>14.86799163269551</v>
      </c>
      <c r="I1819">
        <v>34.64343290607205</v>
      </c>
      <c r="J1819">
        <v>31.626367577390969</v>
      </c>
      <c r="K1819">
        <v>47.547940247720128</v>
      </c>
      <c r="L1819">
        <v>-1</v>
      </c>
      <c r="M1819" t="s">
        <v>69</v>
      </c>
    </row>
    <row r="1820" spans="1:13" x14ac:dyDescent="0.3">
      <c r="A1820" t="s">
        <v>19</v>
      </c>
      <c r="B1820" t="s">
        <v>47</v>
      </c>
      <c r="C1820">
        <v>29.595148688376359</v>
      </c>
      <c r="D1820">
        <v>1.037695466528848</v>
      </c>
      <c r="E1820">
        <v>1.483032738607843</v>
      </c>
      <c r="F1820">
        <v>3.9235464505401669</v>
      </c>
      <c r="G1820">
        <v>5.906841807160049</v>
      </c>
      <c r="H1820">
        <v>20.210817935747588</v>
      </c>
      <c r="I1820">
        <v>30.173407056989021</v>
      </c>
      <c r="J1820">
        <v>26.13933605636467</v>
      </c>
      <c r="K1820">
        <v>729.1520472578286</v>
      </c>
      <c r="L1820">
        <v>-1</v>
      </c>
      <c r="M1820" t="s">
        <v>69</v>
      </c>
    </row>
    <row r="1821" spans="1:13" x14ac:dyDescent="0.3">
      <c r="A1821" t="s">
        <v>19</v>
      </c>
      <c r="B1821" t="s">
        <v>47</v>
      </c>
      <c r="C1821">
        <v>31.01316819275047</v>
      </c>
      <c r="D1821">
        <v>0.99194440615851454</v>
      </c>
      <c r="E1821">
        <v>1.9960057866795859</v>
      </c>
      <c r="F1821">
        <v>3.9343664720321172</v>
      </c>
      <c r="G1821">
        <v>5.9053334421309156</v>
      </c>
      <c r="H1821">
        <v>21.344426706710749</v>
      </c>
      <c r="I1821">
        <v>29.905712198752859</v>
      </c>
      <c r="J1821">
        <v>26.074443747255941</v>
      </c>
      <c r="K1821">
        <v>730.26960858936422</v>
      </c>
      <c r="L1821">
        <v>-1</v>
      </c>
      <c r="M1821" t="s">
        <v>69</v>
      </c>
    </row>
    <row r="1822" spans="1:13" x14ac:dyDescent="0.3">
      <c r="A1822" t="s">
        <v>25</v>
      </c>
      <c r="B1822" t="s">
        <v>62</v>
      </c>
      <c r="C1822">
        <v>93.951515234239466</v>
      </c>
      <c r="D1822">
        <v>3.6701838862723069</v>
      </c>
      <c r="E1822">
        <v>5.695071093990828</v>
      </c>
      <c r="F1822">
        <v>14.130180748625889</v>
      </c>
      <c r="G1822">
        <v>6.8509212358195706</v>
      </c>
      <c r="H1822">
        <v>14.144988457630109</v>
      </c>
      <c r="I1822">
        <v>33.643631835627787</v>
      </c>
      <c r="J1822">
        <v>30.538324637285552</v>
      </c>
      <c r="K1822">
        <v>47.308204624632943</v>
      </c>
      <c r="L1822">
        <v>-1</v>
      </c>
      <c r="M1822" t="s">
        <v>69</v>
      </c>
    </row>
    <row r="1823" spans="1:13" x14ac:dyDescent="0.3">
      <c r="A1823" t="s">
        <v>24</v>
      </c>
      <c r="B1823" t="s">
        <v>61</v>
      </c>
      <c r="C1823">
        <v>75.981401946797874</v>
      </c>
      <c r="D1823">
        <v>4.1891250032247971</v>
      </c>
      <c r="E1823">
        <v>4.9726478433032746</v>
      </c>
      <c r="F1823">
        <v>12.478645976604041</v>
      </c>
      <c r="G1823">
        <v>6.1373487321042042</v>
      </c>
      <c r="H1823">
        <v>14.79495649819405</v>
      </c>
      <c r="I1823">
        <v>34.243483941516708</v>
      </c>
      <c r="J1823">
        <v>31.345251880656711</v>
      </c>
      <c r="K1823">
        <v>46.544565901858732</v>
      </c>
      <c r="L1823">
        <v>-1</v>
      </c>
      <c r="M1823" t="s">
        <v>69</v>
      </c>
    </row>
    <row r="1824" spans="1:13" x14ac:dyDescent="0.3">
      <c r="A1824" t="s">
        <v>24</v>
      </c>
      <c r="B1824" t="s">
        <v>61</v>
      </c>
      <c r="C1824">
        <v>729.16635755283926</v>
      </c>
      <c r="D1824">
        <v>39.556500327226338</v>
      </c>
      <c r="E1824">
        <v>47.450891771891307</v>
      </c>
      <c r="F1824">
        <v>119.263358635514</v>
      </c>
      <c r="G1824">
        <v>5.9946694311488784</v>
      </c>
      <c r="H1824">
        <v>70.619703998146861</v>
      </c>
      <c r="I1824">
        <v>29.901503203466369</v>
      </c>
      <c r="J1824">
        <v>30.84436010623423</v>
      </c>
      <c r="K1824">
        <v>11.16167080026435</v>
      </c>
      <c r="L1824">
        <v>-1</v>
      </c>
      <c r="M1824" t="s">
        <v>69</v>
      </c>
    </row>
    <row r="1825" spans="1:13" x14ac:dyDescent="0.3">
      <c r="A1825" t="s">
        <v>24</v>
      </c>
      <c r="B1825" t="s">
        <v>61</v>
      </c>
      <c r="C1825">
        <v>345.68434162060811</v>
      </c>
      <c r="D1825">
        <v>16.800320006267331</v>
      </c>
      <c r="E1825">
        <v>22.556875815988391</v>
      </c>
      <c r="F1825">
        <v>54.591005534311677</v>
      </c>
      <c r="G1825">
        <v>4.5942164669346814</v>
      </c>
      <c r="H1825">
        <v>55.931284337215843</v>
      </c>
      <c r="I1825">
        <v>30.28028443931969</v>
      </c>
      <c r="J1825">
        <v>30.69515343878269</v>
      </c>
      <c r="K1825">
        <v>14.29380595264843</v>
      </c>
      <c r="L1825">
        <v>-1</v>
      </c>
      <c r="M1825" t="s">
        <v>69</v>
      </c>
    </row>
    <row r="1826" spans="1:13" x14ac:dyDescent="0.3">
      <c r="A1826" t="s">
        <v>24</v>
      </c>
      <c r="B1826" t="s">
        <v>60</v>
      </c>
      <c r="C1826">
        <v>574.20901381184694</v>
      </c>
      <c r="D1826">
        <v>29.839427824498159</v>
      </c>
      <c r="E1826">
        <v>41.064692720191999</v>
      </c>
      <c r="F1826">
        <v>93.563837822701373</v>
      </c>
      <c r="G1826">
        <v>6.1334949167869368</v>
      </c>
      <c r="H1826">
        <v>79.17255492495535</v>
      </c>
      <c r="I1826">
        <v>31.192613220825589</v>
      </c>
      <c r="J1826">
        <v>30.324714189990519</v>
      </c>
      <c r="K1826">
        <v>11.113804125793649</v>
      </c>
      <c r="L1826">
        <v>-1</v>
      </c>
      <c r="M1826" t="s">
        <v>69</v>
      </c>
    </row>
    <row r="1827" spans="1:13" x14ac:dyDescent="0.3">
      <c r="A1827" t="s">
        <v>24</v>
      </c>
      <c r="B1827" t="s">
        <v>60</v>
      </c>
      <c r="C1827">
        <v>488.46871016990627</v>
      </c>
      <c r="D1827">
        <v>24.447830835291171</v>
      </c>
      <c r="E1827">
        <v>39.352891277649888</v>
      </c>
      <c r="F1827">
        <v>77.401330416965948</v>
      </c>
      <c r="G1827">
        <v>5.4307386480780524</v>
      </c>
      <c r="H1827">
        <v>66.718026645270044</v>
      </c>
      <c r="I1827">
        <v>30.866734136298319</v>
      </c>
      <c r="J1827">
        <v>30.240670293825922</v>
      </c>
      <c r="K1827">
        <v>11</v>
      </c>
      <c r="L1827">
        <v>-1</v>
      </c>
      <c r="M1827" t="s">
        <v>69</v>
      </c>
    </row>
    <row r="1828" spans="1:13" x14ac:dyDescent="0.3">
      <c r="A1828" t="s">
        <v>25</v>
      </c>
      <c r="B1828" t="s">
        <v>62</v>
      </c>
      <c r="C1828">
        <v>92.172042099915785</v>
      </c>
      <c r="D1828">
        <v>3.787603394443273</v>
      </c>
      <c r="E1828">
        <v>5.9565645067500146</v>
      </c>
      <c r="F1828">
        <v>14.96544066032115</v>
      </c>
      <c r="G1828">
        <v>6.9124740818933494</v>
      </c>
      <c r="H1828">
        <v>14.02738901967173</v>
      </c>
      <c r="I1828">
        <v>31.202975249509269</v>
      </c>
      <c r="J1828">
        <v>31.711126315636761</v>
      </c>
      <c r="K1828">
        <v>48.055166447599731</v>
      </c>
      <c r="L1828">
        <v>-1</v>
      </c>
      <c r="M1828" t="s">
        <v>69</v>
      </c>
    </row>
    <row r="1829" spans="1:13" x14ac:dyDescent="0.3">
      <c r="A1829" t="s">
        <v>24</v>
      </c>
      <c r="B1829" t="s">
        <v>59</v>
      </c>
      <c r="C1829">
        <v>352.07020884012542</v>
      </c>
      <c r="D1829">
        <v>16.772551083862499</v>
      </c>
      <c r="E1829">
        <v>25.103456105827942</v>
      </c>
      <c r="F1829">
        <v>58.231324115099582</v>
      </c>
      <c r="G1829">
        <v>5.0809396408135212</v>
      </c>
      <c r="H1829">
        <v>74.984100729204172</v>
      </c>
      <c r="I1829">
        <v>30.819291172226698</v>
      </c>
      <c r="J1829">
        <v>31.214971472222459</v>
      </c>
      <c r="K1829">
        <v>11.110553804760681</v>
      </c>
      <c r="L1829">
        <v>-1</v>
      </c>
      <c r="M1829" t="s">
        <v>69</v>
      </c>
    </row>
    <row r="1830" spans="1:13" x14ac:dyDescent="0.3">
      <c r="A1830" t="s">
        <v>24</v>
      </c>
      <c r="B1830" t="s">
        <v>60</v>
      </c>
      <c r="C1830">
        <v>523.04198723815648</v>
      </c>
      <c r="D1830">
        <v>28.468675295273659</v>
      </c>
      <c r="E1830">
        <v>33.731226044388997</v>
      </c>
      <c r="F1830">
        <v>80.125048781377785</v>
      </c>
      <c r="G1830">
        <v>5.3631667295748624</v>
      </c>
      <c r="H1830">
        <v>67.186751922385866</v>
      </c>
      <c r="I1830">
        <v>30.328794389634059</v>
      </c>
      <c r="J1830">
        <v>31.39573196451196</v>
      </c>
      <c r="K1830">
        <v>11.01156018983693</v>
      </c>
      <c r="L1830">
        <v>-1</v>
      </c>
      <c r="M1830" t="s">
        <v>69</v>
      </c>
    </row>
    <row r="1831" spans="1:13" x14ac:dyDescent="0.3">
      <c r="A1831" t="s">
        <v>24</v>
      </c>
      <c r="B1831" t="s">
        <v>60</v>
      </c>
      <c r="C1831">
        <v>575.10994347325493</v>
      </c>
      <c r="D1831">
        <v>29.742358543737328</v>
      </c>
      <c r="E1831">
        <v>40.941574384625611</v>
      </c>
      <c r="F1831">
        <v>93.498637062948035</v>
      </c>
      <c r="G1831">
        <v>6.141185394045408</v>
      </c>
      <c r="H1831">
        <v>79.268238551301295</v>
      </c>
      <c r="I1831">
        <v>31.18190366549263</v>
      </c>
      <c r="J1831">
        <v>30.402802509167699</v>
      </c>
      <c r="K1831">
        <v>11.100644108558299</v>
      </c>
      <c r="L1831">
        <v>-1</v>
      </c>
      <c r="M1831" t="s">
        <v>69</v>
      </c>
    </row>
    <row r="1832" spans="1:13" x14ac:dyDescent="0.3">
      <c r="A1832" t="s">
        <v>24</v>
      </c>
      <c r="B1832" t="s">
        <v>58</v>
      </c>
      <c r="C1832">
        <v>31.5444589972934</v>
      </c>
      <c r="D1832">
        <v>0.92382756717219738</v>
      </c>
      <c r="E1832">
        <v>2.0948679745132308</v>
      </c>
      <c r="F1832">
        <v>4.0739469626421414</v>
      </c>
      <c r="G1832">
        <v>5.9902912920591129</v>
      </c>
      <c r="H1832">
        <v>22.088250531219369</v>
      </c>
      <c r="I1832">
        <v>30.30563897185618</v>
      </c>
      <c r="J1832">
        <v>25.80160489170142</v>
      </c>
      <c r="K1832">
        <v>754.74289288010903</v>
      </c>
      <c r="L1832">
        <v>-1</v>
      </c>
      <c r="M1832" t="s">
        <v>69</v>
      </c>
    </row>
    <row r="1833" spans="1:13" x14ac:dyDescent="0.3">
      <c r="A1833" t="s">
        <v>24</v>
      </c>
      <c r="B1833" t="s">
        <v>61</v>
      </c>
      <c r="C1833">
        <v>80.544584562809135</v>
      </c>
      <c r="D1833">
        <v>3.940914510337318</v>
      </c>
      <c r="E1833">
        <v>4.8558377822122889</v>
      </c>
      <c r="F1833">
        <v>12.97473443496013</v>
      </c>
      <c r="G1833">
        <v>6.15431977674357</v>
      </c>
      <c r="H1833">
        <v>14.97427388759152</v>
      </c>
      <c r="I1833">
        <v>34.298448959964453</v>
      </c>
      <c r="J1833">
        <v>32.197569369359677</v>
      </c>
      <c r="K1833">
        <v>47.84101890387069</v>
      </c>
      <c r="L1833">
        <v>-1</v>
      </c>
      <c r="M1833" t="s">
        <v>69</v>
      </c>
    </row>
    <row r="1834" spans="1:13" x14ac:dyDescent="0.3">
      <c r="A1834" t="s">
        <v>25</v>
      </c>
      <c r="B1834" t="s">
        <v>62</v>
      </c>
      <c r="C1834">
        <v>92.052016310354432</v>
      </c>
      <c r="D1834">
        <v>3.9514282354120609</v>
      </c>
      <c r="E1834">
        <v>5.9862904848198726</v>
      </c>
      <c r="F1834">
        <v>13.99758541337286</v>
      </c>
      <c r="G1834">
        <v>6.8937941000968568</v>
      </c>
      <c r="H1834">
        <v>14.577161833387621</v>
      </c>
      <c r="I1834">
        <v>34.019520157233941</v>
      </c>
      <c r="J1834">
        <v>30.945206561927801</v>
      </c>
      <c r="K1834">
        <v>47.916123263909178</v>
      </c>
      <c r="L1834">
        <v>-1</v>
      </c>
      <c r="M1834" t="s">
        <v>69</v>
      </c>
    </row>
    <row r="1835" spans="1:13" x14ac:dyDescent="0.3">
      <c r="A1835" t="s">
        <v>24</v>
      </c>
      <c r="B1835" t="s">
        <v>60</v>
      </c>
      <c r="C1835">
        <v>503.97368224707913</v>
      </c>
      <c r="D1835">
        <v>21.927873457303409</v>
      </c>
      <c r="E1835">
        <v>35.924531574634443</v>
      </c>
      <c r="F1835">
        <v>81.374269099853507</v>
      </c>
      <c r="G1835">
        <v>5.5035431543075761</v>
      </c>
      <c r="H1835">
        <v>63.165630304150582</v>
      </c>
      <c r="I1835">
        <v>30.19930059444247</v>
      </c>
      <c r="J1835">
        <v>31.108412705588101</v>
      </c>
      <c r="K1835">
        <v>11.15809167891439</v>
      </c>
      <c r="L1835">
        <v>-1</v>
      </c>
      <c r="M1835" t="s">
        <v>69</v>
      </c>
    </row>
    <row r="1836" spans="1:13" x14ac:dyDescent="0.3">
      <c r="A1836" t="s">
        <v>24</v>
      </c>
      <c r="B1836" t="s">
        <v>61</v>
      </c>
      <c r="C1836">
        <v>79.333222796540596</v>
      </c>
      <c r="D1836">
        <v>4.4325039235947221</v>
      </c>
      <c r="E1836">
        <v>5.2497256385275843</v>
      </c>
      <c r="F1836">
        <v>10.703350316924549</v>
      </c>
      <c r="G1836">
        <v>6.3076211974936696</v>
      </c>
      <c r="H1836">
        <v>14.49335211405324</v>
      </c>
      <c r="I1836">
        <v>34.577892370622237</v>
      </c>
      <c r="J1836">
        <v>30.837457856247031</v>
      </c>
      <c r="K1836">
        <v>48.278871747568928</v>
      </c>
      <c r="L1836">
        <v>-1</v>
      </c>
      <c r="M1836" t="s">
        <v>69</v>
      </c>
    </row>
    <row r="1837" spans="1:13" x14ac:dyDescent="0.3">
      <c r="A1837" t="s">
        <v>24</v>
      </c>
      <c r="B1837" t="s">
        <v>61</v>
      </c>
      <c r="C1837">
        <v>126.75868514814999</v>
      </c>
      <c r="D1837">
        <v>6.724363053670424</v>
      </c>
      <c r="E1837">
        <v>9.0070561293957283</v>
      </c>
      <c r="F1837">
        <v>18.6639277378838</v>
      </c>
      <c r="G1837">
        <v>6.4460216327842996</v>
      </c>
      <c r="H1837">
        <v>21.187804532954171</v>
      </c>
      <c r="I1837">
        <v>30.609079629406281</v>
      </c>
      <c r="J1837">
        <v>30.993407471582788</v>
      </c>
      <c r="K1837">
        <v>48.411667815934152</v>
      </c>
      <c r="L1837">
        <v>-1</v>
      </c>
      <c r="M1837" t="s">
        <v>69</v>
      </c>
    </row>
    <row r="1838" spans="1:13" x14ac:dyDescent="0.3">
      <c r="A1838" t="s">
        <v>24</v>
      </c>
      <c r="B1838" t="s">
        <v>58</v>
      </c>
      <c r="C1838">
        <v>30.963899226295691</v>
      </c>
      <c r="D1838">
        <v>0.92115399486252159</v>
      </c>
      <c r="E1838">
        <v>1.948280313332055</v>
      </c>
      <c r="F1838">
        <v>4.0765424232880108</v>
      </c>
      <c r="G1838">
        <v>6.0084521642190643</v>
      </c>
      <c r="H1838">
        <v>21.861057669658582</v>
      </c>
      <c r="I1838">
        <v>30.42130877758418</v>
      </c>
      <c r="J1838">
        <v>25.794641431979429</v>
      </c>
      <c r="K1838">
        <v>755.71663925318649</v>
      </c>
      <c r="L1838">
        <v>-1</v>
      </c>
      <c r="M1838" t="s">
        <v>69</v>
      </c>
    </row>
    <row r="1839" spans="1:13" x14ac:dyDescent="0.3">
      <c r="A1839" t="s">
        <v>24</v>
      </c>
      <c r="B1839" t="s">
        <v>61</v>
      </c>
      <c r="C1839">
        <v>328.89634042642058</v>
      </c>
      <c r="D1839">
        <v>17.017307871562739</v>
      </c>
      <c r="E1839">
        <v>22.233527257689541</v>
      </c>
      <c r="F1839">
        <v>56.505531310011108</v>
      </c>
      <c r="G1839">
        <v>5.2758916098695634</v>
      </c>
      <c r="H1839">
        <v>73.256665632854947</v>
      </c>
      <c r="I1839">
        <v>31.33332962755458</v>
      </c>
      <c r="J1839">
        <v>32.134572840468337</v>
      </c>
      <c r="K1839">
        <v>11</v>
      </c>
      <c r="L1839">
        <v>-1</v>
      </c>
      <c r="M1839" t="s">
        <v>69</v>
      </c>
    </row>
    <row r="1840" spans="1:13" x14ac:dyDescent="0.3">
      <c r="A1840" t="s">
        <v>24</v>
      </c>
      <c r="B1840" t="s">
        <v>60</v>
      </c>
      <c r="C1840">
        <v>591.1529193060004</v>
      </c>
      <c r="D1840">
        <v>28.88325779896277</v>
      </c>
      <c r="E1840">
        <v>42.059952487715307</v>
      </c>
      <c r="F1840">
        <v>95.757285988534647</v>
      </c>
      <c r="G1840">
        <v>6.2509139762422246</v>
      </c>
      <c r="H1840">
        <v>87.744142485945247</v>
      </c>
      <c r="I1840">
        <v>31.078670814561239</v>
      </c>
      <c r="J1840">
        <v>31.183035941062951</v>
      </c>
      <c r="K1840">
        <v>11.087715725869201</v>
      </c>
      <c r="L1840">
        <v>-1</v>
      </c>
      <c r="M1840" t="s">
        <v>69</v>
      </c>
    </row>
    <row r="1841" spans="1:13" x14ac:dyDescent="0.3">
      <c r="A1841" t="s">
        <v>24</v>
      </c>
      <c r="B1841" t="s">
        <v>61</v>
      </c>
      <c r="C1841">
        <v>327.48645446819592</v>
      </c>
      <c r="D1841">
        <v>16.87092631144699</v>
      </c>
      <c r="E1841">
        <v>22.58632459725855</v>
      </c>
      <c r="F1841">
        <v>41.789031467309229</v>
      </c>
      <c r="G1841">
        <v>4.3559883301862836</v>
      </c>
      <c r="H1841">
        <v>57.274264425769353</v>
      </c>
      <c r="I1841">
        <v>29.189099450715219</v>
      </c>
      <c r="J1841">
        <v>32.048500623524824</v>
      </c>
      <c r="K1841">
        <v>13.9944639949581</v>
      </c>
      <c r="L1841">
        <v>-1</v>
      </c>
      <c r="M1841" t="s">
        <v>69</v>
      </c>
    </row>
    <row r="1842" spans="1:13" x14ac:dyDescent="0.3">
      <c r="A1842" t="s">
        <v>24</v>
      </c>
      <c r="B1842" t="s">
        <v>60</v>
      </c>
      <c r="C1842">
        <v>588.41656669882934</v>
      </c>
      <c r="D1842">
        <v>28.313488575355539</v>
      </c>
      <c r="E1842">
        <v>42.339123731762072</v>
      </c>
      <c r="F1842">
        <v>89.42479696330409</v>
      </c>
      <c r="G1842">
        <v>6.1511186039140382</v>
      </c>
      <c r="H1842">
        <v>79.723233508527727</v>
      </c>
      <c r="I1842">
        <v>30.7725235278441</v>
      </c>
      <c r="J1842">
        <v>30.877436580702248</v>
      </c>
      <c r="K1842">
        <v>11.0059232389649</v>
      </c>
      <c r="L1842">
        <v>-1</v>
      </c>
      <c r="M1842" t="s">
        <v>69</v>
      </c>
    </row>
    <row r="1843" spans="1:13" x14ac:dyDescent="0.3">
      <c r="A1843" t="s">
        <v>25</v>
      </c>
      <c r="B1843" t="s">
        <v>62</v>
      </c>
      <c r="C1843">
        <v>91.3935379268502</v>
      </c>
      <c r="D1843">
        <v>3.940027242776929</v>
      </c>
      <c r="E1843">
        <v>6.2010992577072157</v>
      </c>
      <c r="F1843">
        <v>12.522852734818541</v>
      </c>
      <c r="G1843">
        <v>6.8712348068379354</v>
      </c>
      <c r="H1843">
        <v>13.9</v>
      </c>
      <c r="I1843">
        <v>33.272510352713176</v>
      </c>
      <c r="J1843">
        <v>30.43550282670645</v>
      </c>
      <c r="K1843">
        <v>47.283646688943463</v>
      </c>
      <c r="L1843">
        <v>-1</v>
      </c>
      <c r="M1843" t="s">
        <v>69</v>
      </c>
    </row>
    <row r="1844" spans="1:13" x14ac:dyDescent="0.3">
      <c r="A1844" t="s">
        <v>24</v>
      </c>
      <c r="B1844" t="s">
        <v>61</v>
      </c>
      <c r="C1844">
        <v>685.87472880673272</v>
      </c>
      <c r="D1844">
        <v>32.386769140459151</v>
      </c>
      <c r="E1844">
        <v>47.697379779911842</v>
      </c>
      <c r="F1844">
        <v>118.6675607844539</v>
      </c>
      <c r="G1844">
        <v>6.1157221664798476</v>
      </c>
      <c r="H1844">
        <v>70.850212197638854</v>
      </c>
      <c r="I1844">
        <v>29.740654728264399</v>
      </c>
      <c r="J1844">
        <v>30.672922010295871</v>
      </c>
      <c r="K1844">
        <v>11</v>
      </c>
      <c r="L1844">
        <v>-1</v>
      </c>
      <c r="M1844" t="s">
        <v>69</v>
      </c>
    </row>
    <row r="1845" spans="1:13" x14ac:dyDescent="0.3">
      <c r="A1845" t="s">
        <v>24</v>
      </c>
      <c r="B1845" t="s">
        <v>60</v>
      </c>
      <c r="C1845">
        <v>563.86175278111818</v>
      </c>
      <c r="D1845">
        <v>26.90450979010539</v>
      </c>
      <c r="E1845">
        <v>44.456143563669237</v>
      </c>
      <c r="F1845">
        <v>79.324744155193031</v>
      </c>
      <c r="G1845">
        <v>6.2091906760047157</v>
      </c>
      <c r="H1845">
        <v>80.680885488928453</v>
      </c>
      <c r="I1845">
        <v>32.021716214767963</v>
      </c>
      <c r="J1845">
        <v>31.226041162376841</v>
      </c>
      <c r="K1845">
        <v>11.16189876074213</v>
      </c>
      <c r="L1845">
        <v>-1</v>
      </c>
      <c r="M1845" t="s">
        <v>69</v>
      </c>
    </row>
    <row r="1846" spans="1:13" x14ac:dyDescent="0.3">
      <c r="A1846" t="s">
        <v>24</v>
      </c>
      <c r="B1846" t="s">
        <v>61</v>
      </c>
      <c r="C1846">
        <v>187.39814671358161</v>
      </c>
      <c r="D1846">
        <v>8.8196009797825496</v>
      </c>
      <c r="E1846">
        <v>11.241739561758809</v>
      </c>
      <c r="F1846">
        <v>31.915934902056609</v>
      </c>
      <c r="G1846">
        <v>6.3334362452651494</v>
      </c>
      <c r="H1846">
        <v>25.99503043451049</v>
      </c>
      <c r="I1846">
        <v>29.511065971346031</v>
      </c>
      <c r="J1846">
        <v>31.376966589462231</v>
      </c>
      <c r="K1846">
        <v>14.03352678088322</v>
      </c>
      <c r="L1846">
        <v>-1</v>
      </c>
      <c r="M1846" t="s">
        <v>69</v>
      </c>
    </row>
    <row r="1847" spans="1:13" x14ac:dyDescent="0.3">
      <c r="A1847" t="s">
        <v>24</v>
      </c>
      <c r="B1847" t="s">
        <v>61</v>
      </c>
      <c r="C1847">
        <v>81.256844016973815</v>
      </c>
      <c r="D1847">
        <v>4.373964322863924</v>
      </c>
      <c r="E1847">
        <v>5.0694597809695043</v>
      </c>
      <c r="F1847">
        <v>11.085185207943219</v>
      </c>
      <c r="G1847">
        <v>6.3692767399124497</v>
      </c>
      <c r="H1847">
        <v>14.62362896686574</v>
      </c>
      <c r="I1847">
        <v>34.900784476050369</v>
      </c>
      <c r="J1847">
        <v>31.008689614473521</v>
      </c>
      <c r="K1847">
        <v>47.733134247980161</v>
      </c>
      <c r="L1847">
        <v>-1</v>
      </c>
      <c r="M1847" t="s">
        <v>69</v>
      </c>
    </row>
    <row r="1848" spans="1:13" x14ac:dyDescent="0.3">
      <c r="A1848" t="s">
        <v>24</v>
      </c>
      <c r="B1848" t="s">
        <v>59</v>
      </c>
      <c r="C1848">
        <v>349.67930886539858</v>
      </c>
      <c r="D1848">
        <v>16.659906114090969</v>
      </c>
      <c r="E1848">
        <v>24.785953136276969</v>
      </c>
      <c r="F1848">
        <v>58.754205177138722</v>
      </c>
      <c r="G1848">
        <v>5.0603066261205436</v>
      </c>
      <c r="H1848">
        <v>75.170934803908068</v>
      </c>
      <c r="I1848">
        <v>30.808479932389091</v>
      </c>
      <c r="J1848">
        <v>31.30911527351001</v>
      </c>
      <c r="K1848">
        <v>11.11453600735422</v>
      </c>
      <c r="L1848">
        <v>-1</v>
      </c>
      <c r="M1848" t="s">
        <v>69</v>
      </c>
    </row>
    <row r="1849" spans="1:13" x14ac:dyDescent="0.3">
      <c r="A1849" t="s">
        <v>24</v>
      </c>
      <c r="B1849" t="s">
        <v>58</v>
      </c>
      <c r="C1849">
        <v>37.084424167379922</v>
      </c>
      <c r="D1849">
        <v>1.4381069557678809</v>
      </c>
      <c r="E1849">
        <v>2.4809540969528392</v>
      </c>
      <c r="F1849">
        <v>3.516111879053808</v>
      </c>
      <c r="G1849">
        <v>6.2318953758149158</v>
      </c>
      <c r="H1849">
        <v>21.699744259937479</v>
      </c>
      <c r="I1849">
        <v>29.83002510004593</v>
      </c>
      <c r="J1849">
        <v>25.98917269101814</v>
      </c>
      <c r="K1849">
        <v>746.7228858310956</v>
      </c>
      <c r="L1849">
        <v>-1</v>
      </c>
      <c r="M1849" t="s">
        <v>69</v>
      </c>
    </row>
    <row r="1850" spans="1:13" x14ac:dyDescent="0.3">
      <c r="A1850" t="s">
        <v>24</v>
      </c>
      <c r="B1850" t="s">
        <v>59</v>
      </c>
      <c r="C1850">
        <v>360.73599649427803</v>
      </c>
      <c r="D1850">
        <v>17.593271847163891</v>
      </c>
      <c r="E1850">
        <v>25.794715496076659</v>
      </c>
      <c r="F1850">
        <v>54.647120308615179</v>
      </c>
      <c r="G1850">
        <v>5.2061628378975016</v>
      </c>
      <c r="H1850">
        <v>76.110448294321003</v>
      </c>
      <c r="I1850">
        <v>31.248377962332871</v>
      </c>
      <c r="J1850">
        <v>30.84945663722949</v>
      </c>
      <c r="K1850">
        <v>11.05377736725268</v>
      </c>
      <c r="L1850">
        <v>-1</v>
      </c>
      <c r="M1850" t="s">
        <v>69</v>
      </c>
    </row>
    <row r="1851" spans="1:13" x14ac:dyDescent="0.3">
      <c r="A1851" t="s">
        <v>19</v>
      </c>
      <c r="B1851" t="s">
        <v>46</v>
      </c>
      <c r="C1851">
        <v>28.060712924168499</v>
      </c>
      <c r="D1851">
        <v>1.0109431846059851</v>
      </c>
      <c r="E1851">
        <v>0.94154761890009109</v>
      </c>
      <c r="F1851">
        <v>3.61686661206488</v>
      </c>
      <c r="G1851">
        <v>6.0145496918937198</v>
      </c>
      <c r="H1851">
        <v>19.627902971194882</v>
      </c>
      <c r="I1851">
        <v>31.489036279663949</v>
      </c>
      <c r="J1851">
        <v>26.741169847899489</v>
      </c>
      <c r="K1851">
        <v>729.83043776624447</v>
      </c>
      <c r="L1851">
        <v>-1</v>
      </c>
      <c r="M1851" t="s">
        <v>69</v>
      </c>
    </row>
    <row r="1852" spans="1:13" x14ac:dyDescent="0.3">
      <c r="A1852" t="s">
        <v>25</v>
      </c>
      <c r="B1852" t="s">
        <v>62</v>
      </c>
      <c r="C1852">
        <v>91.661536532870741</v>
      </c>
      <c r="D1852">
        <v>3.4511457787617652</v>
      </c>
      <c r="E1852">
        <v>5.4821163306901788</v>
      </c>
      <c r="F1852">
        <v>17.69624588407622</v>
      </c>
      <c r="G1852">
        <v>6.8655388395159038</v>
      </c>
      <c r="H1852">
        <v>13.904451696119629</v>
      </c>
      <c r="I1852">
        <v>30.476245333992299</v>
      </c>
      <c r="J1852">
        <v>31.885314622904939</v>
      </c>
      <c r="K1852">
        <v>46.112205390395729</v>
      </c>
      <c r="L1852">
        <v>-1</v>
      </c>
      <c r="M1852" t="s">
        <v>69</v>
      </c>
    </row>
    <row r="1853" spans="1:13" x14ac:dyDescent="0.3">
      <c r="A1853" t="s">
        <v>19</v>
      </c>
      <c r="B1853" t="s">
        <v>47</v>
      </c>
      <c r="C1853">
        <v>32.14093039051005</v>
      </c>
      <c r="D1853">
        <v>0.81646725679085375</v>
      </c>
      <c r="E1853">
        <v>1.8895829734306799</v>
      </c>
      <c r="F1853">
        <v>3.8015642715375311</v>
      </c>
      <c r="G1853">
        <v>5.9491004375428407</v>
      </c>
      <c r="H1853">
        <v>20.415488893608021</v>
      </c>
      <c r="I1853">
        <v>28.69398786533252</v>
      </c>
      <c r="J1853">
        <v>26.120516123666111</v>
      </c>
      <c r="K1853">
        <v>731.0301506325743</v>
      </c>
      <c r="L1853">
        <v>-1</v>
      </c>
      <c r="M1853" t="s">
        <v>69</v>
      </c>
    </row>
    <row r="1854" spans="1:13" x14ac:dyDescent="0.3">
      <c r="A1854" t="s">
        <v>24</v>
      </c>
      <c r="B1854" t="s">
        <v>61</v>
      </c>
      <c r="C1854">
        <v>122.5886786386245</v>
      </c>
      <c r="D1854">
        <v>5.6025419841520767</v>
      </c>
      <c r="E1854">
        <v>7.9087840184017493</v>
      </c>
      <c r="F1854">
        <v>19.555673753882349</v>
      </c>
      <c r="G1854">
        <v>6.4352655387903832</v>
      </c>
      <c r="H1854">
        <v>19.48292860616462</v>
      </c>
      <c r="I1854">
        <v>29.371565974865309</v>
      </c>
      <c r="J1854">
        <v>30.532422963811261</v>
      </c>
      <c r="K1854">
        <v>49.199343933950097</v>
      </c>
      <c r="L1854">
        <v>-1</v>
      </c>
      <c r="M1854" t="s">
        <v>69</v>
      </c>
    </row>
    <row r="1855" spans="1:13" x14ac:dyDescent="0.3">
      <c r="A1855" t="s">
        <v>24</v>
      </c>
      <c r="B1855" t="s">
        <v>61</v>
      </c>
      <c r="C1855">
        <v>323.34421574617022</v>
      </c>
      <c r="D1855">
        <v>18.360413865721931</v>
      </c>
      <c r="E1855">
        <v>22.314337324820588</v>
      </c>
      <c r="F1855">
        <v>50.971532170565332</v>
      </c>
      <c r="G1855">
        <v>4.5041204892992353</v>
      </c>
      <c r="H1855">
        <v>54.308318234562343</v>
      </c>
      <c r="I1855">
        <v>28.828664953468952</v>
      </c>
      <c r="J1855">
        <v>31.75196999079547</v>
      </c>
      <c r="K1855">
        <v>14.0515627255611</v>
      </c>
      <c r="L1855">
        <v>-1</v>
      </c>
      <c r="M1855" t="s">
        <v>69</v>
      </c>
    </row>
    <row r="1856" spans="1:13" x14ac:dyDescent="0.3">
      <c r="A1856" t="s">
        <v>24</v>
      </c>
      <c r="B1856" t="s">
        <v>61</v>
      </c>
      <c r="C1856">
        <v>78.999715344552015</v>
      </c>
      <c r="D1856">
        <v>4.5630082362622364</v>
      </c>
      <c r="E1856">
        <v>5.7459621527896072</v>
      </c>
      <c r="F1856">
        <v>10.261870164182859</v>
      </c>
      <c r="G1856">
        <v>6.140680103659979</v>
      </c>
      <c r="H1856">
        <v>14.554445810817461</v>
      </c>
      <c r="I1856">
        <v>33.889938084607763</v>
      </c>
      <c r="J1856">
        <v>30.027139567714201</v>
      </c>
      <c r="K1856">
        <v>48.748458342608963</v>
      </c>
      <c r="L1856">
        <v>-1</v>
      </c>
      <c r="M1856" t="s">
        <v>69</v>
      </c>
    </row>
    <row r="1857" spans="1:13" x14ac:dyDescent="0.3">
      <c r="A1857" t="s">
        <v>24</v>
      </c>
      <c r="B1857" t="s">
        <v>61</v>
      </c>
      <c r="C1857">
        <v>354.57116875041908</v>
      </c>
      <c r="D1857">
        <v>19.51791148350933</v>
      </c>
      <c r="E1857">
        <v>20.46526458056524</v>
      </c>
      <c r="F1857">
        <v>65.577972474972398</v>
      </c>
      <c r="G1857">
        <v>4.302946209988205</v>
      </c>
      <c r="H1857">
        <v>61.35256740990998</v>
      </c>
      <c r="I1857">
        <v>30.206063556976599</v>
      </c>
      <c r="J1857">
        <v>33.237266301675241</v>
      </c>
      <c r="K1857">
        <v>14.44355732845816</v>
      </c>
      <c r="L1857">
        <v>-1</v>
      </c>
      <c r="M1857" t="s">
        <v>69</v>
      </c>
    </row>
    <row r="1858" spans="1:13" x14ac:dyDescent="0.3">
      <c r="A1858" t="s">
        <v>19</v>
      </c>
      <c r="B1858" t="s">
        <v>46</v>
      </c>
      <c r="C1858">
        <v>27.419994920343729</v>
      </c>
      <c r="D1858">
        <v>0.98597735044253421</v>
      </c>
      <c r="E1858">
        <v>0.96043626157380402</v>
      </c>
      <c r="F1858">
        <v>4.1178022039765541</v>
      </c>
      <c r="G1858">
        <v>6.0505363519259188</v>
      </c>
      <c r="H1858">
        <v>19.52910845354522</v>
      </c>
      <c r="I1858">
        <v>30.402031682558359</v>
      </c>
      <c r="J1858">
        <v>27.10043906299061</v>
      </c>
      <c r="K1858">
        <v>718.42550980230783</v>
      </c>
      <c r="L1858">
        <v>-1</v>
      </c>
      <c r="M1858" t="s">
        <v>69</v>
      </c>
    </row>
    <row r="1859" spans="1:13" x14ac:dyDescent="0.3">
      <c r="A1859" t="s">
        <v>24</v>
      </c>
      <c r="B1859" t="s">
        <v>61</v>
      </c>
      <c r="C1859">
        <v>82.579139633873609</v>
      </c>
      <c r="D1859">
        <v>4.194563884127664</v>
      </c>
      <c r="E1859">
        <v>5.4719488378819552</v>
      </c>
      <c r="F1859">
        <v>14.28025253368509</v>
      </c>
      <c r="G1859">
        <v>6.577692300558299</v>
      </c>
      <c r="H1859">
        <v>13.930403731023279</v>
      </c>
      <c r="I1859">
        <v>32.208487267172337</v>
      </c>
      <c r="J1859">
        <v>31.253485049871291</v>
      </c>
      <c r="K1859">
        <v>48.029019358465348</v>
      </c>
      <c r="L1859">
        <v>-1</v>
      </c>
      <c r="M1859" t="s">
        <v>69</v>
      </c>
    </row>
    <row r="1860" spans="1:13" x14ac:dyDescent="0.3">
      <c r="A1860" t="s">
        <v>24</v>
      </c>
      <c r="B1860" t="s">
        <v>60</v>
      </c>
      <c r="C1860">
        <v>516.06061718742058</v>
      </c>
      <c r="D1860">
        <v>22.85713439716935</v>
      </c>
      <c r="E1860">
        <v>39.002389962572309</v>
      </c>
      <c r="F1860">
        <v>84.627418565700339</v>
      </c>
      <c r="G1860">
        <v>5.3326529512163914</v>
      </c>
      <c r="H1860">
        <v>67.805571171421974</v>
      </c>
      <c r="I1860">
        <v>31.474512503435161</v>
      </c>
      <c r="J1860">
        <v>31.570273060073159</v>
      </c>
      <c r="K1860">
        <v>11</v>
      </c>
      <c r="L1860">
        <v>-1</v>
      </c>
      <c r="M1860" t="s">
        <v>69</v>
      </c>
    </row>
    <row r="1861" spans="1:13" x14ac:dyDescent="0.3">
      <c r="A1861" t="s">
        <v>24</v>
      </c>
      <c r="B1861" t="s">
        <v>61</v>
      </c>
      <c r="C1861">
        <v>121.86949697048141</v>
      </c>
      <c r="D1861">
        <v>6.2212951371170906</v>
      </c>
      <c r="E1861">
        <v>9.0668958552174121</v>
      </c>
      <c r="F1861">
        <v>21.567910165297221</v>
      </c>
      <c r="G1861">
        <v>6.3880274802029353</v>
      </c>
      <c r="H1861">
        <v>21.625996388746639</v>
      </c>
      <c r="I1861">
        <v>30.33836034919484</v>
      </c>
      <c r="J1861">
        <v>30.998286216045219</v>
      </c>
      <c r="K1861">
        <v>48.116005461795787</v>
      </c>
      <c r="L1861">
        <v>-1</v>
      </c>
      <c r="M1861" t="s">
        <v>69</v>
      </c>
    </row>
    <row r="1862" spans="1:13" x14ac:dyDescent="0.3">
      <c r="A1862" t="s">
        <v>19</v>
      </c>
      <c r="B1862" t="s">
        <v>46</v>
      </c>
      <c r="C1862">
        <v>28.105370426438501</v>
      </c>
      <c r="D1862">
        <v>1.083909831184132</v>
      </c>
      <c r="E1862">
        <v>0.95034279451023274</v>
      </c>
      <c r="F1862">
        <v>3.8498728610875692</v>
      </c>
      <c r="G1862">
        <v>5.9002045993780614</v>
      </c>
      <c r="H1862">
        <v>19.084181959952161</v>
      </c>
      <c r="I1862">
        <v>30.346234257814519</v>
      </c>
      <c r="J1862">
        <v>26.286195954213721</v>
      </c>
      <c r="K1862">
        <v>732.58580022274975</v>
      </c>
      <c r="L1862">
        <v>-1</v>
      </c>
      <c r="M1862" t="s">
        <v>69</v>
      </c>
    </row>
    <row r="1863" spans="1:13" x14ac:dyDescent="0.3">
      <c r="A1863" t="s">
        <v>24</v>
      </c>
      <c r="B1863" t="s">
        <v>61</v>
      </c>
      <c r="C1863">
        <v>700.81612656299183</v>
      </c>
      <c r="D1863">
        <v>38.244665181024459</v>
      </c>
      <c r="E1863">
        <v>49.800602231292473</v>
      </c>
      <c r="F1863">
        <v>121.6627417116342</v>
      </c>
      <c r="G1863">
        <v>5.9390475337737287</v>
      </c>
      <c r="H1863">
        <v>69.88749829839989</v>
      </c>
      <c r="I1863">
        <v>29.06520006943655</v>
      </c>
      <c r="J1863">
        <v>30.71524979609439</v>
      </c>
      <c r="K1863">
        <v>11.048361312529551</v>
      </c>
      <c r="L1863">
        <v>-1</v>
      </c>
      <c r="M1863" t="s">
        <v>69</v>
      </c>
    </row>
    <row r="1864" spans="1:13" x14ac:dyDescent="0.3">
      <c r="A1864" t="s">
        <v>25</v>
      </c>
      <c r="B1864" t="s">
        <v>62</v>
      </c>
      <c r="C1864">
        <v>91.708437453988608</v>
      </c>
      <c r="D1864">
        <v>3.4104974586974519</v>
      </c>
      <c r="E1864">
        <v>5.5445004348525959</v>
      </c>
      <c r="F1864">
        <v>17.313444258140251</v>
      </c>
      <c r="G1864">
        <v>6.8813746682577257</v>
      </c>
      <c r="H1864">
        <v>13.9</v>
      </c>
      <c r="I1864">
        <v>30.648881646338509</v>
      </c>
      <c r="J1864">
        <v>31.89825304772765</v>
      </c>
      <c r="K1864">
        <v>46.343544338392348</v>
      </c>
      <c r="L1864">
        <v>-1</v>
      </c>
      <c r="M1864" t="s">
        <v>69</v>
      </c>
    </row>
    <row r="1865" spans="1:13" x14ac:dyDescent="0.3">
      <c r="A1865" t="s">
        <v>24</v>
      </c>
      <c r="B1865" t="s">
        <v>61</v>
      </c>
      <c r="C1865">
        <v>182.8959470937906</v>
      </c>
      <c r="D1865">
        <v>8.2005875314685284</v>
      </c>
      <c r="E1865">
        <v>12.92574717908712</v>
      </c>
      <c r="F1865">
        <v>30.216705915786001</v>
      </c>
      <c r="G1865">
        <v>6.0709008098300137</v>
      </c>
      <c r="H1865">
        <v>23.901803152937969</v>
      </c>
      <c r="I1865">
        <v>29.2974735512325</v>
      </c>
      <c r="J1865">
        <v>31.745328992129402</v>
      </c>
      <c r="K1865">
        <v>14.005050634785681</v>
      </c>
      <c r="L1865">
        <v>-1</v>
      </c>
      <c r="M1865" t="s">
        <v>69</v>
      </c>
    </row>
    <row r="1866" spans="1:13" x14ac:dyDescent="0.3">
      <c r="A1866" t="s">
        <v>24</v>
      </c>
      <c r="B1866" t="s">
        <v>61</v>
      </c>
      <c r="C1866">
        <v>76.095081880387767</v>
      </c>
      <c r="D1866">
        <v>4.3445122215638996</v>
      </c>
      <c r="E1866">
        <v>5.151240262913884</v>
      </c>
      <c r="F1866">
        <v>13.09943615148174</v>
      </c>
      <c r="G1866">
        <v>6.1902683454910674</v>
      </c>
      <c r="H1866">
        <v>14.794178079536209</v>
      </c>
      <c r="I1866">
        <v>34.948770264825939</v>
      </c>
      <c r="J1866">
        <v>31.639735885336709</v>
      </c>
      <c r="K1866">
        <v>49.352144641514542</v>
      </c>
      <c r="L1866">
        <v>-1</v>
      </c>
      <c r="M1866" t="s">
        <v>69</v>
      </c>
    </row>
    <row r="1867" spans="1:13" x14ac:dyDescent="0.3">
      <c r="A1867" t="s">
        <v>19</v>
      </c>
      <c r="B1867" t="s">
        <v>46</v>
      </c>
      <c r="C1867">
        <v>27.58529279207707</v>
      </c>
      <c r="D1867">
        <v>0.99823378878783942</v>
      </c>
      <c r="E1867">
        <v>0.97671614583614996</v>
      </c>
      <c r="F1867">
        <v>3.5138106329350531</v>
      </c>
      <c r="G1867">
        <v>6.0012224305792197</v>
      </c>
      <c r="H1867">
        <v>20.14709248299577</v>
      </c>
      <c r="I1867">
        <v>31.13403749312528</v>
      </c>
      <c r="J1867">
        <v>26.35242982194551</v>
      </c>
      <c r="K1867">
        <v>734.30109601897561</v>
      </c>
      <c r="L1867">
        <v>-1</v>
      </c>
      <c r="M1867" t="s">
        <v>69</v>
      </c>
    </row>
    <row r="1868" spans="1:13" x14ac:dyDescent="0.3">
      <c r="A1868" t="s">
        <v>24</v>
      </c>
      <c r="B1868" t="s">
        <v>61</v>
      </c>
      <c r="C1868">
        <v>175.80314175806319</v>
      </c>
      <c r="D1868">
        <v>8.4998061906987843</v>
      </c>
      <c r="E1868">
        <v>11.814977987838651</v>
      </c>
      <c r="F1868">
        <v>29.925061925853122</v>
      </c>
      <c r="G1868">
        <v>6.3751050985683548</v>
      </c>
      <c r="H1868">
        <v>26.542263852376252</v>
      </c>
      <c r="I1868">
        <v>29.773842035383481</v>
      </c>
      <c r="J1868">
        <v>31.115644150494191</v>
      </c>
      <c r="K1868">
        <v>13.988591570424211</v>
      </c>
      <c r="L1868">
        <v>-1</v>
      </c>
      <c r="M1868" t="s">
        <v>69</v>
      </c>
    </row>
    <row r="1869" spans="1:13" x14ac:dyDescent="0.3">
      <c r="A1869" t="s">
        <v>24</v>
      </c>
      <c r="B1869" t="s">
        <v>61</v>
      </c>
      <c r="C1869">
        <v>81.926181625881526</v>
      </c>
      <c r="D1869">
        <v>4.3470432839501596</v>
      </c>
      <c r="E1869">
        <v>5.029301475951522</v>
      </c>
      <c r="F1869">
        <v>12.18493951179029</v>
      </c>
      <c r="G1869">
        <v>5.9847887831457554</v>
      </c>
      <c r="H1869">
        <v>15.817359402099679</v>
      </c>
      <c r="I1869">
        <v>32.946523688650068</v>
      </c>
      <c r="J1869">
        <v>29.326202173308879</v>
      </c>
      <c r="K1869">
        <v>48.309180995950562</v>
      </c>
      <c r="L1869">
        <v>-1</v>
      </c>
      <c r="M1869" t="s">
        <v>69</v>
      </c>
    </row>
    <row r="1870" spans="1:13" x14ac:dyDescent="0.3">
      <c r="A1870" t="s">
        <v>24</v>
      </c>
      <c r="B1870" t="s">
        <v>61</v>
      </c>
      <c r="C1870">
        <v>80.652292837588419</v>
      </c>
      <c r="D1870">
        <v>4.029432147998933</v>
      </c>
      <c r="E1870">
        <v>5.0372023121056628</v>
      </c>
      <c r="F1870">
        <v>11.88329377593135</v>
      </c>
      <c r="G1870">
        <v>6.1968070569141069</v>
      </c>
      <c r="H1870">
        <v>14.67182184308666</v>
      </c>
      <c r="I1870">
        <v>34.649420295805172</v>
      </c>
      <c r="J1870">
        <v>30.96834891056745</v>
      </c>
      <c r="K1870">
        <v>48.089066810564653</v>
      </c>
      <c r="L1870">
        <v>-1</v>
      </c>
      <c r="M1870" t="s">
        <v>69</v>
      </c>
    </row>
    <row r="1871" spans="1:13" x14ac:dyDescent="0.3">
      <c r="A1871" t="s">
        <v>24</v>
      </c>
      <c r="B1871" t="s">
        <v>61</v>
      </c>
      <c r="C1871">
        <v>123.8134492915754</v>
      </c>
      <c r="D1871">
        <v>5.9570098783462138</v>
      </c>
      <c r="E1871">
        <v>7.0254435939288769</v>
      </c>
      <c r="F1871">
        <v>21.3613114632129</v>
      </c>
      <c r="G1871">
        <v>6.1671067161094371</v>
      </c>
      <c r="H1871">
        <v>20.013723193106198</v>
      </c>
      <c r="I1871">
        <v>30.926337345369479</v>
      </c>
      <c r="J1871">
        <v>30.196282002499139</v>
      </c>
      <c r="K1871">
        <v>48.040449488563347</v>
      </c>
      <c r="L1871">
        <v>-1</v>
      </c>
      <c r="M1871" t="s">
        <v>69</v>
      </c>
    </row>
    <row r="1872" spans="1:13" x14ac:dyDescent="0.3">
      <c r="A1872" t="s">
        <v>24</v>
      </c>
      <c r="B1872" t="s">
        <v>60</v>
      </c>
      <c r="C1872">
        <v>608.10701203554015</v>
      </c>
      <c r="D1872">
        <v>28.158379932401441</v>
      </c>
      <c r="E1872">
        <v>35.584142854478984</v>
      </c>
      <c r="F1872">
        <v>99.881976715223914</v>
      </c>
      <c r="G1872">
        <v>6.0080788540641326</v>
      </c>
      <c r="H1872">
        <v>76.994456674602361</v>
      </c>
      <c r="I1872">
        <v>29.35018495847925</v>
      </c>
      <c r="J1872">
        <v>31.43516565008991</v>
      </c>
      <c r="K1872">
        <v>11.463728752720041</v>
      </c>
      <c r="L1872">
        <v>-1</v>
      </c>
      <c r="M1872" t="s">
        <v>69</v>
      </c>
    </row>
    <row r="1873" spans="1:13" x14ac:dyDescent="0.3">
      <c r="A1873" t="s">
        <v>24</v>
      </c>
      <c r="B1873" t="s">
        <v>59</v>
      </c>
      <c r="C1873">
        <v>342.22479165592102</v>
      </c>
      <c r="D1873">
        <v>16.076612157995431</v>
      </c>
      <c r="E1873">
        <v>24.47057306019898</v>
      </c>
      <c r="F1873">
        <v>54.257506413297357</v>
      </c>
      <c r="G1873">
        <v>5.2245797544281096</v>
      </c>
      <c r="H1873">
        <v>74.86937560027981</v>
      </c>
      <c r="I1873">
        <v>29.434430080051659</v>
      </c>
      <c r="J1873">
        <v>30.786152315817699</v>
      </c>
      <c r="K1873">
        <v>11.40905596052608</v>
      </c>
      <c r="L1873">
        <v>-1</v>
      </c>
      <c r="M1873" t="s">
        <v>69</v>
      </c>
    </row>
    <row r="1874" spans="1:13" x14ac:dyDescent="0.3">
      <c r="A1874" t="s">
        <v>24</v>
      </c>
      <c r="B1874" t="s">
        <v>61</v>
      </c>
      <c r="C1874">
        <v>122.7960740481717</v>
      </c>
      <c r="D1874">
        <v>5.6304928421820346</v>
      </c>
      <c r="E1874">
        <v>8.5021301985634512</v>
      </c>
      <c r="F1874">
        <v>19.020909247065351</v>
      </c>
      <c r="G1874">
        <v>6.3594921852026349</v>
      </c>
      <c r="H1874">
        <v>20.157539448263499</v>
      </c>
      <c r="I1874">
        <v>29.566746183032759</v>
      </c>
      <c r="J1874">
        <v>30.67681208496963</v>
      </c>
      <c r="K1874">
        <v>49.16358749240203</v>
      </c>
      <c r="L1874">
        <v>-1</v>
      </c>
      <c r="M1874" t="s">
        <v>69</v>
      </c>
    </row>
    <row r="1875" spans="1:13" x14ac:dyDescent="0.3">
      <c r="A1875" t="s">
        <v>24</v>
      </c>
      <c r="B1875" t="s">
        <v>61</v>
      </c>
      <c r="C1875">
        <v>80.291918403210531</v>
      </c>
      <c r="D1875">
        <v>4.0278134422584708</v>
      </c>
      <c r="E1875">
        <v>4.9890311798219722</v>
      </c>
      <c r="F1875">
        <v>12.04310293410499</v>
      </c>
      <c r="G1875">
        <v>6.1897589110712072</v>
      </c>
      <c r="H1875">
        <v>14.71241346376393</v>
      </c>
      <c r="I1875">
        <v>34.629389777556668</v>
      </c>
      <c r="J1875">
        <v>31.044092556258231</v>
      </c>
      <c r="K1875">
        <v>47.799157650003281</v>
      </c>
      <c r="L1875">
        <v>-1</v>
      </c>
      <c r="M1875" t="s">
        <v>69</v>
      </c>
    </row>
    <row r="1876" spans="1:13" x14ac:dyDescent="0.3">
      <c r="A1876" t="s">
        <v>24</v>
      </c>
      <c r="B1876" t="s">
        <v>61</v>
      </c>
      <c r="C1876">
        <v>739.51767123659522</v>
      </c>
      <c r="D1876">
        <v>34.871786545175148</v>
      </c>
      <c r="E1876">
        <v>44.571772946474368</v>
      </c>
      <c r="F1876">
        <v>118.0122386782535</v>
      </c>
      <c r="G1876">
        <v>5.9130606502977257</v>
      </c>
      <c r="H1876">
        <v>72.712098117884324</v>
      </c>
      <c r="I1876">
        <v>30.793568079882299</v>
      </c>
      <c r="J1876">
        <v>30.15169807629734</v>
      </c>
      <c r="K1876">
        <v>11.14171755214011</v>
      </c>
      <c r="L1876">
        <v>-1</v>
      </c>
      <c r="M1876" t="s">
        <v>69</v>
      </c>
    </row>
    <row r="1877" spans="1:13" x14ac:dyDescent="0.3">
      <c r="A1877" t="s">
        <v>24</v>
      </c>
      <c r="B1877" t="s">
        <v>59</v>
      </c>
      <c r="C1877">
        <v>350.92733409742658</v>
      </c>
      <c r="D1877">
        <v>17.08982222355348</v>
      </c>
      <c r="E1877">
        <v>24.60898408809199</v>
      </c>
      <c r="F1877">
        <v>56.238694143898996</v>
      </c>
      <c r="G1877">
        <v>5.207358473415729</v>
      </c>
      <c r="H1877">
        <v>75.376167469914748</v>
      </c>
      <c r="I1877">
        <v>30.73597891565883</v>
      </c>
      <c r="J1877">
        <v>30.866040980123241</v>
      </c>
      <c r="K1877">
        <v>11</v>
      </c>
      <c r="L1877">
        <v>-1</v>
      </c>
      <c r="M1877" t="s">
        <v>69</v>
      </c>
    </row>
    <row r="1878" spans="1:13" x14ac:dyDescent="0.3">
      <c r="A1878" t="s">
        <v>24</v>
      </c>
      <c r="B1878" t="s">
        <v>60</v>
      </c>
      <c r="C1878">
        <v>571.51614981203977</v>
      </c>
      <c r="D1878">
        <v>31.837177812787822</v>
      </c>
      <c r="E1878">
        <v>42.51120581159185</v>
      </c>
      <c r="F1878">
        <v>89.580589803950801</v>
      </c>
      <c r="G1878">
        <v>6.1679224247523976</v>
      </c>
      <c r="H1878">
        <v>80.370853155270993</v>
      </c>
      <c r="I1878">
        <v>31.414885973973082</v>
      </c>
      <c r="J1878">
        <v>30.871571234595571</v>
      </c>
      <c r="K1878">
        <v>11</v>
      </c>
      <c r="L1878">
        <v>-1</v>
      </c>
      <c r="M1878" t="s">
        <v>69</v>
      </c>
    </row>
    <row r="1879" spans="1:13" x14ac:dyDescent="0.3">
      <c r="A1879" t="s">
        <v>24</v>
      </c>
      <c r="B1879" t="s">
        <v>61</v>
      </c>
      <c r="C1879">
        <v>666.05493195630288</v>
      </c>
      <c r="D1879">
        <v>30.29101405273175</v>
      </c>
      <c r="E1879">
        <v>50.222979794351133</v>
      </c>
      <c r="F1879">
        <v>117.7081235545223</v>
      </c>
      <c r="G1879">
        <v>6.138690486778267</v>
      </c>
      <c r="H1879">
        <v>71.975388592244443</v>
      </c>
      <c r="I1879">
        <v>29.502435146468859</v>
      </c>
      <c r="J1879">
        <v>30.12665333053873</v>
      </c>
      <c r="K1879">
        <v>11.09357170840917</v>
      </c>
      <c r="L1879">
        <v>-1</v>
      </c>
      <c r="M1879" t="s">
        <v>69</v>
      </c>
    </row>
    <row r="1880" spans="1:13" x14ac:dyDescent="0.3">
      <c r="A1880" t="s">
        <v>24</v>
      </c>
      <c r="B1880" t="s">
        <v>60</v>
      </c>
      <c r="C1880">
        <v>580.37542467563628</v>
      </c>
      <c r="D1880">
        <v>30.6430658478968</v>
      </c>
      <c r="E1880">
        <v>39.411466331143998</v>
      </c>
      <c r="F1880">
        <v>99.254689120643889</v>
      </c>
      <c r="G1880">
        <v>6.0200911787453677</v>
      </c>
      <c r="H1880">
        <v>82.48430935865116</v>
      </c>
      <c r="I1880">
        <v>31.326434892237842</v>
      </c>
      <c r="J1880">
        <v>30.48646676869685</v>
      </c>
      <c r="K1880">
        <v>11</v>
      </c>
      <c r="L1880">
        <v>-1</v>
      </c>
      <c r="M1880" t="s">
        <v>69</v>
      </c>
    </row>
    <row r="1881" spans="1:13" x14ac:dyDescent="0.3">
      <c r="A1881" t="s">
        <v>24</v>
      </c>
      <c r="B1881" t="s">
        <v>61</v>
      </c>
      <c r="C1881">
        <v>82.701931659456491</v>
      </c>
      <c r="D1881">
        <v>4.2154928883453424</v>
      </c>
      <c r="E1881">
        <v>5.5055608961336286</v>
      </c>
      <c r="F1881">
        <v>14.325022644207319</v>
      </c>
      <c r="G1881">
        <v>6.5852540200477439</v>
      </c>
      <c r="H1881">
        <v>13.9</v>
      </c>
      <c r="I1881">
        <v>32.186759887738873</v>
      </c>
      <c r="J1881">
        <v>31.243272274343461</v>
      </c>
      <c r="K1881">
        <v>48.107458592941377</v>
      </c>
      <c r="L1881">
        <v>-1</v>
      </c>
      <c r="M1881" t="s">
        <v>69</v>
      </c>
    </row>
    <row r="1882" spans="1:13" x14ac:dyDescent="0.3">
      <c r="A1882" t="s">
        <v>24</v>
      </c>
      <c r="B1882" t="s">
        <v>61</v>
      </c>
      <c r="C1882">
        <v>181.36642535268109</v>
      </c>
      <c r="D1882">
        <v>8.777418342563891</v>
      </c>
      <c r="E1882">
        <v>11.982004601259829</v>
      </c>
      <c r="F1882">
        <v>29.307556111727621</v>
      </c>
      <c r="G1882">
        <v>6.2428854712388802</v>
      </c>
      <c r="H1882">
        <v>26.012924474367761</v>
      </c>
      <c r="I1882">
        <v>29.65970287482347</v>
      </c>
      <c r="J1882">
        <v>31.238734027002799</v>
      </c>
      <c r="K1882">
        <v>14.01519685377616</v>
      </c>
      <c r="L1882">
        <v>-1</v>
      </c>
      <c r="M1882" t="s">
        <v>69</v>
      </c>
    </row>
    <row r="1883" spans="1:13" x14ac:dyDescent="0.3">
      <c r="A1883" t="s">
        <v>24</v>
      </c>
      <c r="B1883" t="s">
        <v>61</v>
      </c>
      <c r="C1883">
        <v>698.75768293847693</v>
      </c>
      <c r="D1883">
        <v>32.560226253914337</v>
      </c>
      <c r="E1883">
        <v>48.508688059996032</v>
      </c>
      <c r="F1883">
        <v>90.225545637355026</v>
      </c>
      <c r="G1883">
        <v>5.9991962972295569</v>
      </c>
      <c r="H1883">
        <v>65.693420391053849</v>
      </c>
      <c r="I1883">
        <v>30.821206918094909</v>
      </c>
      <c r="J1883">
        <v>30.945267645920129</v>
      </c>
      <c r="K1883">
        <v>11.04897466279226</v>
      </c>
      <c r="L1883">
        <v>-1</v>
      </c>
      <c r="M1883" t="s">
        <v>69</v>
      </c>
    </row>
    <row r="1884" spans="1:13" x14ac:dyDescent="0.3">
      <c r="A1884" t="s">
        <v>19</v>
      </c>
      <c r="B1884" t="s">
        <v>47</v>
      </c>
      <c r="C1884">
        <v>30.981471907981589</v>
      </c>
      <c r="D1884">
        <v>1</v>
      </c>
      <c r="E1884">
        <v>1.9953679769953969</v>
      </c>
      <c r="F1884">
        <v>4</v>
      </c>
      <c r="G1884">
        <v>5.9004632023004611</v>
      </c>
      <c r="H1884">
        <v>21.29212556089217</v>
      </c>
      <c r="I1884">
        <v>30.00324241610322</v>
      </c>
      <c r="J1884">
        <v>26</v>
      </c>
      <c r="K1884">
        <v>726.99999999999989</v>
      </c>
      <c r="L1884">
        <v>-1</v>
      </c>
      <c r="M1884" t="s">
        <v>69</v>
      </c>
    </row>
    <row r="1885" spans="1:13" x14ac:dyDescent="0.3">
      <c r="A1885" t="s">
        <v>24</v>
      </c>
      <c r="B1885" t="s">
        <v>59</v>
      </c>
      <c r="C1885">
        <v>346.96299350354371</v>
      </c>
      <c r="D1885">
        <v>17.038392588633741</v>
      </c>
      <c r="E1885">
        <v>25.830255508400459</v>
      </c>
      <c r="F1885">
        <v>54.980418134825342</v>
      </c>
      <c r="G1885">
        <v>5.1785946696734779</v>
      </c>
      <c r="H1885">
        <v>80.565229125137265</v>
      </c>
      <c r="I1885">
        <v>30.714894413819941</v>
      </c>
      <c r="J1885">
        <v>29.752814122272689</v>
      </c>
      <c r="K1885">
        <v>11.08915805119773</v>
      </c>
      <c r="L1885">
        <v>-1</v>
      </c>
      <c r="M1885" t="s">
        <v>69</v>
      </c>
    </row>
    <row r="1886" spans="1:13" x14ac:dyDescent="0.3">
      <c r="A1886" t="s">
        <v>25</v>
      </c>
      <c r="B1886" t="s">
        <v>62</v>
      </c>
      <c r="C1886">
        <v>86.347025103619814</v>
      </c>
      <c r="D1886">
        <v>4.0907734232492166</v>
      </c>
      <c r="E1886">
        <v>5.7917243098329108</v>
      </c>
      <c r="F1886">
        <v>14.13691133046084</v>
      </c>
      <c r="G1886">
        <v>6.6516648299425079</v>
      </c>
      <c r="H1886">
        <v>13.9</v>
      </c>
      <c r="I1886">
        <v>31.673535438817591</v>
      </c>
      <c r="J1886">
        <v>31.102475108544599</v>
      </c>
      <c r="K1886">
        <v>48.045265458241829</v>
      </c>
      <c r="L1886">
        <v>-1</v>
      </c>
      <c r="M1886" t="s">
        <v>69</v>
      </c>
    </row>
    <row r="1887" spans="1:13" x14ac:dyDescent="0.3">
      <c r="A1887" t="s">
        <v>24</v>
      </c>
      <c r="B1887" t="s">
        <v>61</v>
      </c>
      <c r="C1887">
        <v>330.07209060380688</v>
      </c>
      <c r="D1887">
        <v>17.53842180138642</v>
      </c>
      <c r="E1887">
        <v>22.6863308211258</v>
      </c>
      <c r="F1887">
        <v>55.661559399932983</v>
      </c>
      <c r="G1887">
        <v>5.2975541929623073</v>
      </c>
      <c r="H1887">
        <v>72.83395179900738</v>
      </c>
      <c r="I1887">
        <v>31.101895925195269</v>
      </c>
      <c r="J1887">
        <v>31.922298251810879</v>
      </c>
      <c r="K1887">
        <v>11</v>
      </c>
      <c r="L1887">
        <v>-1</v>
      </c>
      <c r="M1887" t="s">
        <v>69</v>
      </c>
    </row>
    <row r="1888" spans="1:13" x14ac:dyDescent="0.3">
      <c r="A1888" t="s">
        <v>25</v>
      </c>
      <c r="B1888" t="s">
        <v>62</v>
      </c>
      <c r="C1888">
        <v>92.190197491080895</v>
      </c>
      <c r="D1888">
        <v>3.7973115447771342</v>
      </c>
      <c r="E1888">
        <v>6.0406608966037618</v>
      </c>
      <c r="F1888">
        <v>14.326371018964011</v>
      </c>
      <c r="G1888">
        <v>6.9430845026552968</v>
      </c>
      <c r="H1888">
        <v>14.23831599735241</v>
      </c>
      <c r="I1888">
        <v>32.714128484312738</v>
      </c>
      <c r="J1888">
        <v>31.064187538121079</v>
      </c>
      <c r="K1888">
        <v>49.000141276141449</v>
      </c>
      <c r="L1888">
        <v>-1</v>
      </c>
      <c r="M1888" t="s">
        <v>69</v>
      </c>
    </row>
    <row r="1889" spans="1:13" x14ac:dyDescent="0.3">
      <c r="A1889" t="s">
        <v>24</v>
      </c>
      <c r="B1889" t="s">
        <v>61</v>
      </c>
      <c r="C1889">
        <v>319.91413330289151</v>
      </c>
      <c r="D1889">
        <v>18.33810714080813</v>
      </c>
      <c r="E1889">
        <v>23.035889287924729</v>
      </c>
      <c r="F1889">
        <v>49.842378551347331</v>
      </c>
      <c r="G1889">
        <v>4.4598797038369833</v>
      </c>
      <c r="H1889">
        <v>53.691383607808064</v>
      </c>
      <c r="I1889">
        <v>29.53788962321898</v>
      </c>
      <c r="J1889">
        <v>31.281288635791899</v>
      </c>
      <c r="K1889">
        <v>13.928027112754529</v>
      </c>
      <c r="L1889">
        <v>-1</v>
      </c>
      <c r="M1889" t="s">
        <v>69</v>
      </c>
    </row>
    <row r="1890" spans="1:13" x14ac:dyDescent="0.3">
      <c r="A1890" t="s">
        <v>24</v>
      </c>
      <c r="B1890" t="s">
        <v>61</v>
      </c>
      <c r="C1890">
        <v>334.31972403663087</v>
      </c>
      <c r="D1890">
        <v>16.700142865109829</v>
      </c>
      <c r="E1890">
        <v>21.700872130371572</v>
      </c>
      <c r="F1890">
        <v>55.978380347220309</v>
      </c>
      <c r="G1890">
        <v>4.3</v>
      </c>
      <c r="H1890">
        <v>60.042966000584642</v>
      </c>
      <c r="I1890">
        <v>29.646836969653059</v>
      </c>
      <c r="J1890">
        <v>28.973345167583972</v>
      </c>
      <c r="K1890">
        <v>14.116764059494701</v>
      </c>
      <c r="L1890">
        <v>-1</v>
      </c>
      <c r="M1890" t="s">
        <v>69</v>
      </c>
    </row>
    <row r="1891" spans="1:13" x14ac:dyDescent="0.3">
      <c r="A1891" t="s">
        <v>24</v>
      </c>
      <c r="B1891" t="s">
        <v>61</v>
      </c>
      <c r="C1891">
        <v>343.26102477507573</v>
      </c>
      <c r="D1891">
        <v>17.33599282063992</v>
      </c>
      <c r="E1891">
        <v>21.236876407474941</v>
      </c>
      <c r="F1891">
        <v>52.713043202691473</v>
      </c>
      <c r="G1891">
        <v>4.4373435816375446</v>
      </c>
      <c r="H1891">
        <v>55.424053574048543</v>
      </c>
      <c r="I1891">
        <v>30.457757341401251</v>
      </c>
      <c r="J1891">
        <v>30.991864714777051</v>
      </c>
      <c r="K1891">
        <v>14.362763681637031</v>
      </c>
      <c r="L1891">
        <v>-1</v>
      </c>
      <c r="M1891" t="s">
        <v>69</v>
      </c>
    </row>
    <row r="1892" spans="1:13" x14ac:dyDescent="0.3">
      <c r="A1892" t="s">
        <v>25</v>
      </c>
      <c r="B1892" t="s">
        <v>62</v>
      </c>
      <c r="C1892">
        <v>93.517163194342373</v>
      </c>
      <c r="D1892">
        <v>3.963956290441192</v>
      </c>
      <c r="E1892">
        <v>6.3311649725209662</v>
      </c>
      <c r="F1892">
        <v>13.083263944612529</v>
      </c>
      <c r="G1892">
        <v>6.9173878516628173</v>
      </c>
      <c r="H1892">
        <v>14.26823291282394</v>
      </c>
      <c r="I1892">
        <v>33.204562731738122</v>
      </c>
      <c r="J1892">
        <v>30.493693311074129</v>
      </c>
      <c r="K1892">
        <v>47.675270314012778</v>
      </c>
      <c r="L1892">
        <v>-1</v>
      </c>
      <c r="M1892" t="s">
        <v>69</v>
      </c>
    </row>
    <row r="1893" spans="1:13" x14ac:dyDescent="0.3">
      <c r="A1893" t="s">
        <v>25</v>
      </c>
      <c r="B1893" t="s">
        <v>62</v>
      </c>
      <c r="C1893">
        <v>89.66943817389982</v>
      </c>
      <c r="D1893">
        <v>4.1262470687895467</v>
      </c>
      <c r="E1893">
        <v>5.7996454676651323</v>
      </c>
      <c r="F1893">
        <v>13.620316239570981</v>
      </c>
      <c r="G1893">
        <v>6.7107608917304482</v>
      </c>
      <c r="H1893">
        <v>13.9</v>
      </c>
      <c r="I1893">
        <v>31.468564007246151</v>
      </c>
      <c r="J1893">
        <v>30.92972640448156</v>
      </c>
      <c r="K1893">
        <v>47.958746109789438</v>
      </c>
      <c r="L1893">
        <v>-1</v>
      </c>
      <c r="M1893" t="s">
        <v>69</v>
      </c>
    </row>
    <row r="1894" spans="1:13" x14ac:dyDescent="0.3">
      <c r="A1894" t="s">
        <v>24</v>
      </c>
      <c r="B1894" t="s">
        <v>61</v>
      </c>
      <c r="C1894">
        <v>83.346024414642073</v>
      </c>
      <c r="D1894">
        <v>4.0848542471666551</v>
      </c>
      <c r="E1894">
        <v>5.5417659663743892</v>
      </c>
      <c r="F1894">
        <v>12.23753710258733</v>
      </c>
      <c r="G1894">
        <v>6.2003427347387969</v>
      </c>
      <c r="H1894">
        <v>14.62100543153651</v>
      </c>
      <c r="I1894">
        <v>34.294833017924127</v>
      </c>
      <c r="J1894">
        <v>29.648882954462081</v>
      </c>
      <c r="K1894">
        <v>47.757379389914149</v>
      </c>
      <c r="L1894">
        <v>-1</v>
      </c>
      <c r="M1894" t="s">
        <v>69</v>
      </c>
    </row>
    <row r="1895" spans="1:13" x14ac:dyDescent="0.3">
      <c r="A1895" t="s">
        <v>19</v>
      </c>
      <c r="B1895" t="s">
        <v>47</v>
      </c>
      <c r="C1895">
        <v>29.0694322998588</v>
      </c>
      <c r="D1895">
        <v>0.97352280211965025</v>
      </c>
      <c r="E1895">
        <v>1.736402395376766</v>
      </c>
      <c r="F1895">
        <v>4.0289921753730358</v>
      </c>
      <c r="G1895">
        <v>6.0683717321742456</v>
      </c>
      <c r="H1895">
        <v>22.8300928439708</v>
      </c>
      <c r="I1895">
        <v>29.361518175720899</v>
      </c>
      <c r="J1895">
        <v>25.74431547885824</v>
      </c>
      <c r="K1895">
        <v>737.04138165932125</v>
      </c>
      <c r="L1895">
        <v>-1</v>
      </c>
      <c r="M1895" t="s">
        <v>69</v>
      </c>
    </row>
    <row r="1896" spans="1:13" x14ac:dyDescent="0.3">
      <c r="A1896" t="s">
        <v>24</v>
      </c>
      <c r="B1896" t="s">
        <v>58</v>
      </c>
      <c r="C1896">
        <v>29.029832761349041</v>
      </c>
      <c r="D1896">
        <v>1.015996245347019</v>
      </c>
      <c r="E1896">
        <v>1.099966895766477</v>
      </c>
      <c r="F1896">
        <v>3.8900102719529368</v>
      </c>
      <c r="G1896">
        <v>5.9088554808341947</v>
      </c>
      <c r="H1896">
        <v>19.24456990348056</v>
      </c>
      <c r="I1896">
        <v>30.045862999329781</v>
      </c>
      <c r="J1896">
        <v>24.95868019291683</v>
      </c>
      <c r="K1896">
        <v>742.95970958087844</v>
      </c>
      <c r="L1896">
        <v>-1</v>
      </c>
      <c r="M1896" t="s">
        <v>69</v>
      </c>
    </row>
    <row r="1897" spans="1:13" x14ac:dyDescent="0.3">
      <c r="A1897" t="s">
        <v>25</v>
      </c>
      <c r="B1897" t="s">
        <v>62</v>
      </c>
      <c r="C1897">
        <v>87.334883796454278</v>
      </c>
      <c r="D1897">
        <v>4.0865600342388966</v>
      </c>
      <c r="E1897">
        <v>5.5656811475059369</v>
      </c>
      <c r="F1897">
        <v>14.02275101535936</v>
      </c>
      <c r="G1897">
        <v>6.7159365260899602</v>
      </c>
      <c r="H1897">
        <v>14.03412654727685</v>
      </c>
      <c r="I1897">
        <v>31.99054677709379</v>
      </c>
      <c r="J1897">
        <v>30.757011136794102</v>
      </c>
      <c r="K1897">
        <v>47.767860858961278</v>
      </c>
      <c r="L1897">
        <v>-1</v>
      </c>
      <c r="M1897" t="s">
        <v>69</v>
      </c>
    </row>
    <row r="1898" spans="1:13" x14ac:dyDescent="0.3">
      <c r="A1898" t="s">
        <v>24</v>
      </c>
      <c r="B1898" t="s">
        <v>61</v>
      </c>
      <c r="C1898">
        <v>322.39078563978478</v>
      </c>
      <c r="D1898">
        <v>17.09915075686467</v>
      </c>
      <c r="E1898">
        <v>24.313201274832821</v>
      </c>
      <c r="F1898">
        <v>55.982901421204481</v>
      </c>
      <c r="G1898">
        <v>4.5369794826171947</v>
      </c>
      <c r="H1898">
        <v>58.169627807230682</v>
      </c>
      <c r="I1898">
        <v>30.783072009151571</v>
      </c>
      <c r="J1898">
        <v>30.625492011414671</v>
      </c>
      <c r="K1898">
        <v>13.934830879239829</v>
      </c>
      <c r="L1898">
        <v>-1</v>
      </c>
      <c r="M1898" t="s">
        <v>69</v>
      </c>
    </row>
    <row r="1899" spans="1:13" x14ac:dyDescent="0.3">
      <c r="A1899" t="s">
        <v>25</v>
      </c>
      <c r="B1899" t="s">
        <v>62</v>
      </c>
      <c r="C1899">
        <v>100.0575042591082</v>
      </c>
      <c r="D1899">
        <v>3.71221817225865</v>
      </c>
      <c r="E1899">
        <v>5.093126220304903</v>
      </c>
      <c r="F1899">
        <v>14.651147340930111</v>
      </c>
      <c r="G1899">
        <v>6.8157335714070593</v>
      </c>
      <c r="H1899">
        <v>14.974020590761221</v>
      </c>
      <c r="I1899">
        <v>33.877370581022213</v>
      </c>
      <c r="J1899">
        <v>30.199815415832301</v>
      </c>
      <c r="K1899">
        <v>46.763452013144622</v>
      </c>
      <c r="L1899">
        <v>-1</v>
      </c>
      <c r="M1899" t="s">
        <v>69</v>
      </c>
    </row>
    <row r="1900" spans="1:13" x14ac:dyDescent="0.3">
      <c r="A1900" t="s">
        <v>25</v>
      </c>
      <c r="B1900" t="s">
        <v>62</v>
      </c>
      <c r="C1900">
        <v>91.876505352133364</v>
      </c>
      <c r="D1900">
        <v>3.963879555656705</v>
      </c>
      <c r="E1900">
        <v>5.6430116599131477</v>
      </c>
      <c r="F1900">
        <v>11.91487890112279</v>
      </c>
      <c r="G1900">
        <v>6.7670688396680516</v>
      </c>
      <c r="H1900">
        <v>14.37869489156078</v>
      </c>
      <c r="I1900">
        <v>31.71523388008379</v>
      </c>
      <c r="J1900">
        <v>29.56061464641849</v>
      </c>
      <c r="K1900">
        <v>47.275902627837013</v>
      </c>
      <c r="L1900">
        <v>-1</v>
      </c>
      <c r="M1900" t="s">
        <v>69</v>
      </c>
    </row>
    <row r="1901" spans="1:13" x14ac:dyDescent="0.3">
      <c r="A1901" t="s">
        <v>24</v>
      </c>
      <c r="B1901" t="s">
        <v>60</v>
      </c>
      <c r="C1901">
        <v>599.36782855230069</v>
      </c>
      <c r="D1901">
        <v>29.134944517905279</v>
      </c>
      <c r="E1901">
        <v>36.150957251838719</v>
      </c>
      <c r="F1901">
        <v>103.4270337118158</v>
      </c>
      <c r="G1901">
        <v>6.0215818665192122</v>
      </c>
      <c r="H1901">
        <v>79.669844093884024</v>
      </c>
      <c r="I1901">
        <v>30.19784981905827</v>
      </c>
      <c r="J1901">
        <v>31.015388029966221</v>
      </c>
      <c r="K1901">
        <v>11.294973244650009</v>
      </c>
      <c r="L1901">
        <v>-1</v>
      </c>
      <c r="M1901" t="s">
        <v>69</v>
      </c>
    </row>
    <row r="1902" spans="1:13" x14ac:dyDescent="0.3">
      <c r="A1902" t="s">
        <v>19</v>
      </c>
      <c r="B1902" t="s">
        <v>46</v>
      </c>
      <c r="C1902">
        <v>28.493095450043409</v>
      </c>
      <c r="D1902">
        <v>0.96024395035282595</v>
      </c>
      <c r="E1902">
        <v>1.2201556002590661</v>
      </c>
      <c r="F1902">
        <v>3.7300114933832522</v>
      </c>
      <c r="G1902">
        <v>6.0009220709955322</v>
      </c>
      <c r="H1902">
        <v>20.015558963285269</v>
      </c>
      <c r="I1902">
        <v>29.177430539658239</v>
      </c>
      <c r="J1902">
        <v>26.12836285011333</v>
      </c>
      <c r="K1902">
        <v>727.2807570874113</v>
      </c>
      <c r="L1902">
        <v>-1</v>
      </c>
      <c r="M1902" t="s">
        <v>69</v>
      </c>
    </row>
    <row r="1903" spans="1:13" x14ac:dyDescent="0.3">
      <c r="A1903" t="s">
        <v>24</v>
      </c>
      <c r="B1903" t="s">
        <v>61</v>
      </c>
      <c r="C1903">
        <v>163.6367105315002</v>
      </c>
      <c r="D1903">
        <v>9.9776985402792491</v>
      </c>
      <c r="E1903">
        <v>10.220897504890999</v>
      </c>
      <c r="F1903">
        <v>30.494079834426</v>
      </c>
      <c r="G1903">
        <v>5.9349450685898457</v>
      </c>
      <c r="H1903">
        <v>27.479717062754389</v>
      </c>
      <c r="I1903">
        <v>30.164457481102641</v>
      </c>
      <c r="J1903">
        <v>31.545713837130759</v>
      </c>
      <c r="K1903">
        <v>14.360988583522159</v>
      </c>
      <c r="L1903">
        <v>-1</v>
      </c>
      <c r="M1903" t="s">
        <v>69</v>
      </c>
    </row>
    <row r="1904" spans="1:13" x14ac:dyDescent="0.3">
      <c r="A1904" t="s">
        <v>25</v>
      </c>
      <c r="B1904" t="s">
        <v>62</v>
      </c>
      <c r="C1904">
        <v>97.528801609859059</v>
      </c>
      <c r="D1904">
        <v>4.5637617789959757</v>
      </c>
      <c r="E1904">
        <v>7.0220544901235904</v>
      </c>
      <c r="F1904">
        <v>14.102824933259489</v>
      </c>
      <c r="G1904">
        <v>6.7493076765495479</v>
      </c>
      <c r="H1904">
        <v>14.23143610567401</v>
      </c>
      <c r="I1904">
        <v>33.750804954356838</v>
      </c>
      <c r="J1904">
        <v>31.198282709977111</v>
      </c>
      <c r="K1904">
        <v>47.87738430670629</v>
      </c>
      <c r="L1904">
        <v>-1</v>
      </c>
      <c r="M1904" t="s">
        <v>69</v>
      </c>
    </row>
    <row r="1905" spans="1:13" x14ac:dyDescent="0.3">
      <c r="A1905" t="s">
        <v>24</v>
      </c>
      <c r="B1905" t="s">
        <v>61</v>
      </c>
      <c r="C1905">
        <v>183.07007070716821</v>
      </c>
      <c r="D1905">
        <v>8.8817784406741289</v>
      </c>
      <c r="E1905">
        <v>11.99044196128172</v>
      </c>
      <c r="F1905">
        <v>29.163354714523489</v>
      </c>
      <c r="G1905">
        <v>6.2227781001394531</v>
      </c>
      <c r="H1905">
        <v>25.819319847852181</v>
      </c>
      <c r="I1905">
        <v>29.631710460956981</v>
      </c>
      <c r="J1905">
        <v>31.12680069535612</v>
      </c>
      <c r="K1905">
        <v>14.00807162535739</v>
      </c>
      <c r="L1905">
        <v>-1</v>
      </c>
      <c r="M1905" t="s">
        <v>69</v>
      </c>
    </row>
    <row r="1906" spans="1:13" x14ac:dyDescent="0.3">
      <c r="A1906" t="s">
        <v>24</v>
      </c>
      <c r="B1906" t="s">
        <v>60</v>
      </c>
      <c r="C1906">
        <v>488.56102932347841</v>
      </c>
      <c r="D1906">
        <v>24.450914429519958</v>
      </c>
      <c r="E1906">
        <v>39.328582512727479</v>
      </c>
      <c r="F1906">
        <v>77.427011733295586</v>
      </c>
      <c r="G1906">
        <v>5.4305669877900957</v>
      </c>
      <c r="H1906">
        <v>66.707873857266947</v>
      </c>
      <c r="I1906">
        <v>30.867478360848459</v>
      </c>
      <c r="J1906">
        <v>30.24491077817267</v>
      </c>
      <c r="K1906">
        <v>11</v>
      </c>
      <c r="L1906">
        <v>-1</v>
      </c>
      <c r="M1906" t="s">
        <v>69</v>
      </c>
    </row>
    <row r="1907" spans="1:13" x14ac:dyDescent="0.3">
      <c r="A1907" t="s">
        <v>25</v>
      </c>
      <c r="B1907" t="s">
        <v>62</v>
      </c>
      <c r="C1907">
        <v>99.466128212970247</v>
      </c>
      <c r="D1907">
        <v>3.6549779797237698</v>
      </c>
      <c r="E1907">
        <v>5.1051635397050052</v>
      </c>
      <c r="F1907">
        <v>14.6548883863006</v>
      </c>
      <c r="G1907">
        <v>6.8406797826294978</v>
      </c>
      <c r="H1907">
        <v>15.007643036665799</v>
      </c>
      <c r="I1907">
        <v>33.805427891524488</v>
      </c>
      <c r="J1907">
        <v>30.225759522360558</v>
      </c>
      <c r="K1907">
        <v>46.984616880771682</v>
      </c>
      <c r="L1907">
        <v>-1</v>
      </c>
      <c r="M1907" t="s">
        <v>69</v>
      </c>
    </row>
    <row r="1908" spans="1:13" x14ac:dyDescent="0.3">
      <c r="A1908" t="s">
        <v>24</v>
      </c>
      <c r="B1908" t="s">
        <v>61</v>
      </c>
      <c r="C1908">
        <v>126.78937474238511</v>
      </c>
      <c r="D1908">
        <v>6.5448743303215871</v>
      </c>
      <c r="E1908">
        <v>8.5751313443233244</v>
      </c>
      <c r="F1908">
        <v>18.520285295036889</v>
      </c>
      <c r="G1908">
        <v>6.3994092076214626</v>
      </c>
      <c r="H1908">
        <v>20.672972146293422</v>
      </c>
      <c r="I1908">
        <v>30.753273458217691</v>
      </c>
      <c r="J1908">
        <v>30.994968894739781</v>
      </c>
      <c r="K1908">
        <v>48.312006004934801</v>
      </c>
      <c r="L1908">
        <v>-1</v>
      </c>
      <c r="M1908" t="s">
        <v>69</v>
      </c>
    </row>
    <row r="1909" spans="1:13" x14ac:dyDescent="0.3">
      <c r="A1909" t="s">
        <v>24</v>
      </c>
      <c r="B1909" t="s">
        <v>59</v>
      </c>
      <c r="C1909">
        <v>335.49193319810769</v>
      </c>
      <c r="D1909">
        <v>18.620927927636171</v>
      </c>
      <c r="E1909">
        <v>23.987932368029501</v>
      </c>
      <c r="F1909">
        <v>53.870092915930982</v>
      </c>
      <c r="G1909">
        <v>5.3338928753820207</v>
      </c>
      <c r="H1909">
        <v>72.043791269010796</v>
      </c>
      <c r="I1909">
        <v>30.595108491498639</v>
      </c>
      <c r="J1909">
        <v>31.372833717240852</v>
      </c>
      <c r="K1909">
        <v>11.007660671448781</v>
      </c>
      <c r="L1909">
        <v>-1</v>
      </c>
      <c r="M1909" t="s">
        <v>69</v>
      </c>
    </row>
    <row r="1910" spans="1:13" x14ac:dyDescent="0.3">
      <c r="A1910" t="s">
        <v>25</v>
      </c>
      <c r="B1910" t="s">
        <v>62</v>
      </c>
      <c r="C1910">
        <v>100.9965070309364</v>
      </c>
      <c r="D1910">
        <v>4.7010877805462252</v>
      </c>
      <c r="E1910">
        <v>7.2641321167397548</v>
      </c>
      <c r="F1910">
        <v>14.39944051956877</v>
      </c>
      <c r="G1910">
        <v>6.7850722582689098</v>
      </c>
      <c r="H1910">
        <v>14.061934864617481</v>
      </c>
      <c r="I1910">
        <v>33.672351038250447</v>
      </c>
      <c r="J1910">
        <v>30.763713972505951</v>
      </c>
      <c r="K1910">
        <v>46.745739350125632</v>
      </c>
      <c r="L1910">
        <v>-1</v>
      </c>
      <c r="M1910" t="s">
        <v>69</v>
      </c>
    </row>
    <row r="1911" spans="1:13" x14ac:dyDescent="0.3">
      <c r="A1911" t="s">
        <v>24</v>
      </c>
      <c r="B1911" t="s">
        <v>61</v>
      </c>
      <c r="C1911">
        <v>688.49217332567775</v>
      </c>
      <c r="D1911">
        <v>35.424563503383958</v>
      </c>
      <c r="E1911">
        <v>48.613267126598842</v>
      </c>
      <c r="F1911">
        <v>115.7711592271835</v>
      </c>
      <c r="G1911">
        <v>5.9481210952261074</v>
      </c>
      <c r="H1911">
        <v>69.975543321025583</v>
      </c>
      <c r="I1911">
        <v>29.09288492652491</v>
      </c>
      <c r="J1911">
        <v>30.764112926186581</v>
      </c>
      <c r="K1911">
        <v>11</v>
      </c>
      <c r="L1911">
        <v>-1</v>
      </c>
      <c r="M1911" t="s">
        <v>69</v>
      </c>
    </row>
    <row r="1912" spans="1:13" x14ac:dyDescent="0.3">
      <c r="A1912" t="s">
        <v>24</v>
      </c>
      <c r="B1912" t="s">
        <v>61</v>
      </c>
      <c r="C1912">
        <v>347.48550721083438</v>
      </c>
      <c r="D1912">
        <v>15.281438751222179</v>
      </c>
      <c r="E1912">
        <v>23.38908778909224</v>
      </c>
      <c r="F1912">
        <v>54.949174406744433</v>
      </c>
      <c r="G1912">
        <v>4.3</v>
      </c>
      <c r="H1912">
        <v>56.754336209141726</v>
      </c>
      <c r="I1912">
        <v>30.075916912695199</v>
      </c>
      <c r="J1912">
        <v>30.434692678571089</v>
      </c>
      <c r="K1912">
        <v>14.076304054068491</v>
      </c>
      <c r="L1912">
        <v>-1</v>
      </c>
      <c r="M1912" t="s">
        <v>69</v>
      </c>
    </row>
    <row r="1913" spans="1:13" x14ac:dyDescent="0.3">
      <c r="A1913" t="s">
        <v>24</v>
      </c>
      <c r="B1913" t="s">
        <v>58</v>
      </c>
      <c r="C1913">
        <v>31.18229920432427</v>
      </c>
      <c r="D1913">
        <v>0.93648746147183992</v>
      </c>
      <c r="E1913">
        <v>1.960663389423595</v>
      </c>
      <c r="F1913">
        <v>3.397544587058416</v>
      </c>
      <c r="G1913">
        <v>5.9517358841060073</v>
      </c>
      <c r="H1913">
        <v>21.732688760336021</v>
      </c>
      <c r="I1913">
        <v>29.176068130807899</v>
      </c>
      <c r="J1913">
        <v>26.659832878553171</v>
      </c>
      <c r="K1913">
        <v>756.63674957906017</v>
      </c>
      <c r="L1913">
        <v>-1</v>
      </c>
      <c r="M1913" t="s">
        <v>69</v>
      </c>
    </row>
    <row r="1914" spans="1:13" x14ac:dyDescent="0.3">
      <c r="A1914" t="s">
        <v>24</v>
      </c>
      <c r="B1914" t="s">
        <v>59</v>
      </c>
      <c r="C1914">
        <v>359.82318081866822</v>
      </c>
      <c r="D1914">
        <v>16.953295757847599</v>
      </c>
      <c r="E1914">
        <v>24.416180897009632</v>
      </c>
      <c r="F1914">
        <v>54.292385262905213</v>
      </c>
      <c r="G1914">
        <v>5.225650773785615</v>
      </c>
      <c r="H1914">
        <v>75.743037283045311</v>
      </c>
      <c r="I1914">
        <v>30.399163605538131</v>
      </c>
      <c r="J1914">
        <v>31.210510735755719</v>
      </c>
      <c r="K1914">
        <v>11</v>
      </c>
      <c r="L1914">
        <v>-1</v>
      </c>
      <c r="M1914" t="s">
        <v>69</v>
      </c>
    </row>
    <row r="1915" spans="1:13" x14ac:dyDescent="0.3">
      <c r="A1915" t="s">
        <v>24</v>
      </c>
      <c r="B1915" t="s">
        <v>61</v>
      </c>
      <c r="C1915">
        <v>180.628632733263</v>
      </c>
      <c r="D1915">
        <v>8.1530469990795975</v>
      </c>
      <c r="E1915">
        <v>12.76233203124217</v>
      </c>
      <c r="F1915">
        <v>30.052558628070759</v>
      </c>
      <c r="G1915">
        <v>6.0900220216019578</v>
      </c>
      <c r="H1915">
        <v>24.32065499787236</v>
      </c>
      <c r="I1915">
        <v>29.664727339815549</v>
      </c>
      <c r="J1915">
        <v>31.10947958288801</v>
      </c>
      <c r="K1915">
        <v>14.08325748429365</v>
      </c>
      <c r="L1915">
        <v>-1</v>
      </c>
      <c r="M1915" t="s">
        <v>69</v>
      </c>
    </row>
    <row r="1916" spans="1:13" x14ac:dyDescent="0.3">
      <c r="A1916" t="s">
        <v>19</v>
      </c>
      <c r="B1916" t="s">
        <v>46</v>
      </c>
      <c r="C1916">
        <v>28.177193738664531</v>
      </c>
      <c r="D1916">
        <v>1.0527286142961669</v>
      </c>
      <c r="E1916">
        <v>0.97912080167716997</v>
      </c>
      <c r="F1916">
        <v>4.1555258813656071</v>
      </c>
      <c r="G1916">
        <v>6.0500944320016847</v>
      </c>
      <c r="H1916">
        <v>19.41833607362673</v>
      </c>
      <c r="I1916">
        <v>30.792255645414699</v>
      </c>
      <c r="J1916">
        <v>26.210234008877212</v>
      </c>
      <c r="K1916">
        <v>735.61593560871813</v>
      </c>
      <c r="L1916">
        <v>-1</v>
      </c>
      <c r="M1916" t="s">
        <v>69</v>
      </c>
    </row>
    <row r="1917" spans="1:13" x14ac:dyDescent="0.3">
      <c r="A1917" t="s">
        <v>24</v>
      </c>
      <c r="B1917" t="s">
        <v>59</v>
      </c>
      <c r="C1917">
        <v>368.19041785397962</v>
      </c>
      <c r="D1917">
        <v>16.19220764322834</v>
      </c>
      <c r="E1917">
        <v>23.705697113780079</v>
      </c>
      <c r="F1917">
        <v>57.856778897002499</v>
      </c>
      <c r="G1917">
        <v>5.1036983607992168</v>
      </c>
      <c r="H1917">
        <v>79.001859483236899</v>
      </c>
      <c r="I1917">
        <v>31.530510733485119</v>
      </c>
      <c r="J1917">
        <v>30.59029177820906</v>
      </c>
      <c r="K1917">
        <v>11</v>
      </c>
      <c r="L1917">
        <v>-1</v>
      </c>
      <c r="M1917" t="s">
        <v>69</v>
      </c>
    </row>
    <row r="1918" spans="1:13" x14ac:dyDescent="0.3">
      <c r="A1918" t="s">
        <v>19</v>
      </c>
      <c r="B1918" t="s">
        <v>47</v>
      </c>
      <c r="C1918">
        <v>31.039860348218021</v>
      </c>
      <c r="D1918">
        <v>1.0882508111751581</v>
      </c>
      <c r="E1918">
        <v>1.758414306849134</v>
      </c>
      <c r="F1918">
        <v>3.6936726775861839</v>
      </c>
      <c r="G1918">
        <v>5.9775008340203089</v>
      </c>
      <c r="H1918">
        <v>21.48352125937711</v>
      </c>
      <c r="I1918">
        <v>30.19466046959031</v>
      </c>
      <c r="J1918">
        <v>26.064000690390841</v>
      </c>
      <c r="K1918">
        <v>737.73246191660201</v>
      </c>
      <c r="L1918">
        <v>-1</v>
      </c>
      <c r="M1918" t="s">
        <v>69</v>
      </c>
    </row>
    <row r="1919" spans="1:13" x14ac:dyDescent="0.3">
      <c r="A1919" t="s">
        <v>25</v>
      </c>
      <c r="B1919" t="s">
        <v>62</v>
      </c>
      <c r="C1919">
        <v>91.628050409015728</v>
      </c>
      <c r="D1919">
        <v>4.5498737614128233</v>
      </c>
      <c r="E1919">
        <v>5.1214535990783743</v>
      </c>
      <c r="F1919">
        <v>12.383900777825341</v>
      </c>
      <c r="G1919">
        <v>6.741722326351745</v>
      </c>
      <c r="H1919">
        <v>13.9</v>
      </c>
      <c r="I1919">
        <v>32.057349743393303</v>
      </c>
      <c r="J1919">
        <v>30.707965570553601</v>
      </c>
      <c r="K1919">
        <v>47.82719509570461</v>
      </c>
      <c r="L1919">
        <v>-1</v>
      </c>
      <c r="M1919" t="s">
        <v>69</v>
      </c>
    </row>
    <row r="1920" spans="1:13" x14ac:dyDescent="0.3">
      <c r="A1920" t="s">
        <v>19</v>
      </c>
      <c r="B1920" t="s">
        <v>46</v>
      </c>
      <c r="C1920">
        <v>28.055278274835871</v>
      </c>
      <c r="D1920">
        <v>1.0092263347695629</v>
      </c>
      <c r="E1920">
        <v>0.94375581971286415</v>
      </c>
      <c r="F1920">
        <v>3.560357659315418</v>
      </c>
      <c r="G1920">
        <v>6.0130268619590401</v>
      </c>
      <c r="H1920">
        <v>19.740902750178289</v>
      </c>
      <c r="I1920">
        <v>31.484707094396381</v>
      </c>
      <c r="J1920">
        <v>26.725340558731641</v>
      </c>
      <c r="K1920">
        <v>731.03723225363797</v>
      </c>
      <c r="L1920">
        <v>-1</v>
      </c>
      <c r="M1920" t="s">
        <v>69</v>
      </c>
    </row>
    <row r="1921" spans="1:13" x14ac:dyDescent="0.3">
      <c r="A1921" t="s">
        <v>24</v>
      </c>
      <c r="B1921" t="s">
        <v>61</v>
      </c>
      <c r="C1921">
        <v>345.74426039514083</v>
      </c>
      <c r="D1921">
        <v>16.334204859452701</v>
      </c>
      <c r="E1921">
        <v>21.854012668326352</v>
      </c>
      <c r="F1921">
        <v>52.884790193306848</v>
      </c>
      <c r="G1921">
        <v>4.3609825135901312</v>
      </c>
      <c r="H1921">
        <v>53.961132538621882</v>
      </c>
      <c r="I1921">
        <v>30.44440263217642</v>
      </c>
      <c r="J1921">
        <v>31.131215547358622</v>
      </c>
      <c r="K1921">
        <v>14.14293431158308</v>
      </c>
      <c r="L1921">
        <v>-1</v>
      </c>
      <c r="M1921" t="s">
        <v>69</v>
      </c>
    </row>
    <row r="1922" spans="1:13" x14ac:dyDescent="0.3">
      <c r="A1922" t="s">
        <v>24</v>
      </c>
      <c r="B1922" t="s">
        <v>61</v>
      </c>
      <c r="C1922">
        <v>122.3112363160343</v>
      </c>
      <c r="D1922">
        <v>6.839402795055614</v>
      </c>
      <c r="E1922">
        <v>6.6040253899294727</v>
      </c>
      <c r="F1922">
        <v>19.139023185298239</v>
      </c>
      <c r="G1922">
        <v>6.1412544784274736</v>
      </c>
      <c r="H1922">
        <v>21.176588274360249</v>
      </c>
      <c r="I1922">
        <v>31.04728965261581</v>
      </c>
      <c r="J1922">
        <v>30.661484548283539</v>
      </c>
      <c r="K1922">
        <v>46.466188630764691</v>
      </c>
      <c r="L1922">
        <v>-1</v>
      </c>
      <c r="M1922" t="s">
        <v>69</v>
      </c>
    </row>
    <row r="1923" spans="1:13" x14ac:dyDescent="0.3">
      <c r="A1923" t="s">
        <v>24</v>
      </c>
      <c r="B1923" t="s">
        <v>60</v>
      </c>
      <c r="C1923">
        <v>622.85589152049249</v>
      </c>
      <c r="D1923">
        <v>38.400612604479683</v>
      </c>
      <c r="E1923">
        <v>51.275651950991623</v>
      </c>
      <c r="F1923">
        <v>105.1308277337137</v>
      </c>
      <c r="G1923">
        <v>5.8610230769721463</v>
      </c>
      <c r="H1923">
        <v>78.479793879505678</v>
      </c>
      <c r="I1923">
        <v>30.000224181087841</v>
      </c>
      <c r="J1923">
        <v>32.387631114875951</v>
      </c>
      <c r="K1923">
        <v>11.309410810732739</v>
      </c>
      <c r="L1923">
        <v>-1</v>
      </c>
      <c r="M1923" t="s">
        <v>69</v>
      </c>
    </row>
    <row r="1924" spans="1:13" x14ac:dyDescent="0.3">
      <c r="A1924" t="s">
        <v>24</v>
      </c>
      <c r="B1924" t="s">
        <v>61</v>
      </c>
      <c r="C1924">
        <v>77.001774874539137</v>
      </c>
      <c r="D1924">
        <v>4.2571510169150217</v>
      </c>
      <c r="E1924">
        <v>5.1918393836147452</v>
      </c>
      <c r="F1924">
        <v>13.130405673065249</v>
      </c>
      <c r="G1924">
        <v>6.2044650364369049</v>
      </c>
      <c r="H1924">
        <v>14.787840637966161</v>
      </c>
      <c r="I1924">
        <v>34.925848554520087</v>
      </c>
      <c r="J1924">
        <v>31.553325132209029</v>
      </c>
      <c r="K1924">
        <v>48.862313777678082</v>
      </c>
      <c r="L1924">
        <v>-1</v>
      </c>
      <c r="M1924" t="s">
        <v>69</v>
      </c>
    </row>
    <row r="1925" spans="1:13" x14ac:dyDescent="0.3">
      <c r="A1925" t="s">
        <v>25</v>
      </c>
      <c r="B1925" t="s">
        <v>62</v>
      </c>
      <c r="C1925">
        <v>89.815451128390862</v>
      </c>
      <c r="D1925">
        <v>4.1477647683356604</v>
      </c>
      <c r="E1925">
        <v>6.0265325979591964</v>
      </c>
      <c r="F1925">
        <v>13.337419281849289</v>
      </c>
      <c r="G1925">
        <v>6.8329972179037162</v>
      </c>
      <c r="H1925">
        <v>13.9</v>
      </c>
      <c r="I1925">
        <v>32.728578228775142</v>
      </c>
      <c r="J1925">
        <v>30.31446357544673</v>
      </c>
      <c r="K1925">
        <v>47.339227630873211</v>
      </c>
      <c r="L1925">
        <v>-1</v>
      </c>
      <c r="M1925" t="s">
        <v>69</v>
      </c>
    </row>
    <row r="1926" spans="1:13" x14ac:dyDescent="0.3">
      <c r="A1926" t="s">
        <v>24</v>
      </c>
      <c r="B1926" t="s">
        <v>60</v>
      </c>
      <c r="C1926">
        <v>515.33647896415948</v>
      </c>
      <c r="D1926">
        <v>23.173592478241531</v>
      </c>
      <c r="E1926">
        <v>35.35857792900093</v>
      </c>
      <c r="F1926">
        <v>90.714984814240069</v>
      </c>
      <c r="G1926">
        <v>5.395585815731585</v>
      </c>
      <c r="H1926">
        <v>64.077751947217806</v>
      </c>
      <c r="I1926">
        <v>30.382026800185429</v>
      </c>
      <c r="J1926">
        <v>32.528690085336947</v>
      </c>
      <c r="K1926">
        <v>11.100885738864459</v>
      </c>
      <c r="L1926">
        <v>-1</v>
      </c>
      <c r="M1926" t="s">
        <v>69</v>
      </c>
    </row>
    <row r="1927" spans="1:13" x14ac:dyDescent="0.3">
      <c r="A1927" t="s">
        <v>19</v>
      </c>
      <c r="B1927" t="s">
        <v>46</v>
      </c>
      <c r="C1927">
        <v>39.022843923796273</v>
      </c>
      <c r="D1927">
        <v>1.579721375215092</v>
      </c>
      <c r="E1927">
        <v>2.4804092189829738</v>
      </c>
      <c r="F1927">
        <v>2.839919744005956</v>
      </c>
      <c r="G1927">
        <v>6.2134909668815617</v>
      </c>
      <c r="H1927">
        <v>21.972522298077362</v>
      </c>
      <c r="I1927">
        <v>29.337659311062129</v>
      </c>
      <c r="J1927">
        <v>25.875535246127431</v>
      </c>
      <c r="K1927">
        <v>730.8126547512843</v>
      </c>
      <c r="L1927">
        <v>-1</v>
      </c>
      <c r="M1927" t="s">
        <v>69</v>
      </c>
    </row>
    <row r="1928" spans="1:13" x14ac:dyDescent="0.3">
      <c r="A1928" t="s">
        <v>24</v>
      </c>
      <c r="B1928" t="s">
        <v>59</v>
      </c>
      <c r="C1928">
        <v>355.9508463280784</v>
      </c>
      <c r="D1928">
        <v>17.83045537339585</v>
      </c>
      <c r="E1928">
        <v>26.256783513648021</v>
      </c>
      <c r="F1928">
        <v>55.336918844142772</v>
      </c>
      <c r="G1928">
        <v>5.2429643547264693</v>
      </c>
      <c r="H1928">
        <v>77.475320650031648</v>
      </c>
      <c r="I1928">
        <v>31.734799791178379</v>
      </c>
      <c r="J1928">
        <v>30.5678736739033</v>
      </c>
      <c r="K1928">
        <v>11</v>
      </c>
      <c r="L1928">
        <v>-1</v>
      </c>
      <c r="M1928" t="s">
        <v>69</v>
      </c>
    </row>
    <row r="1929" spans="1:13" x14ac:dyDescent="0.3">
      <c r="A1929" t="s">
        <v>24</v>
      </c>
      <c r="B1929" t="s">
        <v>58</v>
      </c>
      <c r="C1929">
        <v>31.258791641470332</v>
      </c>
      <c r="D1929">
        <v>0.95279453499909694</v>
      </c>
      <c r="E1929">
        <v>1.9584374933711839</v>
      </c>
      <c r="F1929">
        <v>3.4187086662004109</v>
      </c>
      <c r="G1929">
        <v>5.9536697645672252</v>
      </c>
      <c r="H1929">
        <v>21.751081069683451</v>
      </c>
      <c r="I1929">
        <v>29.26107572156419</v>
      </c>
      <c r="J1929">
        <v>26.6049502101143</v>
      </c>
      <c r="K1929">
        <v>755.08921749585113</v>
      </c>
      <c r="L1929">
        <v>-1</v>
      </c>
      <c r="M1929" t="s">
        <v>69</v>
      </c>
    </row>
    <row r="1930" spans="1:13" x14ac:dyDescent="0.3">
      <c r="A1930" t="s">
        <v>24</v>
      </c>
      <c r="B1930" t="s">
        <v>60</v>
      </c>
      <c r="C1930">
        <v>499.81273596888627</v>
      </c>
      <c r="D1930">
        <v>22.22424723614499</v>
      </c>
      <c r="E1930">
        <v>36.783402760930528</v>
      </c>
      <c r="F1930">
        <v>93.629991065840443</v>
      </c>
      <c r="G1930">
        <v>5.4356371643022374</v>
      </c>
      <c r="H1930">
        <v>66.706706665537965</v>
      </c>
      <c r="I1930">
        <v>30.68402857004823</v>
      </c>
      <c r="J1930">
        <v>32.635608044966183</v>
      </c>
      <c r="K1930">
        <v>11</v>
      </c>
      <c r="L1930">
        <v>-1</v>
      </c>
      <c r="M1930" t="s">
        <v>69</v>
      </c>
    </row>
    <row r="1931" spans="1:13" x14ac:dyDescent="0.3">
      <c r="A1931" t="s">
        <v>24</v>
      </c>
      <c r="B1931" t="s">
        <v>59</v>
      </c>
      <c r="C1931">
        <v>333.4728100554205</v>
      </c>
      <c r="D1931">
        <v>17.561395950188061</v>
      </c>
      <c r="E1931">
        <v>26.3552670450688</v>
      </c>
      <c r="F1931">
        <v>55.819000184780897</v>
      </c>
      <c r="G1931">
        <v>5.2175985653339971</v>
      </c>
      <c r="H1931">
        <v>81.160122348231951</v>
      </c>
      <c r="I1931">
        <v>30.209835094551231</v>
      </c>
      <c r="J1931">
        <v>29.529454419902141</v>
      </c>
      <c r="K1931">
        <v>11.14903745497463</v>
      </c>
      <c r="L1931">
        <v>-1</v>
      </c>
      <c r="M1931" t="s">
        <v>69</v>
      </c>
    </row>
    <row r="1932" spans="1:13" x14ac:dyDescent="0.3">
      <c r="A1932" t="s">
        <v>24</v>
      </c>
      <c r="B1932" t="s">
        <v>61</v>
      </c>
      <c r="C1932">
        <v>691.3985561087419</v>
      </c>
      <c r="D1932">
        <v>36.686241463277803</v>
      </c>
      <c r="E1932">
        <v>49.978902049004553</v>
      </c>
      <c r="F1932">
        <v>122.0358567434586</v>
      </c>
      <c r="G1932">
        <v>5.9110427017051208</v>
      </c>
      <c r="H1932">
        <v>70.184924006562142</v>
      </c>
      <c r="I1932">
        <v>28.985853755112821</v>
      </c>
      <c r="J1932">
        <v>30.515429465825221</v>
      </c>
      <c r="K1932">
        <v>11</v>
      </c>
      <c r="L1932">
        <v>-1</v>
      </c>
      <c r="M1932" t="s">
        <v>69</v>
      </c>
    </row>
    <row r="1933" spans="1:13" x14ac:dyDescent="0.3">
      <c r="A1933" t="s">
        <v>24</v>
      </c>
      <c r="B1933" t="s">
        <v>61</v>
      </c>
      <c r="C1933">
        <v>82.576720969536751</v>
      </c>
      <c r="D1933">
        <v>3.8432844954381449</v>
      </c>
      <c r="E1933">
        <v>5.8175217163736432</v>
      </c>
      <c r="F1933">
        <v>15.20928288871743</v>
      </c>
      <c r="G1933">
        <v>6.6447625861123338</v>
      </c>
      <c r="H1933">
        <v>14.06756470786776</v>
      </c>
      <c r="I1933">
        <v>32.045650934725678</v>
      </c>
      <c r="J1933">
        <v>30.98731126859909</v>
      </c>
      <c r="K1933">
        <v>47.866784419439448</v>
      </c>
      <c r="L1933">
        <v>-1</v>
      </c>
      <c r="M1933" t="s">
        <v>69</v>
      </c>
    </row>
    <row r="1934" spans="1:13" x14ac:dyDescent="0.3">
      <c r="A1934" t="s">
        <v>24</v>
      </c>
      <c r="B1934" t="s">
        <v>60</v>
      </c>
      <c r="C1934">
        <v>559.93268034063817</v>
      </c>
      <c r="D1934">
        <v>27.427083646956021</v>
      </c>
      <c r="E1934">
        <v>42.743554396454783</v>
      </c>
      <c r="F1934">
        <v>82.116143964509376</v>
      </c>
      <c r="G1934">
        <v>6.2423884827269767</v>
      </c>
      <c r="H1934">
        <v>80.852928080242265</v>
      </c>
      <c r="I1934">
        <v>32.222341714915522</v>
      </c>
      <c r="J1934">
        <v>31.3041399296668</v>
      </c>
      <c r="K1934">
        <v>11.153748262900541</v>
      </c>
      <c r="L1934">
        <v>-1</v>
      </c>
      <c r="M1934" t="s">
        <v>69</v>
      </c>
    </row>
    <row r="1935" spans="1:13" x14ac:dyDescent="0.3">
      <c r="A1935" t="s">
        <v>19</v>
      </c>
      <c r="B1935" t="s">
        <v>46</v>
      </c>
      <c r="C1935">
        <v>28.424001827043941</v>
      </c>
      <c r="D1935">
        <v>1</v>
      </c>
      <c r="E1935">
        <v>1.356000456760984</v>
      </c>
      <c r="F1935">
        <v>4</v>
      </c>
      <c r="G1935">
        <v>5.9643999543239019</v>
      </c>
      <c r="H1935">
        <v>20.20520077649368</v>
      </c>
      <c r="I1935">
        <v>30.450799680267309</v>
      </c>
      <c r="J1935">
        <v>26</v>
      </c>
      <c r="K1935">
        <v>726.99999999999989</v>
      </c>
      <c r="L1935">
        <v>-1</v>
      </c>
      <c r="M1935" t="s">
        <v>69</v>
      </c>
    </row>
    <row r="1936" spans="1:13" x14ac:dyDescent="0.3">
      <c r="A1936" t="s">
        <v>24</v>
      </c>
      <c r="B1936" t="s">
        <v>61</v>
      </c>
      <c r="C1936">
        <v>328.89199994260292</v>
      </c>
      <c r="D1936">
        <v>18.19856190797071</v>
      </c>
      <c r="E1936">
        <v>25.28759785965628</v>
      </c>
      <c r="F1936">
        <v>53.740493915450102</v>
      </c>
      <c r="G1936">
        <v>4.6219075999824284</v>
      </c>
      <c r="H1936">
        <v>51.328572450369137</v>
      </c>
      <c r="I1936">
        <v>30.16189911814589</v>
      </c>
      <c r="J1936">
        <v>30.765509709442028</v>
      </c>
      <c r="K1936">
        <v>13.91384340301715</v>
      </c>
      <c r="L1936">
        <v>-1</v>
      </c>
      <c r="M1936" t="s">
        <v>69</v>
      </c>
    </row>
    <row r="1937" spans="1:13" x14ac:dyDescent="0.3">
      <c r="A1937" t="s">
        <v>24</v>
      </c>
      <c r="B1937" t="s">
        <v>61</v>
      </c>
      <c r="C1937">
        <v>79.714042796639347</v>
      </c>
      <c r="D1937">
        <v>3.999071592539416</v>
      </c>
      <c r="E1937">
        <v>5.3038719897078908</v>
      </c>
      <c r="F1937">
        <v>13.19088365414283</v>
      </c>
      <c r="G1937">
        <v>6.245230197099918</v>
      </c>
      <c r="H1937">
        <v>14.767362405155669</v>
      </c>
      <c r="I1937">
        <v>34.854113406362544</v>
      </c>
      <c r="J1937">
        <v>31.290463693990361</v>
      </c>
      <c r="K1937">
        <v>47.429984470719553</v>
      </c>
      <c r="L1937">
        <v>-1</v>
      </c>
      <c r="M1937" t="s">
        <v>69</v>
      </c>
    </row>
    <row r="1938" spans="1:13" x14ac:dyDescent="0.3">
      <c r="A1938" t="s">
        <v>24</v>
      </c>
      <c r="B1938" t="s">
        <v>61</v>
      </c>
      <c r="C1938">
        <v>325.0420778941297</v>
      </c>
      <c r="D1938">
        <v>17.579109569918511</v>
      </c>
      <c r="E1938">
        <v>25.039454219499468</v>
      </c>
      <c r="F1938">
        <v>46.841121910863308</v>
      </c>
      <c r="G1938">
        <v>4.3039738722989203</v>
      </c>
      <c r="H1938">
        <v>59.636406494570998</v>
      </c>
      <c r="I1938">
        <v>29.656669335833431</v>
      </c>
      <c r="J1938">
        <v>31.738435447036672</v>
      </c>
      <c r="K1938">
        <v>14.04533864416271</v>
      </c>
      <c r="L1938">
        <v>-1</v>
      </c>
      <c r="M1938" t="s">
        <v>69</v>
      </c>
    </row>
    <row r="1939" spans="1:13" x14ac:dyDescent="0.3">
      <c r="A1939" t="s">
        <v>24</v>
      </c>
      <c r="B1939" t="s">
        <v>61</v>
      </c>
      <c r="C1939">
        <v>189.59443795587151</v>
      </c>
      <c r="D1939">
        <v>8.7847656625497486</v>
      </c>
      <c r="E1939">
        <v>11.574112425884721</v>
      </c>
      <c r="F1939">
        <v>32.453279372363852</v>
      </c>
      <c r="G1939">
        <v>6.2609742555167367</v>
      </c>
      <c r="H1939">
        <v>25.12433294253978</v>
      </c>
      <c r="I1939">
        <v>29.35547392809984</v>
      </c>
      <c r="J1939">
        <v>31.13165946919225</v>
      </c>
      <c r="K1939">
        <v>14.03505026517723</v>
      </c>
      <c r="L1939">
        <v>-1</v>
      </c>
      <c r="M1939" t="s">
        <v>69</v>
      </c>
    </row>
    <row r="1940" spans="1:13" x14ac:dyDescent="0.3">
      <c r="A1940" t="s">
        <v>24</v>
      </c>
      <c r="B1940" t="s">
        <v>61</v>
      </c>
      <c r="C1940">
        <v>704.04417451353345</v>
      </c>
      <c r="D1940">
        <v>35.074912631405539</v>
      </c>
      <c r="E1940">
        <v>44.838571492727283</v>
      </c>
      <c r="F1940">
        <v>95.683208980391896</v>
      </c>
      <c r="G1940">
        <v>5.9692953803290809</v>
      </c>
      <c r="H1940">
        <v>67.980272174871544</v>
      </c>
      <c r="I1940">
        <v>30.178878399107109</v>
      </c>
      <c r="J1940">
        <v>31.22348277216771</v>
      </c>
      <c r="K1940">
        <v>11.25295317027644</v>
      </c>
      <c r="L1940">
        <v>-1</v>
      </c>
      <c r="M1940" t="s">
        <v>69</v>
      </c>
    </row>
    <row r="1941" spans="1:13" x14ac:dyDescent="0.3">
      <c r="A1941" t="s">
        <v>24</v>
      </c>
      <c r="B1941" t="s">
        <v>61</v>
      </c>
      <c r="C1941">
        <v>80.889501792413242</v>
      </c>
      <c r="D1941">
        <v>3.9667300773880751</v>
      </c>
      <c r="E1941">
        <v>4.8429716553775357</v>
      </c>
      <c r="F1941">
        <v>13.01645276574223</v>
      </c>
      <c r="G1941">
        <v>6.1658303488170532</v>
      </c>
      <c r="H1941">
        <v>15.02343077550762</v>
      </c>
      <c r="I1941">
        <v>34.31239312589949</v>
      </c>
      <c r="J1941">
        <v>32.154086362939431</v>
      </c>
      <c r="K1941">
        <v>47.841721965417491</v>
      </c>
      <c r="L1941">
        <v>-1</v>
      </c>
      <c r="M1941" t="s">
        <v>69</v>
      </c>
    </row>
    <row r="1942" spans="1:13" x14ac:dyDescent="0.3">
      <c r="A1942" t="s">
        <v>24</v>
      </c>
      <c r="B1942" t="s">
        <v>61</v>
      </c>
      <c r="C1942">
        <v>82.437987721998823</v>
      </c>
      <c r="D1942">
        <v>4.3443409044986208</v>
      </c>
      <c r="E1942">
        <v>5.0183158728094259</v>
      </c>
      <c r="F1942">
        <v>10.93200091827819</v>
      </c>
      <c r="G1942">
        <v>6.3552079036217677</v>
      </c>
      <c r="H1942">
        <v>14.74889329342068</v>
      </c>
      <c r="I1942">
        <v>34.911258971770053</v>
      </c>
      <c r="J1942">
        <v>30.817504565283649</v>
      </c>
      <c r="K1942">
        <v>47.879784328217063</v>
      </c>
      <c r="L1942">
        <v>-1</v>
      </c>
      <c r="M1942" t="s">
        <v>69</v>
      </c>
    </row>
    <row r="1943" spans="1:13" x14ac:dyDescent="0.3">
      <c r="A1943" t="s">
        <v>24</v>
      </c>
      <c r="B1943" t="s">
        <v>58</v>
      </c>
      <c r="C1943">
        <v>31.915751413126539</v>
      </c>
      <c r="D1943">
        <v>1.062414417243466</v>
      </c>
      <c r="E1943">
        <v>1.9783347149234869</v>
      </c>
      <c r="F1943">
        <v>3.7297655601736519</v>
      </c>
      <c r="G1943">
        <v>5.9809211294226721</v>
      </c>
      <c r="H1943">
        <v>22.004142909089861</v>
      </c>
      <c r="I1943">
        <v>30.144122803901329</v>
      </c>
      <c r="J1943">
        <v>26.00498500789336</v>
      </c>
      <c r="K1943">
        <v>745.0028179976631</v>
      </c>
      <c r="L1943">
        <v>-1</v>
      </c>
      <c r="M1943" t="s">
        <v>69</v>
      </c>
    </row>
    <row r="1944" spans="1:13" x14ac:dyDescent="0.3">
      <c r="A1944" t="s">
        <v>24</v>
      </c>
      <c r="B1944" t="s">
        <v>58</v>
      </c>
      <c r="C1944">
        <v>27.515983380457659</v>
      </c>
      <c r="D1944">
        <v>1.0235065870912821</v>
      </c>
      <c r="E1944">
        <v>1.013790284320466</v>
      </c>
      <c r="F1944">
        <v>3.5495758115750919</v>
      </c>
      <c r="G1944">
        <v>6.0144462987695357</v>
      </c>
      <c r="H1944">
        <v>20.363500409221061</v>
      </c>
      <c r="I1944">
        <v>31.679646341899769</v>
      </c>
      <c r="J1944">
        <v>26.015108977176741</v>
      </c>
      <c r="K1944">
        <v>742.83796141501239</v>
      </c>
      <c r="L1944">
        <v>-1</v>
      </c>
      <c r="M1944" t="s">
        <v>69</v>
      </c>
    </row>
    <row r="1945" spans="1:13" x14ac:dyDescent="0.3">
      <c r="A1945" t="s">
        <v>24</v>
      </c>
      <c r="B1945" t="s">
        <v>61</v>
      </c>
      <c r="C1945">
        <v>75.405967847693759</v>
      </c>
      <c r="D1945">
        <v>4.2186932241217274</v>
      </c>
      <c r="E1945">
        <v>4.9198917813170704</v>
      </c>
      <c r="F1945">
        <v>12.363025839034069</v>
      </c>
      <c r="G1945">
        <v>6.1203835633620818</v>
      </c>
      <c r="H1945">
        <v>14.79897605119875</v>
      </c>
      <c r="I1945">
        <v>34.147870766600917</v>
      </c>
      <c r="J1945">
        <v>31.352597719925381</v>
      </c>
      <c r="K1945">
        <v>46.409141015846899</v>
      </c>
      <c r="L1945">
        <v>-1</v>
      </c>
      <c r="M1945" t="s">
        <v>69</v>
      </c>
    </row>
    <row r="1946" spans="1:13" x14ac:dyDescent="0.3">
      <c r="A1946" t="s">
        <v>24</v>
      </c>
      <c r="B1946" t="s">
        <v>59</v>
      </c>
      <c r="C1946">
        <v>385.19644836601731</v>
      </c>
      <c r="D1946">
        <v>16.832658740815699</v>
      </c>
      <c r="E1946">
        <v>25.491175793556039</v>
      </c>
      <c r="F1946">
        <v>49.881617875852633</v>
      </c>
      <c r="G1946">
        <v>5.2919067002592532</v>
      </c>
      <c r="H1946">
        <v>76.629102288067202</v>
      </c>
      <c r="I1946">
        <v>29.88040337257554</v>
      </c>
      <c r="J1946">
        <v>31.754259783901968</v>
      </c>
      <c r="K1946">
        <v>11</v>
      </c>
      <c r="L1946">
        <v>-1</v>
      </c>
      <c r="M1946" t="s">
        <v>69</v>
      </c>
    </row>
    <row r="1947" spans="1:13" x14ac:dyDescent="0.3">
      <c r="A1947" t="s">
        <v>25</v>
      </c>
      <c r="B1947" t="s">
        <v>62</v>
      </c>
      <c r="C1947">
        <v>98.945373338870922</v>
      </c>
      <c r="D1947">
        <v>4.6207173284022982</v>
      </c>
      <c r="E1947">
        <v>7.1218961474639197</v>
      </c>
      <c r="F1947">
        <v>14.22358005656829</v>
      </c>
      <c r="G1947">
        <v>6.7637094694580329</v>
      </c>
      <c r="H1947">
        <v>14.162937816961589</v>
      </c>
      <c r="I1947">
        <v>33.719127783214113</v>
      </c>
      <c r="J1947">
        <v>31.022291783488221</v>
      </c>
      <c r="K1947">
        <v>47.41779376764157</v>
      </c>
      <c r="L1947">
        <v>-1</v>
      </c>
      <c r="M1947" t="s">
        <v>69</v>
      </c>
    </row>
    <row r="1948" spans="1:13" x14ac:dyDescent="0.3">
      <c r="A1948" t="s">
        <v>24</v>
      </c>
      <c r="B1948" t="s">
        <v>61</v>
      </c>
      <c r="C1948">
        <v>299.66757769997048</v>
      </c>
      <c r="D1948">
        <v>15.48678712689528</v>
      </c>
      <c r="E1948">
        <v>24.618029582770461</v>
      </c>
      <c r="F1948">
        <v>46.073166324370767</v>
      </c>
      <c r="G1948">
        <v>5.1912329572966298</v>
      </c>
      <c r="H1948">
        <v>82.948050702662329</v>
      </c>
      <c r="I1948">
        <v>30.482855911041678</v>
      </c>
      <c r="J1948">
        <v>30.177507596540021</v>
      </c>
      <c r="K1948">
        <v>11.074158918524519</v>
      </c>
      <c r="L1948">
        <v>-1</v>
      </c>
      <c r="M1948" t="s">
        <v>69</v>
      </c>
    </row>
    <row r="1949" spans="1:13" x14ac:dyDescent="0.3">
      <c r="A1949" t="s">
        <v>24</v>
      </c>
      <c r="B1949" t="s">
        <v>61</v>
      </c>
      <c r="C1949">
        <v>74.521179073541887</v>
      </c>
      <c r="D1949">
        <v>4.1712950826713771</v>
      </c>
      <c r="E1949">
        <v>4.6343631359253594</v>
      </c>
      <c r="F1949">
        <v>12.20923825506692</v>
      </c>
      <c r="G1949">
        <v>6.1389945483845834</v>
      </c>
      <c r="H1949">
        <v>15.1083095268866</v>
      </c>
      <c r="I1949">
        <v>35.57594255069283</v>
      </c>
      <c r="J1949">
        <v>31.535996014231511</v>
      </c>
      <c r="K1949">
        <v>49.244957749254347</v>
      </c>
      <c r="L1949">
        <v>-1</v>
      </c>
      <c r="M1949" t="s">
        <v>69</v>
      </c>
    </row>
    <row r="1950" spans="1:13" x14ac:dyDescent="0.3">
      <c r="A1950" t="s">
        <v>24</v>
      </c>
      <c r="B1950" t="s">
        <v>61</v>
      </c>
      <c r="C1950">
        <v>683.125630765653</v>
      </c>
      <c r="D1950">
        <v>37.420544818734243</v>
      </c>
      <c r="E1950">
        <v>51.131192335342121</v>
      </c>
      <c r="F1950">
        <v>122.0616474743361</v>
      </c>
      <c r="G1950">
        <v>5.8878016562735924</v>
      </c>
      <c r="H1950">
        <v>70.406102398397366</v>
      </c>
      <c r="I1950">
        <v>29.166084123707801</v>
      </c>
      <c r="J1950">
        <v>30.782834980519151</v>
      </c>
      <c r="K1950">
        <v>11</v>
      </c>
      <c r="L1950">
        <v>-1</v>
      </c>
      <c r="M1950" t="s">
        <v>69</v>
      </c>
    </row>
    <row r="1951" spans="1:13" x14ac:dyDescent="0.3">
      <c r="A1951" t="s">
        <v>24</v>
      </c>
      <c r="B1951" t="s">
        <v>61</v>
      </c>
      <c r="C1951">
        <v>340.35416067139641</v>
      </c>
      <c r="D1951">
        <v>17.32704444917584</v>
      </c>
      <c r="E1951">
        <v>24.585528078852441</v>
      </c>
      <c r="F1951">
        <v>52.979436385656669</v>
      </c>
      <c r="G1951">
        <v>4.3229179979278554</v>
      </c>
      <c r="H1951">
        <v>60.577737741664002</v>
      </c>
      <c r="I1951">
        <v>29.338098086949351</v>
      </c>
      <c r="J1951">
        <v>31.129213311986181</v>
      </c>
      <c r="K1951">
        <v>13.94056972505564</v>
      </c>
      <c r="L1951">
        <v>-1</v>
      </c>
      <c r="M1951" t="s">
        <v>69</v>
      </c>
    </row>
    <row r="1952" spans="1:13" x14ac:dyDescent="0.3">
      <c r="A1952" t="s">
        <v>24</v>
      </c>
      <c r="B1952" t="s">
        <v>61</v>
      </c>
      <c r="C1952">
        <v>345.17596645933651</v>
      </c>
      <c r="D1952">
        <v>16.902908285043839</v>
      </c>
      <c r="E1952">
        <v>23.5487411611828</v>
      </c>
      <c r="F1952">
        <v>54.9006481026315</v>
      </c>
      <c r="G1952">
        <v>4.5979493654996668</v>
      </c>
      <c r="H1952">
        <v>54.417223666915618</v>
      </c>
      <c r="I1952">
        <v>30.285850734657132</v>
      </c>
      <c r="J1952">
        <v>30.914626029176191</v>
      </c>
      <c r="K1952">
        <v>14.083107802340921</v>
      </c>
      <c r="L1952">
        <v>-1</v>
      </c>
      <c r="M1952" t="s">
        <v>69</v>
      </c>
    </row>
    <row r="1953" spans="1:13" x14ac:dyDescent="0.3">
      <c r="A1953" t="s">
        <v>25</v>
      </c>
      <c r="B1953" t="s">
        <v>62</v>
      </c>
      <c r="C1953">
        <v>94.44404907069962</v>
      </c>
      <c r="D1953">
        <v>3.9104791187726131</v>
      </c>
      <c r="E1953">
        <v>6.64999473798437</v>
      </c>
      <c r="F1953">
        <v>13.68402211883107</v>
      </c>
      <c r="G1953">
        <v>6.9491701321579216</v>
      </c>
      <c r="H1953">
        <v>14.15151435819082</v>
      </c>
      <c r="I1953">
        <v>33.650440971392747</v>
      </c>
      <c r="J1953">
        <v>31.499328477626459</v>
      </c>
      <c r="K1953">
        <v>47.104096912225941</v>
      </c>
      <c r="L1953">
        <v>-1</v>
      </c>
      <c r="M1953" t="s">
        <v>69</v>
      </c>
    </row>
    <row r="1954" spans="1:13" x14ac:dyDescent="0.3">
      <c r="A1954" t="s">
        <v>24</v>
      </c>
      <c r="B1954" t="s">
        <v>61</v>
      </c>
      <c r="C1954">
        <v>675.16919248390104</v>
      </c>
      <c r="D1954">
        <v>38.182348111831658</v>
      </c>
      <c r="E1954">
        <v>45.89022018993083</v>
      </c>
      <c r="F1954">
        <v>89.935903767431029</v>
      </c>
      <c r="G1954">
        <v>5.813615286333019</v>
      </c>
      <c r="H1954">
        <v>66.721291615716311</v>
      </c>
      <c r="I1954">
        <v>29.458858579279418</v>
      </c>
      <c r="J1954">
        <v>30.804680366207648</v>
      </c>
      <c r="K1954">
        <v>11.259796582503901</v>
      </c>
      <c r="L1954">
        <v>-1</v>
      </c>
      <c r="M1954" t="s">
        <v>69</v>
      </c>
    </row>
    <row r="1955" spans="1:13" x14ac:dyDescent="0.3">
      <c r="A1955" t="s">
        <v>24</v>
      </c>
      <c r="B1955" t="s">
        <v>61</v>
      </c>
      <c r="C1955">
        <v>328.59669420927059</v>
      </c>
      <c r="D1955">
        <v>16.884499201167301</v>
      </c>
      <c r="E1955">
        <v>22.118127849290239</v>
      </c>
      <c r="F1955">
        <v>56.72062206236636</v>
      </c>
      <c r="G1955">
        <v>5.270370784780793</v>
      </c>
      <c r="H1955">
        <v>73.364396512837487</v>
      </c>
      <c r="I1955">
        <v>31.392311743625509</v>
      </c>
      <c r="J1955">
        <v>32.188672154005928</v>
      </c>
      <c r="K1955">
        <v>11</v>
      </c>
      <c r="L1955">
        <v>-1</v>
      </c>
      <c r="M1955" t="s">
        <v>69</v>
      </c>
    </row>
    <row r="1956" spans="1:13" x14ac:dyDescent="0.3">
      <c r="A1956" t="s">
        <v>24</v>
      </c>
      <c r="B1956" t="s">
        <v>60</v>
      </c>
      <c r="C1956">
        <v>566.39625544541752</v>
      </c>
      <c r="D1956">
        <v>27.244462553980309</v>
      </c>
      <c r="E1956">
        <v>36.089979703802207</v>
      </c>
      <c r="F1956">
        <v>101.48341642779</v>
      </c>
      <c r="G1956">
        <v>6.1145339439130728</v>
      </c>
      <c r="H1956">
        <v>80.414042466188747</v>
      </c>
      <c r="I1956">
        <v>30.94061217465531</v>
      </c>
      <c r="J1956">
        <v>29.45673054615547</v>
      </c>
      <c r="K1956">
        <v>11</v>
      </c>
      <c r="L1956">
        <v>-1</v>
      </c>
      <c r="M1956" t="s">
        <v>69</v>
      </c>
    </row>
    <row r="1957" spans="1:13" x14ac:dyDescent="0.3">
      <c r="A1957" t="s">
        <v>24</v>
      </c>
      <c r="B1957" t="s">
        <v>61</v>
      </c>
      <c r="C1957">
        <v>77.234417992709979</v>
      </c>
      <c r="D1957">
        <v>4.1324511150508858</v>
      </c>
      <c r="E1957">
        <v>4.8872088599875223</v>
      </c>
      <c r="F1957">
        <v>12.568337311771741</v>
      </c>
      <c r="G1957">
        <v>6.1338856194802478</v>
      </c>
      <c r="H1957">
        <v>14.875846060004349</v>
      </c>
      <c r="I1957">
        <v>34.186511396179696</v>
      </c>
      <c r="J1957">
        <v>31.62206384483191</v>
      </c>
      <c r="K1957">
        <v>46.845553000287282</v>
      </c>
      <c r="L1957">
        <v>-1</v>
      </c>
      <c r="M1957" t="s">
        <v>69</v>
      </c>
    </row>
    <row r="1958" spans="1:13" x14ac:dyDescent="0.3">
      <c r="A1958" t="s">
        <v>19</v>
      </c>
      <c r="B1958" t="s">
        <v>46</v>
      </c>
      <c r="C1958">
        <v>27.670632448242689</v>
      </c>
      <c r="D1958">
        <v>1.007890367381544</v>
      </c>
      <c r="E1958">
        <v>0.86079159836793107</v>
      </c>
      <c r="F1958">
        <v>3.7464510160562678</v>
      </c>
      <c r="G1958">
        <v>6.1497028621734522</v>
      </c>
      <c r="H1958">
        <v>19.539306892663891</v>
      </c>
      <c r="I1958">
        <v>30.849450168783779</v>
      </c>
      <c r="J1958">
        <v>25.929950520105329</v>
      </c>
      <c r="K1958">
        <v>713.40387590950354</v>
      </c>
      <c r="L1958">
        <v>-1</v>
      </c>
      <c r="M1958" t="s">
        <v>69</v>
      </c>
    </row>
    <row r="1959" spans="1:13" x14ac:dyDescent="0.3">
      <c r="A1959" t="s">
        <v>24</v>
      </c>
      <c r="B1959" t="s">
        <v>61</v>
      </c>
      <c r="C1959">
        <v>190.23513897717871</v>
      </c>
      <c r="D1959">
        <v>8.6679568154764439</v>
      </c>
      <c r="E1959">
        <v>10.97441841297247</v>
      </c>
      <c r="F1959">
        <v>26.834036335071069</v>
      </c>
      <c r="G1959">
        <v>6.1728866725406544</v>
      </c>
      <c r="H1959">
        <v>25.431646145637679</v>
      </c>
      <c r="I1959">
        <v>30.565810570007631</v>
      </c>
      <c r="J1959">
        <v>31.4756406559281</v>
      </c>
      <c r="K1959">
        <v>14.135044459995701</v>
      </c>
      <c r="L1959">
        <v>-1</v>
      </c>
      <c r="M1959" t="s">
        <v>69</v>
      </c>
    </row>
    <row r="1960" spans="1:13" x14ac:dyDescent="0.3">
      <c r="A1960" t="s">
        <v>24</v>
      </c>
      <c r="B1960" t="s">
        <v>61</v>
      </c>
      <c r="C1960">
        <v>83.114302245411039</v>
      </c>
      <c r="D1960">
        <v>4.2006703674330597</v>
      </c>
      <c r="E1960">
        <v>5.4844893701555328</v>
      </c>
      <c r="F1960">
        <v>14.059650080053039</v>
      </c>
      <c r="G1960">
        <v>6.5769555399516308</v>
      </c>
      <c r="H1960">
        <v>13.9</v>
      </c>
      <c r="I1960">
        <v>32.240913487486047</v>
      </c>
      <c r="J1960">
        <v>31.089125247156879</v>
      </c>
      <c r="K1960">
        <v>48.158260941529079</v>
      </c>
      <c r="L1960">
        <v>-1</v>
      </c>
      <c r="M1960" t="s">
        <v>69</v>
      </c>
    </row>
    <row r="1961" spans="1:13" x14ac:dyDescent="0.3">
      <c r="A1961" t="s">
        <v>25</v>
      </c>
      <c r="B1961" t="s">
        <v>62</v>
      </c>
      <c r="C1961">
        <v>91.941763143457351</v>
      </c>
      <c r="D1961">
        <v>4.5547771077515424</v>
      </c>
      <c r="E1961">
        <v>5.1195668221102162</v>
      </c>
      <c r="F1961">
        <v>12.331526739664939</v>
      </c>
      <c r="G1961">
        <v>6.7472874059436343</v>
      </c>
      <c r="H1961">
        <v>13.9</v>
      </c>
      <c r="I1961">
        <v>32.040733652730736</v>
      </c>
      <c r="J1961">
        <v>30.69119138807087</v>
      </c>
      <c r="K1961">
        <v>47.818714888877139</v>
      </c>
      <c r="L1961">
        <v>-1</v>
      </c>
      <c r="M1961" t="s">
        <v>69</v>
      </c>
    </row>
    <row r="1962" spans="1:13" x14ac:dyDescent="0.3">
      <c r="A1962" t="s">
        <v>25</v>
      </c>
      <c r="B1962" t="s">
        <v>62</v>
      </c>
      <c r="C1962">
        <v>85.63104266344817</v>
      </c>
      <c r="D1962">
        <v>3.725347966703064</v>
      </c>
      <c r="E1962">
        <v>5.4564735402608182</v>
      </c>
      <c r="F1962">
        <v>13.60512640879921</v>
      </c>
      <c r="G1962">
        <v>6.575319685061408</v>
      </c>
      <c r="H1962">
        <v>14.3324574162669</v>
      </c>
      <c r="I1962">
        <v>31.8124795280131</v>
      </c>
      <c r="J1962">
        <v>31.168234195654321</v>
      </c>
      <c r="K1962">
        <v>46.939406067020848</v>
      </c>
      <c r="L1962">
        <v>-1</v>
      </c>
      <c r="M1962" t="s">
        <v>69</v>
      </c>
    </row>
    <row r="1963" spans="1:13" x14ac:dyDescent="0.3">
      <c r="A1963" t="s">
        <v>24</v>
      </c>
      <c r="B1963" t="s">
        <v>61</v>
      </c>
      <c r="C1963">
        <v>180.59853122855421</v>
      </c>
      <c r="D1963">
        <v>8.1520829342292149</v>
      </c>
      <c r="E1963">
        <v>12.767988685561679</v>
      </c>
      <c r="F1963">
        <v>30.063080413589621</v>
      </c>
      <c r="G1963">
        <v>6.0898389735272618</v>
      </c>
      <c r="H1963">
        <v>24.317993953779752</v>
      </c>
      <c r="I1963">
        <v>29.661400617718769</v>
      </c>
      <c r="J1963">
        <v>31.108039583383391</v>
      </c>
      <c r="K1963">
        <v>14.08298198497414</v>
      </c>
      <c r="L1963">
        <v>-1</v>
      </c>
      <c r="M1963" t="s">
        <v>69</v>
      </c>
    </row>
    <row r="1964" spans="1:13" x14ac:dyDescent="0.3">
      <c r="A1964" t="s">
        <v>24</v>
      </c>
      <c r="B1964" t="s">
        <v>61</v>
      </c>
      <c r="C1964">
        <v>348.70763319104691</v>
      </c>
      <c r="D1964">
        <v>16.611322094882581</v>
      </c>
      <c r="E1964">
        <v>22.193518981342638</v>
      </c>
      <c r="F1964">
        <v>54.602274124459882</v>
      </c>
      <c r="G1964">
        <v>4.59179089253794</v>
      </c>
      <c r="H1964">
        <v>55.670231295176947</v>
      </c>
      <c r="I1964">
        <v>29.94303724736768</v>
      </c>
      <c r="J1964">
        <v>30.658230610651589</v>
      </c>
      <c r="K1964">
        <v>14.332697455465681</v>
      </c>
      <c r="L1964">
        <v>-1</v>
      </c>
      <c r="M1964" t="s">
        <v>69</v>
      </c>
    </row>
    <row r="1965" spans="1:13" x14ac:dyDescent="0.3">
      <c r="A1965" t="s">
        <v>24</v>
      </c>
      <c r="B1965" t="s">
        <v>61</v>
      </c>
      <c r="C1965">
        <v>191.06251043189141</v>
      </c>
      <c r="D1965">
        <v>8.6154800705792631</v>
      </c>
      <c r="E1965">
        <v>10.812333522144449</v>
      </c>
      <c r="F1965">
        <v>26.491723262558729</v>
      </c>
      <c r="G1965">
        <v>6.1686016300078901</v>
      </c>
      <c r="H1965">
        <v>25.40503917799127</v>
      </c>
      <c r="I1965">
        <v>30.718449134096861</v>
      </c>
      <c r="J1965">
        <v>31.55081182199098</v>
      </c>
      <c r="K1965">
        <v>14.156387146751969</v>
      </c>
      <c r="L1965">
        <v>-1</v>
      </c>
      <c r="M1965" t="s">
        <v>69</v>
      </c>
    </row>
    <row r="1966" spans="1:13" x14ac:dyDescent="0.3">
      <c r="A1966" t="s">
        <v>24</v>
      </c>
      <c r="B1966" t="s">
        <v>60</v>
      </c>
      <c r="C1966">
        <v>495.02715727480711</v>
      </c>
      <c r="D1966">
        <v>24.66689252357563</v>
      </c>
      <c r="E1966">
        <v>37.625971751631951</v>
      </c>
      <c r="F1966">
        <v>79.225757398963509</v>
      </c>
      <c r="G1966">
        <v>5.4185437256268667</v>
      </c>
      <c r="H1966">
        <v>65.99676220003613</v>
      </c>
      <c r="I1966">
        <v>30.91960460962251</v>
      </c>
      <c r="J1966">
        <v>30.54191863949686</v>
      </c>
      <c r="K1966">
        <v>11</v>
      </c>
      <c r="L1966">
        <v>-1</v>
      </c>
      <c r="M1966" t="s">
        <v>69</v>
      </c>
    </row>
    <row r="1967" spans="1:13" x14ac:dyDescent="0.3">
      <c r="A1967" t="s">
        <v>25</v>
      </c>
      <c r="B1967" t="s">
        <v>62</v>
      </c>
      <c r="C1967">
        <v>92.789562103946125</v>
      </c>
      <c r="D1967">
        <v>4.0188450889822436</v>
      </c>
      <c r="E1967">
        <v>5.8474153392768109</v>
      </c>
      <c r="F1967">
        <v>13.92637794103449</v>
      </c>
      <c r="G1967">
        <v>6.7286684882634038</v>
      </c>
      <c r="H1967">
        <v>13.91268993521998</v>
      </c>
      <c r="I1967">
        <v>31.508739743980069</v>
      </c>
      <c r="J1967">
        <v>31.22320367912965</v>
      </c>
      <c r="K1967">
        <v>47.853141410545732</v>
      </c>
      <c r="L1967">
        <v>-1</v>
      </c>
      <c r="M1967" t="s">
        <v>69</v>
      </c>
    </row>
    <row r="1968" spans="1:13" x14ac:dyDescent="0.3">
      <c r="A1968" t="s">
        <v>24</v>
      </c>
      <c r="B1968" t="s">
        <v>61</v>
      </c>
      <c r="C1968">
        <v>82.71981505130816</v>
      </c>
      <c r="D1968">
        <v>4.1751471000835636</v>
      </c>
      <c r="E1968">
        <v>5.4690624081699282</v>
      </c>
      <c r="F1968">
        <v>14.24329407636238</v>
      </c>
      <c r="G1968">
        <v>6.5771611673915249</v>
      </c>
      <c r="H1968">
        <v>13.94807156546705</v>
      </c>
      <c r="I1968">
        <v>32.191259549481451</v>
      </c>
      <c r="J1968">
        <v>31.251229765029741</v>
      </c>
      <c r="K1968">
        <v>47.979820034214526</v>
      </c>
      <c r="L1968">
        <v>-1</v>
      </c>
      <c r="M1968" t="s">
        <v>69</v>
      </c>
    </row>
    <row r="1969" spans="1:13" x14ac:dyDescent="0.3">
      <c r="A1969" t="s">
        <v>24</v>
      </c>
      <c r="B1969" t="s">
        <v>61</v>
      </c>
      <c r="C1969">
        <v>126.9581164294238</v>
      </c>
      <c r="D1969">
        <v>6.7448833272864537</v>
      </c>
      <c r="E1969">
        <v>9.0046152511235036</v>
      </c>
      <c r="F1969">
        <v>18.545473525190339</v>
      </c>
      <c r="G1969">
        <v>6.4483872296350242</v>
      </c>
      <c r="H1969">
        <v>21.169930571047029</v>
      </c>
      <c r="I1969">
        <v>30.62012234057962</v>
      </c>
      <c r="J1969">
        <v>30.993208466303429</v>
      </c>
      <c r="K1969">
        <v>48.42372796170207</v>
      </c>
      <c r="L1969">
        <v>-1</v>
      </c>
      <c r="M1969" t="s">
        <v>69</v>
      </c>
    </row>
    <row r="1970" spans="1:13" x14ac:dyDescent="0.3">
      <c r="A1970" t="s">
        <v>24</v>
      </c>
      <c r="B1970" t="s">
        <v>61</v>
      </c>
      <c r="C1970">
        <v>191.66423865061819</v>
      </c>
      <c r="D1970">
        <v>8.4862572213963698</v>
      </c>
      <c r="E1970">
        <v>11.164080646139141</v>
      </c>
      <c r="F1970">
        <v>26.966902488346321</v>
      </c>
      <c r="G1970">
        <v>6.1305815920732183</v>
      </c>
      <c r="H1970">
        <v>24.796635754507019</v>
      </c>
      <c r="I1970">
        <v>30.385930300286041</v>
      </c>
      <c r="J1970">
        <v>32.06285543683299</v>
      </c>
      <c r="K1970">
        <v>14.104427510208319</v>
      </c>
      <c r="L1970">
        <v>-1</v>
      </c>
      <c r="M1970" t="s">
        <v>69</v>
      </c>
    </row>
    <row r="1971" spans="1:13" x14ac:dyDescent="0.3">
      <c r="A1971" t="s">
        <v>24</v>
      </c>
      <c r="B1971" t="s">
        <v>60</v>
      </c>
      <c r="C1971">
        <v>624.2995444613083</v>
      </c>
      <c r="D1971">
        <v>38.440606254159981</v>
      </c>
      <c r="E1971">
        <v>51.401577448539527</v>
      </c>
      <c r="F1971">
        <v>105.83310182933759</v>
      </c>
      <c r="G1971">
        <v>5.8609478762537686</v>
      </c>
      <c r="H1971">
        <v>78.181491215771857</v>
      </c>
      <c r="I1971">
        <v>30.00277689087169</v>
      </c>
      <c r="J1971">
        <v>32.351710767218357</v>
      </c>
      <c r="K1971">
        <v>11.29546645527375</v>
      </c>
      <c r="L1971">
        <v>-1</v>
      </c>
      <c r="M1971" t="s">
        <v>69</v>
      </c>
    </row>
    <row r="1972" spans="1:13" x14ac:dyDescent="0.3">
      <c r="A1972" t="s">
        <v>24</v>
      </c>
      <c r="B1972" t="s">
        <v>61</v>
      </c>
      <c r="C1972">
        <v>337.00425084328469</v>
      </c>
      <c r="D1972">
        <v>17.519273810061769</v>
      </c>
      <c r="E1972">
        <v>20.934522718836298</v>
      </c>
      <c r="F1972">
        <v>53.742503242045551</v>
      </c>
      <c r="G1972">
        <v>5.1463759568333884</v>
      </c>
      <c r="H1972">
        <v>69.432848499621258</v>
      </c>
      <c r="I1972">
        <v>30.822660062426021</v>
      </c>
      <c r="J1972">
        <v>30.809557521696352</v>
      </c>
      <c r="K1972">
        <v>11.04543170067268</v>
      </c>
      <c r="L1972">
        <v>-1</v>
      </c>
      <c r="M1972" t="s">
        <v>69</v>
      </c>
    </row>
    <row r="1973" spans="1:13" x14ac:dyDescent="0.3">
      <c r="A1973" t="s">
        <v>24</v>
      </c>
      <c r="B1973" t="s">
        <v>60</v>
      </c>
      <c r="C1973">
        <v>608.15019606638089</v>
      </c>
      <c r="D1973">
        <v>26.323796183626211</v>
      </c>
      <c r="E1973">
        <v>44.877180888291463</v>
      </c>
      <c r="F1973">
        <v>89.63843792554789</v>
      </c>
      <c r="G1973">
        <v>6.0964753509269993</v>
      </c>
      <c r="H1973">
        <v>77.935112783193432</v>
      </c>
      <c r="I1973">
        <v>30.27564506170431</v>
      </c>
      <c r="J1973">
        <v>31.764598405095761</v>
      </c>
      <c r="K1973">
        <v>11.075578704275131</v>
      </c>
      <c r="L1973">
        <v>-1</v>
      </c>
      <c r="M1973" t="s">
        <v>69</v>
      </c>
    </row>
    <row r="1974" spans="1:13" x14ac:dyDescent="0.3">
      <c r="A1974" t="s">
        <v>24</v>
      </c>
      <c r="B1974" t="s">
        <v>60</v>
      </c>
      <c r="C1974">
        <v>514.05045756311654</v>
      </c>
      <c r="D1974">
        <v>22.423632988929079</v>
      </c>
      <c r="E1974">
        <v>35.636057259062987</v>
      </c>
      <c r="F1974">
        <v>82.269648476884726</v>
      </c>
      <c r="G1974">
        <v>5.4723909059659182</v>
      </c>
      <c r="H1974">
        <v>62.433051137193189</v>
      </c>
      <c r="I1974">
        <v>30.087124468116549</v>
      </c>
      <c r="J1974">
        <v>31.37848475115598</v>
      </c>
      <c r="K1974">
        <v>11.193977496441221</v>
      </c>
      <c r="L1974">
        <v>-1</v>
      </c>
      <c r="M1974" t="s">
        <v>69</v>
      </c>
    </row>
    <row r="1975" spans="1:13" x14ac:dyDescent="0.3">
      <c r="A1975" t="s">
        <v>25</v>
      </c>
      <c r="B1975" t="s">
        <v>62</v>
      </c>
      <c r="C1975">
        <v>91.494581589045197</v>
      </c>
      <c r="D1975">
        <v>3.8902546553940671</v>
      </c>
      <c r="E1975">
        <v>6.1331670209300553</v>
      </c>
      <c r="F1975">
        <v>13.39449798818355</v>
      </c>
      <c r="G1975">
        <v>6.9167067824655399</v>
      </c>
      <c r="H1975">
        <v>14.085276385584571</v>
      </c>
      <c r="I1975">
        <v>32.842705570071068</v>
      </c>
      <c r="J1975">
        <v>30.814633805709502</v>
      </c>
      <c r="K1975">
        <v>48.368108057497921</v>
      </c>
      <c r="L1975">
        <v>-1</v>
      </c>
      <c r="M1975" t="s">
        <v>69</v>
      </c>
    </row>
    <row r="1976" spans="1:13" x14ac:dyDescent="0.3">
      <c r="A1976" t="s">
        <v>25</v>
      </c>
      <c r="B1976" t="s">
        <v>62</v>
      </c>
      <c r="C1976">
        <v>94.889186515540175</v>
      </c>
      <c r="D1976">
        <v>4.4576317999492927</v>
      </c>
      <c r="E1976">
        <v>6.8360112842908816</v>
      </c>
      <c r="F1976">
        <v>13.87781193908897</v>
      </c>
      <c r="G1976">
        <v>6.7224716264096722</v>
      </c>
      <c r="H1976">
        <v>14.35907462416008</v>
      </c>
      <c r="I1976">
        <v>33.809831643497411</v>
      </c>
      <c r="J1976">
        <v>31.52622113802077</v>
      </c>
      <c r="K1976">
        <v>48.73377731475216</v>
      </c>
      <c r="L1976">
        <v>-1</v>
      </c>
      <c r="M1976" t="s">
        <v>69</v>
      </c>
    </row>
    <row r="1977" spans="1:13" x14ac:dyDescent="0.3">
      <c r="A1977" t="s">
        <v>24</v>
      </c>
      <c r="B1977" t="s">
        <v>60</v>
      </c>
      <c r="C1977">
        <v>616.20237653892525</v>
      </c>
      <c r="D1977">
        <v>28.044923996699001</v>
      </c>
      <c r="E1977">
        <v>49.433730365866623</v>
      </c>
      <c r="F1977">
        <v>92.667899299635394</v>
      </c>
      <c r="G1977">
        <v>6.0490387477060068</v>
      </c>
      <c r="H1977">
        <v>76.244512611910892</v>
      </c>
      <c r="I1977">
        <v>29.485618717196779</v>
      </c>
      <c r="J1977">
        <v>30.244822234952728</v>
      </c>
      <c r="K1977">
        <v>11.111664586856479</v>
      </c>
      <c r="L1977">
        <v>-1</v>
      </c>
      <c r="M1977" t="s">
        <v>69</v>
      </c>
    </row>
    <row r="1978" spans="1:13" x14ac:dyDescent="0.3">
      <c r="A1978" t="s">
        <v>24</v>
      </c>
      <c r="B1978" t="s">
        <v>60</v>
      </c>
      <c r="C1978">
        <v>523.06836301699127</v>
      </c>
      <c r="D1978">
        <v>23.961320390932809</v>
      </c>
      <c r="E1978">
        <v>40.371751650888477</v>
      </c>
      <c r="F1978">
        <v>89.713396872337796</v>
      </c>
      <c r="G1978">
        <v>5.3123754321356289</v>
      </c>
      <c r="H1978">
        <v>65.744167692456671</v>
      </c>
      <c r="I1978">
        <v>32.011287849882777</v>
      </c>
      <c r="J1978">
        <v>30.80514413161815</v>
      </c>
      <c r="K1978">
        <v>11</v>
      </c>
      <c r="L1978">
        <v>-1</v>
      </c>
      <c r="M1978" t="s">
        <v>69</v>
      </c>
    </row>
    <row r="1979" spans="1:13" x14ac:dyDescent="0.3">
      <c r="A1979" t="s">
        <v>24</v>
      </c>
      <c r="B1979" t="s">
        <v>61</v>
      </c>
      <c r="C1979">
        <v>350.56949296077602</v>
      </c>
      <c r="D1979">
        <v>16.387908750572691</v>
      </c>
      <c r="E1979">
        <v>26.4362601974914</v>
      </c>
      <c r="F1979">
        <v>52.162910401756527</v>
      </c>
      <c r="G1979">
        <v>4.5782972821730397</v>
      </c>
      <c r="H1979">
        <v>57.210075402956903</v>
      </c>
      <c r="I1979">
        <v>30.015945921651621</v>
      </c>
      <c r="J1979">
        <v>31.77546063572812</v>
      </c>
      <c r="K1979">
        <v>14.085494345460569</v>
      </c>
      <c r="L1979">
        <v>-1</v>
      </c>
      <c r="M1979" t="s">
        <v>69</v>
      </c>
    </row>
    <row r="1980" spans="1:13" x14ac:dyDescent="0.3">
      <c r="A1980" t="s">
        <v>24</v>
      </c>
      <c r="B1980" t="s">
        <v>60</v>
      </c>
      <c r="C1980">
        <v>582.32435572059592</v>
      </c>
      <c r="D1980">
        <v>29.055096352906521</v>
      </c>
      <c r="E1980">
        <v>39.916338911806932</v>
      </c>
      <c r="F1980">
        <v>93.738849007367122</v>
      </c>
      <c r="G1980">
        <v>6.1927788724213411</v>
      </c>
      <c r="H1980">
        <v>80.17427555268506</v>
      </c>
      <c r="I1980">
        <v>31.12297353142894</v>
      </c>
      <c r="J1980">
        <v>30.980837100262239</v>
      </c>
      <c r="K1980">
        <v>11</v>
      </c>
      <c r="L1980">
        <v>-1</v>
      </c>
      <c r="M1980" t="s">
        <v>69</v>
      </c>
    </row>
    <row r="1981" spans="1:13" x14ac:dyDescent="0.3">
      <c r="A1981" t="s">
        <v>24</v>
      </c>
      <c r="B1981" t="s">
        <v>61</v>
      </c>
      <c r="C1981">
        <v>82.182173990347792</v>
      </c>
      <c r="D1981">
        <v>3.9516194357723178</v>
      </c>
      <c r="E1981">
        <v>4.6247497619165463</v>
      </c>
      <c r="F1981">
        <v>12.954541976652109</v>
      </c>
      <c r="G1981">
        <v>6.1806312678644497</v>
      </c>
      <c r="H1981">
        <v>15.30997725358973</v>
      </c>
      <c r="I1981">
        <v>33.970832319185128</v>
      </c>
      <c r="J1981">
        <v>31.9308390773067</v>
      </c>
      <c r="K1981">
        <v>48.287843241946121</v>
      </c>
      <c r="L1981">
        <v>-1</v>
      </c>
      <c r="M1981" t="s">
        <v>69</v>
      </c>
    </row>
    <row r="1982" spans="1:13" x14ac:dyDescent="0.3">
      <c r="A1982" t="s">
        <v>19</v>
      </c>
      <c r="B1982" t="s">
        <v>46</v>
      </c>
      <c r="C1982">
        <v>44.733625268712153</v>
      </c>
      <c r="D1982">
        <v>1.792534680863529</v>
      </c>
      <c r="E1982">
        <v>2.7213797318414099</v>
      </c>
      <c r="F1982">
        <v>2.4294490222409242</v>
      </c>
      <c r="G1982">
        <v>6.1469912894114138</v>
      </c>
      <c r="H1982">
        <v>20.459612430484611</v>
      </c>
      <c r="I1982">
        <v>29.5269986029998</v>
      </c>
      <c r="J1982">
        <v>26.100076699129151</v>
      </c>
      <c r="K1982">
        <v>741.34173986831979</v>
      </c>
      <c r="L1982">
        <v>-1</v>
      </c>
      <c r="M1982" t="s">
        <v>69</v>
      </c>
    </row>
    <row r="1983" spans="1:13" x14ac:dyDescent="0.3">
      <c r="A1983" t="s">
        <v>24</v>
      </c>
      <c r="B1983" t="s">
        <v>61</v>
      </c>
      <c r="C1983">
        <v>132.4828810591076</v>
      </c>
      <c r="D1983">
        <v>5.9793882643407308</v>
      </c>
      <c r="E1983">
        <v>8.0399283190554698</v>
      </c>
      <c r="F1983">
        <v>20.86319239779742</v>
      </c>
      <c r="G1983">
        <v>6.3308271206768154</v>
      </c>
      <c r="H1983">
        <v>18.111850272570688</v>
      </c>
      <c r="I1983">
        <v>29.6269404890215</v>
      </c>
      <c r="J1983">
        <v>31.014281269963259</v>
      </c>
      <c r="K1983">
        <v>47.964703770495127</v>
      </c>
      <c r="L1983">
        <v>-1</v>
      </c>
      <c r="M1983" t="s">
        <v>69</v>
      </c>
    </row>
    <row r="1984" spans="1:13" x14ac:dyDescent="0.3">
      <c r="A1984" t="s">
        <v>24</v>
      </c>
      <c r="B1984" t="s">
        <v>61</v>
      </c>
      <c r="C1984">
        <v>693.95563567170825</v>
      </c>
      <c r="D1984">
        <v>40.317276954325109</v>
      </c>
      <c r="E1984">
        <v>47.462479761636132</v>
      </c>
      <c r="F1984">
        <v>103.6084900673349</v>
      </c>
      <c r="G1984">
        <v>5.9022490668251342</v>
      </c>
      <c r="H1984">
        <v>68.008520652585361</v>
      </c>
      <c r="I1984">
        <v>29.372639359655661</v>
      </c>
      <c r="J1984">
        <v>30.91869033283638</v>
      </c>
      <c r="K1984">
        <v>11.214666078373741</v>
      </c>
      <c r="L1984">
        <v>-1</v>
      </c>
      <c r="M1984" t="s">
        <v>69</v>
      </c>
    </row>
    <row r="1985" spans="1:13" x14ac:dyDescent="0.3">
      <c r="A1985" t="s">
        <v>24</v>
      </c>
      <c r="B1985" t="s">
        <v>60</v>
      </c>
      <c r="C1985">
        <v>508.61260395061407</v>
      </c>
      <c r="D1985">
        <v>21.889373813048291</v>
      </c>
      <c r="E1985">
        <v>37.806882538374893</v>
      </c>
      <c r="F1985">
        <v>82.830450819040749</v>
      </c>
      <c r="G1985">
        <v>5.2698835572411502</v>
      </c>
      <c r="H1985">
        <v>68.020752617619578</v>
      </c>
      <c r="I1985">
        <v>31.922949341841449</v>
      </c>
      <c r="J1985">
        <v>31.397685465486319</v>
      </c>
      <c r="K1985">
        <v>11</v>
      </c>
      <c r="L1985">
        <v>-1</v>
      </c>
      <c r="M1985" t="s">
        <v>69</v>
      </c>
    </row>
    <row r="1986" spans="1:13" x14ac:dyDescent="0.3">
      <c r="A1986" t="s">
        <v>24</v>
      </c>
      <c r="B1986" t="s">
        <v>61</v>
      </c>
      <c r="C1986">
        <v>85.469209845047203</v>
      </c>
      <c r="D1986">
        <v>4.0224486433491684</v>
      </c>
      <c r="E1986">
        <v>4.8183989504104998</v>
      </c>
      <c r="F1986">
        <v>11.35320623123588</v>
      </c>
      <c r="G1986">
        <v>6.1344945152354704</v>
      </c>
      <c r="H1986">
        <v>15.374034785705581</v>
      </c>
      <c r="I1986">
        <v>34.412112005087849</v>
      </c>
      <c r="J1986">
        <v>29.97988747027372</v>
      </c>
      <c r="K1986">
        <v>48.546620018182239</v>
      </c>
      <c r="L1986">
        <v>-1</v>
      </c>
      <c r="M1986" t="s">
        <v>69</v>
      </c>
    </row>
    <row r="1987" spans="1:13" x14ac:dyDescent="0.3">
      <c r="A1987" t="s">
        <v>24</v>
      </c>
      <c r="B1987" t="s">
        <v>61</v>
      </c>
      <c r="C1987">
        <v>128.0045924243812</v>
      </c>
      <c r="D1987">
        <v>5.545888557436065</v>
      </c>
      <c r="E1987">
        <v>8.3652259410814267</v>
      </c>
      <c r="F1987">
        <v>21.96368908079522</v>
      </c>
      <c r="G1987">
        <v>6.2875807212565782</v>
      </c>
      <c r="H1987">
        <v>19.586663492284341</v>
      </c>
      <c r="I1987">
        <v>30.57691478503806</v>
      </c>
      <c r="J1987">
        <v>31.26087455301051</v>
      </c>
      <c r="K1987">
        <v>47.041930160836273</v>
      </c>
      <c r="L1987">
        <v>-1</v>
      </c>
      <c r="M1987" t="s">
        <v>69</v>
      </c>
    </row>
    <row r="1988" spans="1:13" x14ac:dyDescent="0.3">
      <c r="A1988" t="s">
        <v>24</v>
      </c>
      <c r="B1988" t="s">
        <v>61</v>
      </c>
      <c r="C1988">
        <v>189.94926361769521</v>
      </c>
      <c r="D1988">
        <v>8.3937102930743066</v>
      </c>
      <c r="E1988">
        <v>12.37079152857175</v>
      </c>
      <c r="F1988">
        <v>29.001698700355181</v>
      </c>
      <c r="G1988">
        <v>6.0707782329431428</v>
      </c>
      <c r="H1988">
        <v>23.715883014701848</v>
      </c>
      <c r="I1988">
        <v>29.269438838980751</v>
      </c>
      <c r="J1988">
        <v>32.772073840050624</v>
      </c>
      <c r="K1988">
        <v>13.94026026371967</v>
      </c>
      <c r="L1988">
        <v>-1</v>
      </c>
      <c r="M1988" t="s">
        <v>69</v>
      </c>
    </row>
    <row r="1989" spans="1:13" x14ac:dyDescent="0.3">
      <c r="A1989" t="s">
        <v>24</v>
      </c>
      <c r="B1989" t="s">
        <v>61</v>
      </c>
      <c r="C1989">
        <v>346.18063039802951</v>
      </c>
      <c r="D1989">
        <v>15.53253857615247</v>
      </c>
      <c r="E1989">
        <v>22.69158780573558</v>
      </c>
      <c r="F1989">
        <v>53.657874416449062</v>
      </c>
      <c r="G1989">
        <v>4.3325022783313099</v>
      </c>
      <c r="H1989">
        <v>54.065603991745711</v>
      </c>
      <c r="I1989">
        <v>30.104288310716349</v>
      </c>
      <c r="J1989">
        <v>31.105699561911528</v>
      </c>
      <c r="K1989">
        <v>13.97646435547153</v>
      </c>
      <c r="L1989">
        <v>-1</v>
      </c>
      <c r="M1989" t="s">
        <v>69</v>
      </c>
    </row>
    <row r="1990" spans="1:13" x14ac:dyDescent="0.3">
      <c r="A1990" t="s">
        <v>24</v>
      </c>
      <c r="B1990" t="s">
        <v>61</v>
      </c>
      <c r="C1990">
        <v>329.50635292172842</v>
      </c>
      <c r="D1990">
        <v>17.647155455134371</v>
      </c>
      <c r="E1990">
        <v>22.933630087736042</v>
      </c>
      <c r="F1990">
        <v>51.951036954846003</v>
      </c>
      <c r="G1990">
        <v>4.5661247656617796</v>
      </c>
      <c r="H1990">
        <v>53.922871055642247</v>
      </c>
      <c r="I1990">
        <v>29.599100967156811</v>
      </c>
      <c r="J1990">
        <v>30.933701765196599</v>
      </c>
      <c r="K1990">
        <v>14.140895499681161</v>
      </c>
      <c r="L1990">
        <v>-1</v>
      </c>
      <c r="M1990" t="s">
        <v>69</v>
      </c>
    </row>
    <row r="1991" spans="1:13" x14ac:dyDescent="0.3">
      <c r="A1991" t="s">
        <v>24</v>
      </c>
      <c r="B1991" t="s">
        <v>60</v>
      </c>
      <c r="C1991">
        <v>582.14773542090825</v>
      </c>
      <c r="D1991">
        <v>30.090664322236009</v>
      </c>
      <c r="E1991">
        <v>39.496399632995448</v>
      </c>
      <c r="F1991">
        <v>102.357802467887</v>
      </c>
      <c r="G1991">
        <v>6.0784914173512581</v>
      </c>
      <c r="H1991">
        <v>81.734083636115628</v>
      </c>
      <c r="I1991">
        <v>31.427959021203819</v>
      </c>
      <c r="J1991">
        <v>30.431804694226159</v>
      </c>
      <c r="K1991">
        <v>11.056068147920771</v>
      </c>
      <c r="L1991">
        <v>-1</v>
      </c>
      <c r="M1991" t="s">
        <v>69</v>
      </c>
    </row>
    <row r="1992" spans="1:13" x14ac:dyDescent="0.3">
      <c r="A1992" t="s">
        <v>24</v>
      </c>
      <c r="B1992" t="s">
        <v>58</v>
      </c>
      <c r="C1992">
        <v>31.935994900453391</v>
      </c>
      <c r="D1992">
        <v>0.97664109889397244</v>
      </c>
      <c r="E1992">
        <v>1.935417268488401</v>
      </c>
      <c r="F1992">
        <v>3.8823424791180301</v>
      </c>
      <c r="G1992">
        <v>5.7307922653707228</v>
      </c>
      <c r="H1992">
        <v>21.474301152120649</v>
      </c>
      <c r="I1992">
        <v>29.25724744503254</v>
      </c>
      <c r="J1992">
        <v>26.093006302771531</v>
      </c>
      <c r="K1992">
        <v>746.03477783655535</v>
      </c>
      <c r="L1992">
        <v>-1</v>
      </c>
      <c r="M1992" t="s">
        <v>69</v>
      </c>
    </row>
    <row r="1993" spans="1:13" x14ac:dyDescent="0.3">
      <c r="A1993" t="s">
        <v>24</v>
      </c>
      <c r="B1993" t="s">
        <v>60</v>
      </c>
      <c r="C1993">
        <v>530.13912995852104</v>
      </c>
      <c r="D1993">
        <v>25.18298678156274</v>
      </c>
      <c r="E1993">
        <v>41.526851745866573</v>
      </c>
      <c r="F1993">
        <v>93.090378994141645</v>
      </c>
      <c r="G1993">
        <v>5.3452077250211483</v>
      </c>
      <c r="H1993">
        <v>64.763327817144074</v>
      </c>
      <c r="I1993">
        <v>32.119249261769802</v>
      </c>
      <c r="J1993">
        <v>30.37405630247493</v>
      </c>
      <c r="K1993">
        <v>11</v>
      </c>
      <c r="L1993">
        <v>-1</v>
      </c>
      <c r="M1993" t="s">
        <v>69</v>
      </c>
    </row>
    <row r="1994" spans="1:13" x14ac:dyDescent="0.3">
      <c r="A1994" t="s">
        <v>24</v>
      </c>
      <c r="B1994" t="s">
        <v>61</v>
      </c>
      <c r="C1994">
        <v>740.81660991715432</v>
      </c>
      <c r="D1994">
        <v>36.049354721865257</v>
      </c>
      <c r="E1994">
        <v>45.176879666792424</v>
      </c>
      <c r="F1994">
        <v>118.5625481723862</v>
      </c>
      <c r="G1994">
        <v>5.9163035293417643</v>
      </c>
      <c r="H1994">
        <v>72.1073693676326</v>
      </c>
      <c r="I1994">
        <v>30.584996251060641</v>
      </c>
      <c r="J1994">
        <v>30.31109879764476</v>
      </c>
      <c r="K1994">
        <v>11.155763660558019</v>
      </c>
      <c r="L1994">
        <v>-1</v>
      </c>
      <c r="M1994" t="s">
        <v>69</v>
      </c>
    </row>
    <row r="1995" spans="1:13" x14ac:dyDescent="0.3">
      <c r="A1995" t="s">
        <v>25</v>
      </c>
      <c r="B1995" t="s">
        <v>62</v>
      </c>
      <c r="C1995">
        <v>93.570637189438116</v>
      </c>
      <c r="D1995">
        <v>3.9369729692531492</v>
      </c>
      <c r="E1995">
        <v>6.7679923150567216</v>
      </c>
      <c r="F1995">
        <v>13.35630171692415</v>
      </c>
      <c r="G1995">
        <v>6.9381842845729924</v>
      </c>
      <c r="H1995">
        <v>13.94493381316347</v>
      </c>
      <c r="I1995">
        <v>33.793000123410579</v>
      </c>
      <c r="J1995">
        <v>31.819980851924718</v>
      </c>
      <c r="K1995">
        <v>46.720863344218969</v>
      </c>
      <c r="L1995">
        <v>-1</v>
      </c>
      <c r="M1995" t="s">
        <v>69</v>
      </c>
    </row>
    <row r="1996" spans="1:13" x14ac:dyDescent="0.3">
      <c r="A1996" t="s">
        <v>25</v>
      </c>
      <c r="B1996" t="s">
        <v>62</v>
      </c>
      <c r="C1996">
        <v>86.911044626395977</v>
      </c>
      <c r="D1996">
        <v>4.3864480029202024</v>
      </c>
      <c r="E1996">
        <v>5.3019206503253589</v>
      </c>
      <c r="F1996">
        <v>13.37896175631286</v>
      </c>
      <c r="G1996">
        <v>6.658908865917148</v>
      </c>
      <c r="H1996">
        <v>13.9</v>
      </c>
      <c r="I1996">
        <v>32.149133114676758</v>
      </c>
      <c r="J1996">
        <v>30.98689436417359</v>
      </c>
      <c r="K1996">
        <v>47.97264461698478</v>
      </c>
      <c r="L1996">
        <v>-1</v>
      </c>
      <c r="M1996" t="s">
        <v>69</v>
      </c>
    </row>
    <row r="1997" spans="1:13" x14ac:dyDescent="0.3">
      <c r="A1997" t="s">
        <v>24</v>
      </c>
      <c r="B1997" t="s">
        <v>61</v>
      </c>
      <c r="C1997">
        <v>666.62393605356965</v>
      </c>
      <c r="D1997">
        <v>42.057990643366473</v>
      </c>
      <c r="E1997">
        <v>44.171599982061181</v>
      </c>
      <c r="F1997">
        <v>118.08904645665081</v>
      </c>
      <c r="G1997">
        <v>6.121042674127593</v>
      </c>
      <c r="H1997">
        <v>72.482415027724784</v>
      </c>
      <c r="I1997">
        <v>28.637782051139471</v>
      </c>
      <c r="J1997">
        <v>29.787251749459671</v>
      </c>
      <c r="K1997">
        <v>11.02783699301926</v>
      </c>
      <c r="L1997">
        <v>-1</v>
      </c>
      <c r="M1997" t="s">
        <v>69</v>
      </c>
    </row>
    <row r="1998" spans="1:13" x14ac:dyDescent="0.3">
      <c r="A1998" t="s">
        <v>19</v>
      </c>
      <c r="B1998" t="s">
        <v>46</v>
      </c>
      <c r="C1998">
        <v>27.5876835903012</v>
      </c>
      <c r="D1998">
        <v>1.019497949905884</v>
      </c>
      <c r="E1998">
        <v>1.144513877162048</v>
      </c>
      <c r="F1998">
        <v>3.5726031455916369</v>
      </c>
      <c r="G1998">
        <v>6.0091498097647156</v>
      </c>
      <c r="H1998">
        <v>20.40997383492725</v>
      </c>
      <c r="I1998">
        <v>29.39605790058971</v>
      </c>
      <c r="J1998">
        <v>26.33232254444086</v>
      </c>
      <c r="K1998">
        <v>736.06159749256108</v>
      </c>
      <c r="L1998">
        <v>-1</v>
      </c>
      <c r="M1998" t="s">
        <v>69</v>
      </c>
    </row>
    <row r="1999" spans="1:13" x14ac:dyDescent="0.3">
      <c r="A1999" t="s">
        <v>24</v>
      </c>
      <c r="B1999" t="s">
        <v>61</v>
      </c>
      <c r="C1999">
        <v>123.7289017135311</v>
      </c>
      <c r="D1999">
        <v>5.7016870217647453</v>
      </c>
      <c r="E1999">
        <v>8.0917516531461473</v>
      </c>
      <c r="F1999">
        <v>21.47683575430046</v>
      </c>
      <c r="G1999">
        <v>6.115428150003325</v>
      </c>
      <c r="H1999">
        <v>21.246235698483289</v>
      </c>
      <c r="I1999">
        <v>30.90037190905144</v>
      </c>
      <c r="J1999">
        <v>30.951773543472719</v>
      </c>
      <c r="K1999">
        <v>48.167988171667048</v>
      </c>
      <c r="L1999">
        <v>-1</v>
      </c>
      <c r="M1999" t="s">
        <v>69</v>
      </c>
    </row>
    <row r="2000" spans="1:13" x14ac:dyDescent="0.3">
      <c r="A2000" t="s">
        <v>24</v>
      </c>
      <c r="B2000" t="s">
        <v>61</v>
      </c>
      <c r="C2000">
        <v>347.7489890009748</v>
      </c>
      <c r="D2000">
        <v>16.66956546136981</v>
      </c>
      <c r="E2000">
        <v>22.286581572347039</v>
      </c>
      <c r="F2000">
        <v>54.591286205358493</v>
      </c>
      <c r="G2000">
        <v>4.5924808708059413</v>
      </c>
      <c r="H2000">
        <v>55.790088082243798</v>
      </c>
      <c r="I2000">
        <v>30.05119092860156</v>
      </c>
      <c r="J2000">
        <v>30.664862504479171</v>
      </c>
      <c r="K2000">
        <v>14.325224605332551</v>
      </c>
      <c r="L2000">
        <v>-1</v>
      </c>
      <c r="M2000" t="s">
        <v>69</v>
      </c>
    </row>
    <row r="2001" spans="1:13" x14ac:dyDescent="0.3">
      <c r="A2001" t="s">
        <v>24</v>
      </c>
      <c r="B2001" t="s">
        <v>60</v>
      </c>
      <c r="C2001">
        <v>496.46998531869792</v>
      </c>
      <c r="D2001">
        <v>24.857430263963529</v>
      </c>
      <c r="E2001">
        <v>37.627508930451</v>
      </c>
      <c r="F2001">
        <v>79.65044642456445</v>
      </c>
      <c r="G2001">
        <v>5.4762836144977696</v>
      </c>
      <c r="H2001">
        <v>66.748771264324404</v>
      </c>
      <c r="I2001">
        <v>31.784857244431411</v>
      </c>
      <c r="J2001">
        <v>29.00628475288288</v>
      </c>
      <c r="K2001">
        <v>11.06023807195902</v>
      </c>
      <c r="L2001">
        <v>-1</v>
      </c>
      <c r="M2001" t="s">
        <v>69</v>
      </c>
    </row>
    <row r="2002" spans="1:13" x14ac:dyDescent="0.3">
      <c r="A2002" t="s">
        <v>25</v>
      </c>
      <c r="B2002" t="s">
        <v>62</v>
      </c>
      <c r="C2002">
        <v>94.215455004859407</v>
      </c>
      <c r="D2002">
        <v>3.9394570800228998</v>
      </c>
      <c r="E2002">
        <v>6.3317140806105972</v>
      </c>
      <c r="F2002">
        <v>13.4144591266346</v>
      </c>
      <c r="G2002">
        <v>6.9286612336398008</v>
      </c>
      <c r="H2002">
        <v>14.36944696765433</v>
      </c>
      <c r="I2002">
        <v>33.222659880199949</v>
      </c>
      <c r="J2002">
        <v>30.534859488970529</v>
      </c>
      <c r="K2002">
        <v>47.8035330732896</v>
      </c>
      <c r="L2002">
        <v>-1</v>
      </c>
      <c r="M2002" t="s">
        <v>69</v>
      </c>
    </row>
    <row r="2003" spans="1:13" x14ac:dyDescent="0.3">
      <c r="A2003" t="s">
        <v>25</v>
      </c>
      <c r="B2003" t="s">
        <v>62</v>
      </c>
      <c r="C2003">
        <v>91.010253836560693</v>
      </c>
      <c r="D2003">
        <v>4.2080921364659591</v>
      </c>
      <c r="E2003">
        <v>6.3893130145011234</v>
      </c>
      <c r="F2003">
        <v>13.648136467296951</v>
      </c>
      <c r="G2003">
        <v>6.7397383638982511</v>
      </c>
      <c r="H2003">
        <v>14.60178538488007</v>
      </c>
      <c r="I2003">
        <v>33.958387883763208</v>
      </c>
      <c r="J2003">
        <v>31.765544670772591</v>
      </c>
      <c r="K2003">
        <v>49.534267881989543</v>
      </c>
      <c r="L2003">
        <v>-1</v>
      </c>
      <c r="M2003" t="s">
        <v>69</v>
      </c>
    </row>
    <row r="2004" spans="1:13" x14ac:dyDescent="0.3">
      <c r="A2004" t="s">
        <v>24</v>
      </c>
      <c r="B2004" t="s">
        <v>61</v>
      </c>
      <c r="C2004">
        <v>320.85840509536592</v>
      </c>
      <c r="D2004">
        <v>16.844807291574529</v>
      </c>
      <c r="E2004">
        <v>23.4410678133417</v>
      </c>
      <c r="F2004">
        <v>43.971786981459758</v>
      </c>
      <c r="G2004">
        <v>4.3</v>
      </c>
      <c r="H2004">
        <v>58.74800844817841</v>
      </c>
      <c r="I2004">
        <v>29.264538309170149</v>
      </c>
      <c r="J2004">
        <v>31.888593556197829</v>
      </c>
      <c r="K2004">
        <v>14.004223618240079</v>
      </c>
      <c r="L2004">
        <v>-1</v>
      </c>
      <c r="M2004" t="s">
        <v>69</v>
      </c>
    </row>
    <row r="2005" spans="1:13" x14ac:dyDescent="0.3">
      <c r="A2005" t="s">
        <v>19</v>
      </c>
      <c r="B2005" t="s">
        <v>47</v>
      </c>
      <c r="C2005">
        <v>31.93379302201064</v>
      </c>
      <c r="D2005">
        <v>0.85996354973155409</v>
      </c>
      <c r="E2005">
        <v>1.93961561759353</v>
      </c>
      <c r="F2005">
        <v>3.7901345604085042</v>
      </c>
      <c r="G2005">
        <v>5.9288073997405331</v>
      </c>
      <c r="H2005">
        <v>20.62808794014747</v>
      </c>
      <c r="I2005">
        <v>28.899576513717591</v>
      </c>
      <c r="J2005">
        <v>25.93496246654356</v>
      </c>
      <c r="K2005">
        <v>728.94537020053224</v>
      </c>
      <c r="L2005">
        <v>-1</v>
      </c>
      <c r="M2005" t="s">
        <v>69</v>
      </c>
    </row>
    <row r="2006" spans="1:13" x14ac:dyDescent="0.3">
      <c r="A2006" t="s">
        <v>19</v>
      </c>
      <c r="B2006" t="s">
        <v>46</v>
      </c>
      <c r="C2006">
        <v>27.866662184518361</v>
      </c>
      <c r="D2006">
        <v>1.0584054616641621</v>
      </c>
      <c r="E2006">
        <v>0.95701588835912066</v>
      </c>
      <c r="F2006">
        <v>4.1626294616995239</v>
      </c>
      <c r="G2006">
        <v>6.0513934548208406</v>
      </c>
      <c r="H2006">
        <v>19.397194354406089</v>
      </c>
      <c r="I2006">
        <v>30.510375154896721</v>
      </c>
      <c r="J2006">
        <v>26.169651636823911</v>
      </c>
      <c r="K2006">
        <v>733.92327476295532</v>
      </c>
      <c r="L2006">
        <v>-1</v>
      </c>
      <c r="M2006" t="s">
        <v>69</v>
      </c>
    </row>
    <row r="2007" spans="1:13" x14ac:dyDescent="0.3">
      <c r="A2007" t="s">
        <v>24</v>
      </c>
      <c r="B2007" t="s">
        <v>58</v>
      </c>
      <c r="C2007">
        <v>29.029454991757319</v>
      </c>
      <c r="D2007">
        <v>0.96896277237206041</v>
      </c>
      <c r="E2007">
        <v>1.7874684707209541</v>
      </c>
      <c r="F2007">
        <v>4.1996285546717367</v>
      </c>
      <c r="G2007">
        <v>6.1046000341054194</v>
      </c>
      <c r="H2007">
        <v>22.77314938155698</v>
      </c>
      <c r="I2007">
        <v>29.428710477839729</v>
      </c>
      <c r="J2007">
        <v>25.749707687544461</v>
      </c>
      <c r="K2007">
        <v>741.5282424100285</v>
      </c>
      <c r="L2007">
        <v>-1</v>
      </c>
      <c r="M2007" t="s">
        <v>69</v>
      </c>
    </row>
    <row r="2008" spans="1:13" x14ac:dyDescent="0.3">
      <c r="A2008" t="s">
        <v>24</v>
      </c>
      <c r="B2008" t="s">
        <v>61</v>
      </c>
      <c r="C2008">
        <v>323.63164883957791</v>
      </c>
      <c r="D2008">
        <v>16.878630707945849</v>
      </c>
      <c r="E2008">
        <v>22.856876194888919</v>
      </c>
      <c r="F2008">
        <v>66.479787046248845</v>
      </c>
      <c r="G2008">
        <v>4.4242781317874309</v>
      </c>
      <c r="H2008">
        <v>57.653764250303567</v>
      </c>
      <c r="I2008">
        <v>29.98546377106182</v>
      </c>
      <c r="J2008">
        <v>31.350803988703841</v>
      </c>
      <c r="K2008">
        <v>13.754374145727979</v>
      </c>
      <c r="L2008">
        <v>-1</v>
      </c>
      <c r="M2008" t="s">
        <v>69</v>
      </c>
    </row>
    <row r="2009" spans="1:13" x14ac:dyDescent="0.3">
      <c r="A2009" t="s">
        <v>24</v>
      </c>
      <c r="B2009" t="s">
        <v>61</v>
      </c>
      <c r="C2009">
        <v>82.007077021288282</v>
      </c>
      <c r="D2009">
        <v>4.3875041508106287</v>
      </c>
      <c r="E2009">
        <v>5.0438283766511853</v>
      </c>
      <c r="F2009">
        <v>10.91290898307834</v>
      </c>
      <c r="G2009">
        <v>6.3749988127187773</v>
      </c>
      <c r="H2009">
        <v>14.694381051762431</v>
      </c>
      <c r="I2009">
        <v>34.924321840446382</v>
      </c>
      <c r="J2009">
        <v>30.89152886390972</v>
      </c>
      <c r="K2009">
        <v>47.800871731134748</v>
      </c>
      <c r="L2009">
        <v>-1</v>
      </c>
      <c r="M2009" t="s">
        <v>69</v>
      </c>
    </row>
    <row r="2010" spans="1:13" x14ac:dyDescent="0.3">
      <c r="A2010" t="s">
        <v>19</v>
      </c>
      <c r="B2010" t="s">
        <v>47</v>
      </c>
      <c r="C2010">
        <v>30.849344202553361</v>
      </c>
      <c r="D2010">
        <v>1.012092636807697</v>
      </c>
      <c r="E2010">
        <v>1.9645945690001401</v>
      </c>
      <c r="F2010">
        <v>4.001349970608576</v>
      </c>
      <c r="G2010">
        <v>5.8828112365293421</v>
      </c>
      <c r="H2010">
        <v>21.219821611702059</v>
      </c>
      <c r="I2010">
        <v>30.004324351932009</v>
      </c>
      <c r="J2010">
        <v>26.013782077058909</v>
      </c>
      <c r="K2010">
        <v>728.71644281562806</v>
      </c>
      <c r="L2010">
        <v>-1</v>
      </c>
      <c r="M2010" t="s">
        <v>69</v>
      </c>
    </row>
    <row r="2011" spans="1:13" x14ac:dyDescent="0.3">
      <c r="A2011" t="s">
        <v>24</v>
      </c>
      <c r="B2011" t="s">
        <v>60</v>
      </c>
      <c r="C2011">
        <v>572.41408011113083</v>
      </c>
      <c r="D2011">
        <v>30.95042200978973</v>
      </c>
      <c r="E2011">
        <v>41.669398547354533</v>
      </c>
      <c r="F2011">
        <v>86.575273642594908</v>
      </c>
      <c r="G2011">
        <v>5.9731867018577871</v>
      </c>
      <c r="H2011">
        <v>80.893537810857964</v>
      </c>
      <c r="I2011">
        <v>30.894199027999299</v>
      </c>
      <c r="J2011">
        <v>30.321538446555291</v>
      </c>
      <c r="K2011">
        <v>11.002081578038309</v>
      </c>
      <c r="L2011">
        <v>-1</v>
      </c>
      <c r="M2011" t="s">
        <v>69</v>
      </c>
    </row>
    <row r="2012" spans="1:13" x14ac:dyDescent="0.3">
      <c r="A2012" t="s">
        <v>24</v>
      </c>
      <c r="B2012" t="s">
        <v>60</v>
      </c>
      <c r="C2012">
        <v>528.80606081782332</v>
      </c>
      <c r="D2012">
        <v>23.37887816323288</v>
      </c>
      <c r="E2012">
        <v>38.880056394199038</v>
      </c>
      <c r="F2012">
        <v>85.93197101985308</v>
      </c>
      <c r="G2012">
        <v>5.3482869093402714</v>
      </c>
      <c r="H2012">
        <v>68.350664126292742</v>
      </c>
      <c r="I2012">
        <v>30.568614065725889</v>
      </c>
      <c r="J2012">
        <v>31.21420477778986</v>
      </c>
      <c r="K2012">
        <v>11</v>
      </c>
      <c r="L2012">
        <v>-1</v>
      </c>
      <c r="M2012" t="s">
        <v>69</v>
      </c>
    </row>
    <row r="2013" spans="1:13" x14ac:dyDescent="0.3">
      <c r="A2013" t="s">
        <v>24</v>
      </c>
      <c r="B2013" t="s">
        <v>59</v>
      </c>
      <c r="C2013">
        <v>355.81525524159741</v>
      </c>
      <c r="D2013">
        <v>17.14415423911246</v>
      </c>
      <c r="E2013">
        <v>25.103232777044351</v>
      </c>
      <c r="F2013">
        <v>55.80046618136786</v>
      </c>
      <c r="G2013">
        <v>5.1954849766978102</v>
      </c>
      <c r="H2013">
        <v>74.84405495451044</v>
      </c>
      <c r="I2013">
        <v>30.710159099909191</v>
      </c>
      <c r="J2013">
        <v>30.889461048962961</v>
      </c>
      <c r="K2013">
        <v>11.035856133367821</v>
      </c>
      <c r="L2013">
        <v>-1</v>
      </c>
      <c r="M2013" t="s">
        <v>69</v>
      </c>
    </row>
    <row r="2014" spans="1:13" x14ac:dyDescent="0.3">
      <c r="A2014" t="s">
        <v>24</v>
      </c>
      <c r="B2014" t="s">
        <v>59</v>
      </c>
      <c r="C2014">
        <v>359.61619693676681</v>
      </c>
      <c r="D2014">
        <v>17.58000667485954</v>
      </c>
      <c r="E2014">
        <v>28.03792960995299</v>
      </c>
      <c r="F2014">
        <v>57.05279953735414</v>
      </c>
      <c r="G2014">
        <v>5.2338277016764394</v>
      </c>
      <c r="H2014">
        <v>74.812022491107356</v>
      </c>
      <c r="I2014">
        <v>31.387436194172452</v>
      </c>
      <c r="J2014">
        <v>30.22257018627705</v>
      </c>
      <c r="K2014">
        <v>11.030065072793599</v>
      </c>
      <c r="L2014">
        <v>-1</v>
      </c>
      <c r="M2014" t="s">
        <v>69</v>
      </c>
    </row>
    <row r="2015" spans="1:13" x14ac:dyDescent="0.3">
      <c r="A2015" t="s">
        <v>19</v>
      </c>
      <c r="B2015" t="s">
        <v>47</v>
      </c>
      <c r="C2015">
        <v>31.39938375128094</v>
      </c>
      <c r="D2015">
        <v>0.94598525582237558</v>
      </c>
      <c r="E2015">
        <v>2.0259458863454221</v>
      </c>
      <c r="F2015">
        <v>3.6706027421108001</v>
      </c>
      <c r="G2015">
        <v>5.9013815105514382</v>
      </c>
      <c r="H2015">
        <v>21.24079557555438</v>
      </c>
      <c r="I2015">
        <v>29.283595825616509</v>
      </c>
      <c r="J2015">
        <v>25.825290747666781</v>
      </c>
      <c r="K2015">
        <v>732.72358316787358</v>
      </c>
      <c r="L2015">
        <v>-1</v>
      </c>
      <c r="M2015" t="s">
        <v>69</v>
      </c>
    </row>
    <row r="2016" spans="1:13" x14ac:dyDescent="0.3">
      <c r="A2016" t="s">
        <v>24</v>
      </c>
      <c r="B2016" t="s">
        <v>60</v>
      </c>
      <c r="C2016">
        <v>617.11927503539403</v>
      </c>
      <c r="D2016">
        <v>38.241690592430423</v>
      </c>
      <c r="E2016">
        <v>50.775264174467381</v>
      </c>
      <c r="F2016">
        <v>102.3402143943771</v>
      </c>
      <c r="G2016">
        <v>5.8613219006495951</v>
      </c>
      <c r="H2016">
        <v>79.665153552833516</v>
      </c>
      <c r="I2016">
        <v>29.990080526325912</v>
      </c>
      <c r="J2016">
        <v>32.530367123439419</v>
      </c>
      <c r="K2016">
        <v>11.36482123323731</v>
      </c>
      <c r="L2016">
        <v>-1</v>
      </c>
      <c r="M2016" t="s">
        <v>69</v>
      </c>
    </row>
    <row r="2017" spans="1:13" x14ac:dyDescent="0.3">
      <c r="A2017" t="s">
        <v>24</v>
      </c>
      <c r="B2017" t="s">
        <v>60</v>
      </c>
      <c r="C2017">
        <v>576.7596683502062</v>
      </c>
      <c r="D2017">
        <v>30.905307507373571</v>
      </c>
      <c r="E2017">
        <v>39.883920038492519</v>
      </c>
      <c r="F2017">
        <v>95.565011193942155</v>
      </c>
      <c r="G2017">
        <v>6.0019052688648111</v>
      </c>
      <c r="H2017">
        <v>82.074819530980477</v>
      </c>
      <c r="I2017">
        <v>31.226302639359151</v>
      </c>
      <c r="J2017">
        <v>30.421717263376049</v>
      </c>
      <c r="K2017">
        <v>11</v>
      </c>
      <c r="L2017">
        <v>-1</v>
      </c>
      <c r="M2017" t="s">
        <v>69</v>
      </c>
    </row>
    <row r="2018" spans="1:13" x14ac:dyDescent="0.3">
      <c r="A2018" t="s">
        <v>24</v>
      </c>
      <c r="B2018" t="s">
        <v>61</v>
      </c>
      <c r="C2018">
        <v>186.64058777174961</v>
      </c>
      <c r="D2018">
        <v>8.7919250977764385</v>
      </c>
      <c r="E2018">
        <v>11.282058821101019</v>
      </c>
      <c r="F2018">
        <v>31.8015766598525</v>
      </c>
      <c r="G2018">
        <v>6.3331217801172643</v>
      </c>
      <c r="H2018">
        <v>26.0429194251121</v>
      </c>
      <c r="I2018">
        <v>29.526347713620879</v>
      </c>
      <c r="J2018">
        <v>31.39615143369328</v>
      </c>
      <c r="K2018">
        <v>14.0342026232604</v>
      </c>
      <c r="L2018">
        <v>-1</v>
      </c>
      <c r="M2018" t="s">
        <v>69</v>
      </c>
    </row>
    <row r="2019" spans="1:13" x14ac:dyDescent="0.3">
      <c r="A2019" t="s">
        <v>24</v>
      </c>
      <c r="B2019" t="s">
        <v>60</v>
      </c>
      <c r="C2019">
        <v>570.81802733444852</v>
      </c>
      <c r="D2019">
        <v>27.814828621943271</v>
      </c>
      <c r="E2019">
        <v>36.551822805518277</v>
      </c>
      <c r="F2019">
        <v>102.6648136236512</v>
      </c>
      <c r="G2019">
        <v>6.1035032468110888</v>
      </c>
      <c r="H2019">
        <v>81.013181896271419</v>
      </c>
      <c r="I2019">
        <v>31.06280178276543</v>
      </c>
      <c r="J2019">
        <v>29.69330830761135</v>
      </c>
      <c r="K2019">
        <v>11</v>
      </c>
      <c r="L2019">
        <v>-1</v>
      </c>
      <c r="M2019" t="s">
        <v>69</v>
      </c>
    </row>
    <row r="2020" spans="1:13" x14ac:dyDescent="0.3">
      <c r="A2020" t="s">
        <v>19</v>
      </c>
      <c r="B2020" t="s">
        <v>47</v>
      </c>
      <c r="C2020">
        <v>31.255236881429909</v>
      </c>
      <c r="D2020">
        <v>0.96918799640228004</v>
      </c>
      <c r="E2020">
        <v>2.0492318559113909</v>
      </c>
      <c r="F2020">
        <v>3.63836127775205</v>
      </c>
      <c r="G2020">
        <v>5.8939838917300227</v>
      </c>
      <c r="H2020">
        <v>21.406061959607069</v>
      </c>
      <c r="I2020">
        <v>29.38717782691112</v>
      </c>
      <c r="J2020">
        <v>25.795708860051541</v>
      </c>
      <c r="K2020">
        <v>733.74268519828786</v>
      </c>
      <c r="L2020">
        <v>-1</v>
      </c>
      <c r="M2020" t="s">
        <v>69</v>
      </c>
    </row>
    <row r="2021" spans="1:13" x14ac:dyDescent="0.3">
      <c r="A2021" t="s">
        <v>19</v>
      </c>
      <c r="B2021" t="s">
        <v>46</v>
      </c>
      <c r="C2021">
        <v>43.458805562319078</v>
      </c>
      <c r="D2021">
        <v>1.8398443908300379</v>
      </c>
      <c r="E2021">
        <v>2.8520570531295801</v>
      </c>
      <c r="F2021">
        <v>2.43213530413338</v>
      </c>
      <c r="G2021">
        <v>6.2805882317184416</v>
      </c>
      <c r="H2021">
        <v>21.413938562008671</v>
      </c>
      <c r="I2021">
        <v>29.522569468626099</v>
      </c>
      <c r="J2021">
        <v>25.996913906866329</v>
      </c>
      <c r="K2021">
        <v>732.62158728835198</v>
      </c>
      <c r="L2021">
        <v>-1</v>
      </c>
      <c r="M2021" t="s">
        <v>69</v>
      </c>
    </row>
    <row r="2022" spans="1:13" x14ac:dyDescent="0.3">
      <c r="A2022" t="s">
        <v>25</v>
      </c>
      <c r="B2022" t="s">
        <v>62</v>
      </c>
      <c r="C2022">
        <v>84.242989811620831</v>
      </c>
      <c r="D2022">
        <v>3.781269720790243</v>
      </c>
      <c r="E2022">
        <v>5.9346061716003202</v>
      </c>
      <c r="F2022">
        <v>15.520828290533061</v>
      </c>
      <c r="G2022">
        <v>6.7106297405708446</v>
      </c>
      <c r="H2022">
        <v>14.09733560837212</v>
      </c>
      <c r="I2022">
        <v>32.021469007547601</v>
      </c>
      <c r="J2022">
        <v>30.683813151637739</v>
      </c>
      <c r="K2022">
        <v>47.657757823496468</v>
      </c>
      <c r="L2022">
        <v>-1</v>
      </c>
      <c r="M2022" t="s">
        <v>69</v>
      </c>
    </row>
    <row r="2023" spans="1:13" x14ac:dyDescent="0.3">
      <c r="A2023" t="s">
        <v>24</v>
      </c>
      <c r="B2023" t="s">
        <v>59</v>
      </c>
      <c r="C2023">
        <v>358.20507586674552</v>
      </c>
      <c r="D2023">
        <v>17.558109266458342</v>
      </c>
      <c r="E2023">
        <v>28.265552156255769</v>
      </c>
      <c r="F2023">
        <v>57.669869964648299</v>
      </c>
      <c r="G2023">
        <v>5.2426105556039158</v>
      </c>
      <c r="H2023">
        <v>75.483548272613447</v>
      </c>
      <c r="I2023">
        <v>31.631932417209232</v>
      </c>
      <c r="J2023">
        <v>29.995684702616639</v>
      </c>
      <c r="K2023">
        <v>11</v>
      </c>
      <c r="L2023">
        <v>-1</v>
      </c>
      <c r="M2023" t="s">
        <v>69</v>
      </c>
    </row>
    <row r="2024" spans="1:13" x14ac:dyDescent="0.3">
      <c r="A2024" t="s">
        <v>19</v>
      </c>
      <c r="B2024" t="s">
        <v>46</v>
      </c>
      <c r="C2024">
        <v>28.049077664662828</v>
      </c>
      <c r="D2024">
        <v>1.0072675116864691</v>
      </c>
      <c r="E2024">
        <v>0.94627524490218651</v>
      </c>
      <c r="F2024">
        <v>3.4958843205883969</v>
      </c>
      <c r="G2024">
        <v>6.0112894039913174</v>
      </c>
      <c r="H2024">
        <v>19.869828746361161</v>
      </c>
      <c r="I2024">
        <v>31.47976775267108</v>
      </c>
      <c r="J2024">
        <v>26.707280285577191</v>
      </c>
      <c r="K2024">
        <v>732.41411265884688</v>
      </c>
      <c r="L2024">
        <v>-1</v>
      </c>
      <c r="M2024" t="s">
        <v>69</v>
      </c>
    </row>
    <row r="2025" spans="1:13" x14ac:dyDescent="0.3">
      <c r="A2025" t="s">
        <v>24</v>
      </c>
      <c r="B2025" t="s">
        <v>61</v>
      </c>
      <c r="C2025">
        <v>122.9989669159994</v>
      </c>
      <c r="D2025">
        <v>6.7767011822601546</v>
      </c>
      <c r="E2025">
        <v>6.9628588583628481</v>
      </c>
      <c r="F2025">
        <v>19.671573031975651</v>
      </c>
      <c r="G2025">
        <v>6.1555164743355384</v>
      </c>
      <c r="H2025">
        <v>21.186981453158761</v>
      </c>
      <c r="I2025">
        <v>31.096506803136659</v>
      </c>
      <c r="J2025">
        <v>30.70699156892978</v>
      </c>
      <c r="K2025">
        <v>46.919608720986389</v>
      </c>
      <c r="L2025">
        <v>-1</v>
      </c>
      <c r="M2025" t="s">
        <v>69</v>
      </c>
    </row>
    <row r="2026" spans="1:13" x14ac:dyDescent="0.3">
      <c r="A2026" t="s">
        <v>24</v>
      </c>
      <c r="B2026" t="s">
        <v>60</v>
      </c>
      <c r="C2026">
        <v>524.18414284154915</v>
      </c>
      <c r="D2026">
        <v>24.154101559125341</v>
      </c>
      <c r="E2026">
        <v>40.554028537113012</v>
      </c>
      <c r="F2026">
        <v>90.246290764974844</v>
      </c>
      <c r="G2026">
        <v>5.3175564273937912</v>
      </c>
      <c r="H2026">
        <v>65.58938938438267</v>
      </c>
      <c r="I2026">
        <v>32.028324356135982</v>
      </c>
      <c r="J2026">
        <v>30.7371176917216</v>
      </c>
      <c r="K2026">
        <v>11</v>
      </c>
      <c r="L2026">
        <v>-1</v>
      </c>
      <c r="M2026" t="s">
        <v>69</v>
      </c>
    </row>
    <row r="2027" spans="1:13" x14ac:dyDescent="0.3">
      <c r="A2027" t="s">
        <v>24</v>
      </c>
      <c r="B2027" t="s">
        <v>61</v>
      </c>
      <c r="C2027">
        <v>350.68743612758868</v>
      </c>
      <c r="D2027">
        <v>16.379596460595309</v>
      </c>
      <c r="E2027">
        <v>26.4577892516009</v>
      </c>
      <c r="F2027">
        <v>52.143056593569263</v>
      </c>
      <c r="G2027">
        <v>4.5781014964195972</v>
      </c>
      <c r="H2027">
        <v>57.215204590621937</v>
      </c>
      <c r="I2027">
        <v>30.005130967391509</v>
      </c>
      <c r="J2027">
        <v>31.783154675809872</v>
      </c>
      <c r="K2027">
        <v>14.08497675113972</v>
      </c>
      <c r="L2027">
        <v>-1</v>
      </c>
      <c r="M2027" t="s">
        <v>69</v>
      </c>
    </row>
    <row r="2028" spans="1:13" x14ac:dyDescent="0.3">
      <c r="A2028" t="s">
        <v>24</v>
      </c>
      <c r="B2028" t="s">
        <v>61</v>
      </c>
      <c r="C2028">
        <v>347.0331893844338</v>
      </c>
      <c r="D2028">
        <v>18.983511533772781</v>
      </c>
      <c r="E2028">
        <v>20.993499243414441</v>
      </c>
      <c r="F2028">
        <v>60.224020486184372</v>
      </c>
      <c r="G2028">
        <v>4.3</v>
      </c>
      <c r="H2028">
        <v>59.5513353097802</v>
      </c>
      <c r="I2028">
        <v>30.137955482694299</v>
      </c>
      <c r="J2028">
        <v>32.623750170621193</v>
      </c>
      <c r="K2028">
        <v>14.235091323074361</v>
      </c>
      <c r="L2028">
        <v>-1</v>
      </c>
      <c r="M2028" t="s">
        <v>69</v>
      </c>
    </row>
    <row r="2029" spans="1:13" x14ac:dyDescent="0.3">
      <c r="A2029" t="s">
        <v>24</v>
      </c>
      <c r="B2029" t="s">
        <v>59</v>
      </c>
      <c r="C2029">
        <v>342.62220037986378</v>
      </c>
      <c r="D2029">
        <v>16.669759674539559</v>
      </c>
      <c r="E2029">
        <v>23.077881323042359</v>
      </c>
      <c r="F2029">
        <v>57.302780316016531</v>
      </c>
      <c r="G2029">
        <v>5.0411235449201879</v>
      </c>
      <c r="H2029">
        <v>73.615627997773345</v>
      </c>
      <c r="I2029">
        <v>30.91941854408849</v>
      </c>
      <c r="J2029">
        <v>31.187324773180318</v>
      </c>
      <c r="K2029">
        <v>11.084152236207499</v>
      </c>
      <c r="L2029">
        <v>-1</v>
      </c>
      <c r="M2029" t="s">
        <v>69</v>
      </c>
    </row>
    <row r="2030" spans="1:13" x14ac:dyDescent="0.3">
      <c r="A2030" t="s">
        <v>24</v>
      </c>
      <c r="B2030" t="s">
        <v>61</v>
      </c>
      <c r="C2030">
        <v>334.81560566408359</v>
      </c>
      <c r="D2030">
        <v>17.191400456562551</v>
      </c>
      <c r="E2030">
        <v>22.124854694133958</v>
      </c>
      <c r="F2030">
        <v>55.792627909923247</v>
      </c>
      <c r="G2030">
        <v>4.3075613456006341</v>
      </c>
      <c r="H2030">
        <v>61.374320354960624</v>
      </c>
      <c r="I2030">
        <v>29.56400149976686</v>
      </c>
      <c r="J2030">
        <v>28.861330349464971</v>
      </c>
      <c r="K2030">
        <v>14.10606601725976</v>
      </c>
      <c r="L2030">
        <v>-1</v>
      </c>
      <c r="M2030" t="s">
        <v>69</v>
      </c>
    </row>
    <row r="2031" spans="1:13" x14ac:dyDescent="0.3">
      <c r="A2031" t="s">
        <v>24</v>
      </c>
      <c r="B2031" t="s">
        <v>61</v>
      </c>
      <c r="C2031">
        <v>77.782832694922973</v>
      </c>
      <c r="D2031">
        <v>4.1263703187334837</v>
      </c>
      <c r="E2031">
        <v>4.9501631876721239</v>
      </c>
      <c r="F2031">
        <v>12.195838094061781</v>
      </c>
      <c r="G2031">
        <v>6.1534696331334029</v>
      </c>
      <c r="H2031">
        <v>14.756400547543009</v>
      </c>
      <c r="I2031">
        <v>34.379182596922618</v>
      </c>
      <c r="J2031">
        <v>31.200334440316521</v>
      </c>
      <c r="K2031">
        <v>47.087473188380727</v>
      </c>
      <c r="L2031">
        <v>-1</v>
      </c>
      <c r="M2031" t="s">
        <v>69</v>
      </c>
    </row>
    <row r="2032" spans="1:13" x14ac:dyDescent="0.3">
      <c r="A2032" t="s">
        <v>25</v>
      </c>
      <c r="B2032" t="s">
        <v>62</v>
      </c>
      <c r="C2032">
        <v>87.389743738158742</v>
      </c>
      <c r="D2032">
        <v>4.4030330505192161</v>
      </c>
      <c r="E2032">
        <v>5.2836061896026933</v>
      </c>
      <c r="F2032">
        <v>13.27797930504963</v>
      </c>
      <c r="G2032">
        <v>6.6673130807472658</v>
      </c>
      <c r="H2032">
        <v>13.9</v>
      </c>
      <c r="I2032">
        <v>32.139818600272328</v>
      </c>
      <c r="J2032">
        <v>30.958587643362911</v>
      </c>
      <c r="K2032">
        <v>47.957883864115047</v>
      </c>
      <c r="L2032">
        <v>-1</v>
      </c>
      <c r="M2032" t="s">
        <v>69</v>
      </c>
    </row>
    <row r="2033" spans="1:13" x14ac:dyDescent="0.3">
      <c r="A2033" t="s">
        <v>19</v>
      </c>
      <c r="B2033" t="s">
        <v>46</v>
      </c>
      <c r="C2033">
        <v>27.562537450149112</v>
      </c>
      <c r="D2033">
        <v>0.98859593244886002</v>
      </c>
      <c r="E2033">
        <v>0.96022860521020537</v>
      </c>
      <c r="F2033">
        <v>3.8878501873729689</v>
      </c>
      <c r="G2033">
        <v>6.0389646628453209</v>
      </c>
      <c r="H2033">
        <v>19.77312614178366</v>
      </c>
      <c r="I2033">
        <v>30.653400638451028</v>
      </c>
      <c r="J2033">
        <v>26.98369273752531</v>
      </c>
      <c r="K2033">
        <v>723.50531689164279</v>
      </c>
      <c r="L2033">
        <v>-1</v>
      </c>
      <c r="M2033" t="s">
        <v>69</v>
      </c>
    </row>
    <row r="2034" spans="1:13" x14ac:dyDescent="0.3">
      <c r="A2034" t="s">
        <v>24</v>
      </c>
      <c r="B2034" t="s">
        <v>61</v>
      </c>
      <c r="C2034">
        <v>348.03474990861469</v>
      </c>
      <c r="D2034">
        <v>16.651468164086371</v>
      </c>
      <c r="E2034">
        <v>22.24917105415043</v>
      </c>
      <c r="F2034">
        <v>54.591325052095151</v>
      </c>
      <c r="G2034">
        <v>4.5922406527765762</v>
      </c>
      <c r="H2034">
        <v>55.770545582948358</v>
      </c>
      <c r="I2034">
        <v>30.019482865433108</v>
      </c>
      <c r="J2034">
        <v>30.660670038025991</v>
      </c>
      <c r="K2034">
        <v>14.32957315549811</v>
      </c>
      <c r="L2034">
        <v>-1</v>
      </c>
      <c r="M2034" t="s">
        <v>69</v>
      </c>
    </row>
    <row r="2035" spans="1:13" x14ac:dyDescent="0.3">
      <c r="A2035" t="s">
        <v>24</v>
      </c>
      <c r="B2035" t="s">
        <v>61</v>
      </c>
      <c r="C2035">
        <v>131.25558257414889</v>
      </c>
      <c r="D2035">
        <v>5.8067195958707112</v>
      </c>
      <c r="E2035">
        <v>8.2292126636333762</v>
      </c>
      <c r="F2035">
        <v>21.403001899294591</v>
      </c>
      <c r="G2035">
        <v>6.2979942874735393</v>
      </c>
      <c r="H2035">
        <v>18.706477266345281</v>
      </c>
      <c r="I2035">
        <v>30.094123793174941</v>
      </c>
      <c r="J2035">
        <v>31.17272853939016</v>
      </c>
      <c r="K2035">
        <v>47.446828693664202</v>
      </c>
      <c r="L2035">
        <v>-1</v>
      </c>
      <c r="M2035" t="s">
        <v>69</v>
      </c>
    </row>
    <row r="2036" spans="1:13" x14ac:dyDescent="0.3">
      <c r="A2036" t="s">
        <v>25</v>
      </c>
      <c r="B2036" t="s">
        <v>62</v>
      </c>
      <c r="C2036">
        <v>99.1569201319613</v>
      </c>
      <c r="D2036">
        <v>4.4849080611261112</v>
      </c>
      <c r="E2036">
        <v>6.9765596802167051</v>
      </c>
      <c r="F2036">
        <v>14.311226586456289</v>
      </c>
      <c r="G2036">
        <v>6.8009042625244334</v>
      </c>
      <c r="H2036">
        <v>14.02752714123586</v>
      </c>
      <c r="I2036">
        <v>33.65184964330119</v>
      </c>
      <c r="J2036">
        <v>30.73809677131252</v>
      </c>
      <c r="K2036">
        <v>46.896174793649607</v>
      </c>
      <c r="L2036">
        <v>-1</v>
      </c>
      <c r="M2036" t="s">
        <v>69</v>
      </c>
    </row>
    <row r="2037" spans="1:13" x14ac:dyDescent="0.3">
      <c r="A2037" t="s">
        <v>24</v>
      </c>
      <c r="B2037" t="s">
        <v>61</v>
      </c>
      <c r="C2037">
        <v>131.02652762663271</v>
      </c>
      <c r="D2037">
        <v>5.1019133212563688</v>
      </c>
      <c r="E2037">
        <v>6.6469593636480164</v>
      </c>
      <c r="F2037">
        <v>19.68851448953432</v>
      </c>
      <c r="G2037">
        <v>6.3809686711533784</v>
      </c>
      <c r="H2037">
        <v>18.83526771468901</v>
      </c>
      <c r="I2037">
        <v>30.685595544919661</v>
      </c>
      <c r="J2037">
        <v>30.274065056730709</v>
      </c>
      <c r="K2037">
        <v>48.383665404839348</v>
      </c>
      <c r="L2037">
        <v>-1</v>
      </c>
      <c r="M2037" t="s">
        <v>69</v>
      </c>
    </row>
    <row r="2038" spans="1:13" x14ac:dyDescent="0.3">
      <c r="A2038" t="s">
        <v>24</v>
      </c>
      <c r="B2038" t="s">
        <v>59</v>
      </c>
      <c r="C2038">
        <v>337.57511587538539</v>
      </c>
      <c r="D2038">
        <v>18.694470086767708</v>
      </c>
      <c r="E2038">
        <v>23.732522879895068</v>
      </c>
      <c r="F2038">
        <v>54.150080686111338</v>
      </c>
      <c r="G2038">
        <v>5.3466535552076948</v>
      </c>
      <c r="H2038">
        <v>71.265597552372469</v>
      </c>
      <c r="I2038">
        <v>30.464923769753899</v>
      </c>
      <c r="J2038">
        <v>31.306250698158319</v>
      </c>
      <c r="K2038">
        <v>11.031380931779269</v>
      </c>
      <c r="L2038">
        <v>-1</v>
      </c>
      <c r="M2038" t="s">
        <v>69</v>
      </c>
    </row>
    <row r="2039" spans="1:13" x14ac:dyDescent="0.3">
      <c r="A2039" t="s">
        <v>25</v>
      </c>
      <c r="B2039" t="s">
        <v>62</v>
      </c>
      <c r="C2039">
        <v>86.163941388582629</v>
      </c>
      <c r="D2039">
        <v>4.015801080517222</v>
      </c>
      <c r="E2039">
        <v>5.7349712163211226</v>
      </c>
      <c r="F2039">
        <v>15.152469649278061</v>
      </c>
      <c r="G2039">
        <v>6.6540973417440972</v>
      </c>
      <c r="H2039">
        <v>14.059112082254689</v>
      </c>
      <c r="I2039">
        <v>31.305406087563188</v>
      </c>
      <c r="J2039">
        <v>30.332883503943961</v>
      </c>
      <c r="K2039">
        <v>47.255590673380077</v>
      </c>
      <c r="L2039">
        <v>-1</v>
      </c>
      <c r="M2039" t="s">
        <v>69</v>
      </c>
    </row>
    <row r="2040" spans="1:13" x14ac:dyDescent="0.3">
      <c r="A2040" t="s">
        <v>24</v>
      </c>
      <c r="B2040" t="s">
        <v>61</v>
      </c>
      <c r="C2040">
        <v>128.4969422032012</v>
      </c>
      <c r="D2040">
        <v>6.8611576142772073</v>
      </c>
      <c r="E2040">
        <v>8.9518554066230145</v>
      </c>
      <c r="F2040">
        <v>17.50907454552247</v>
      </c>
      <c r="G2040">
        <v>6.4642173278125288</v>
      </c>
      <c r="H2040">
        <v>20.9470857748702</v>
      </c>
      <c r="I2040">
        <v>30.654882364753771</v>
      </c>
      <c r="J2040">
        <v>30.972022721235799</v>
      </c>
      <c r="K2040">
        <v>48.577568481582603</v>
      </c>
      <c r="L2040">
        <v>-1</v>
      </c>
      <c r="M2040" t="s">
        <v>69</v>
      </c>
    </row>
    <row r="2041" spans="1:13" x14ac:dyDescent="0.3">
      <c r="A2041" t="s">
        <v>24</v>
      </c>
      <c r="B2041" t="s">
        <v>60</v>
      </c>
      <c r="C2041">
        <v>523.03755382499776</v>
      </c>
      <c r="D2041">
        <v>23.25377582856818</v>
      </c>
      <c r="E2041">
        <v>35.263835864289391</v>
      </c>
      <c r="F2041">
        <v>83.13684092181839</v>
      </c>
      <c r="G2041">
        <v>5.4317193159886656</v>
      </c>
      <c r="H2041">
        <v>62.011974250536198</v>
      </c>
      <c r="I2041">
        <v>30.091359855258791</v>
      </c>
      <c r="J2041">
        <v>31.601899057679098</v>
      </c>
      <c r="K2041">
        <v>11.20521358787096</v>
      </c>
      <c r="L2041">
        <v>-1</v>
      </c>
      <c r="M2041" t="s">
        <v>69</v>
      </c>
    </row>
    <row r="2042" spans="1:13" x14ac:dyDescent="0.3">
      <c r="A2042" t="s">
        <v>24</v>
      </c>
      <c r="B2042" t="s">
        <v>61</v>
      </c>
      <c r="C2042">
        <v>330.66693609173097</v>
      </c>
      <c r="D2042">
        <v>16.096100561380879</v>
      </c>
      <c r="E2042">
        <v>22.642680034794822</v>
      </c>
      <c r="F2042">
        <v>49.388081719505983</v>
      </c>
      <c r="G2042">
        <v>4.3</v>
      </c>
      <c r="H2042">
        <v>57.61483725182616</v>
      </c>
      <c r="I2042">
        <v>29.31672127493233</v>
      </c>
      <c r="J2042">
        <v>31.37123639975924</v>
      </c>
      <c r="K2042">
        <v>13.981686227318511</v>
      </c>
      <c r="L2042">
        <v>-1</v>
      </c>
      <c r="M2042" t="s">
        <v>69</v>
      </c>
    </row>
    <row r="2043" spans="1:13" x14ac:dyDescent="0.3">
      <c r="A2043" t="s">
        <v>24</v>
      </c>
      <c r="B2043" t="s">
        <v>61</v>
      </c>
      <c r="C2043">
        <v>344.3701249265622</v>
      </c>
      <c r="D2043">
        <v>18.65490017141218</v>
      </c>
      <c r="E2043">
        <v>21.247793300004538</v>
      </c>
      <c r="F2043">
        <v>66.054470864791028</v>
      </c>
      <c r="G2043">
        <v>4.3420010425797786</v>
      </c>
      <c r="H2043">
        <v>60.178872314672127</v>
      </c>
      <c r="I2043">
        <v>30.16007458813846</v>
      </c>
      <c r="J2043">
        <v>32.620099362286851</v>
      </c>
      <c r="K2043">
        <v>14.21684469768411</v>
      </c>
      <c r="L2043">
        <v>-1</v>
      </c>
      <c r="M2043" t="s">
        <v>69</v>
      </c>
    </row>
    <row r="2044" spans="1:13" x14ac:dyDescent="0.3">
      <c r="A2044" t="s">
        <v>24</v>
      </c>
      <c r="B2044" t="s">
        <v>60</v>
      </c>
      <c r="C2044">
        <v>517.52393344870075</v>
      </c>
      <c r="D2044">
        <v>23.818591256505069</v>
      </c>
      <c r="E2044">
        <v>39.153239998654954</v>
      </c>
      <c r="F2044">
        <v>88.393209919292872</v>
      </c>
      <c r="G2044">
        <v>5.438831576645871</v>
      </c>
      <c r="H2044">
        <v>67.682898128897705</v>
      </c>
      <c r="I2044">
        <v>30.942851311248429</v>
      </c>
      <c r="J2044">
        <v>31.81812358588488</v>
      </c>
      <c r="K2044">
        <v>11</v>
      </c>
      <c r="L2044">
        <v>-1</v>
      </c>
      <c r="M2044" t="s">
        <v>69</v>
      </c>
    </row>
    <row r="2045" spans="1:13" x14ac:dyDescent="0.3">
      <c r="A2045" t="s">
        <v>24</v>
      </c>
      <c r="B2045" t="s">
        <v>61</v>
      </c>
      <c r="C2045">
        <v>74.721763584446407</v>
      </c>
      <c r="D2045">
        <v>4.368762267642583</v>
      </c>
      <c r="E2045">
        <v>4.7018084877653434</v>
      </c>
      <c r="F2045">
        <v>11.822949942058809</v>
      </c>
      <c r="G2045">
        <v>5.9583175580014656</v>
      </c>
      <c r="H2045">
        <v>14.04569655923811</v>
      </c>
      <c r="I2045">
        <v>34.982009058304612</v>
      </c>
      <c r="J2045">
        <v>31.705157949686171</v>
      </c>
      <c r="K2045">
        <v>48.174551723438753</v>
      </c>
      <c r="L2045">
        <v>-1</v>
      </c>
      <c r="M2045" t="s">
        <v>69</v>
      </c>
    </row>
    <row r="2046" spans="1:13" x14ac:dyDescent="0.3">
      <c r="A2046" t="s">
        <v>24</v>
      </c>
      <c r="B2046" t="s">
        <v>60</v>
      </c>
      <c r="C2046">
        <v>509.19712966501697</v>
      </c>
      <c r="D2046">
        <v>21.628007686584429</v>
      </c>
      <c r="E2046">
        <v>38.017927130688641</v>
      </c>
      <c r="F2046">
        <v>83.145680340589507</v>
      </c>
      <c r="G2046">
        <v>5.2701809980831298</v>
      </c>
      <c r="H2046">
        <v>67.254979315339483</v>
      </c>
      <c r="I2046">
        <v>31.676631197023571</v>
      </c>
      <c r="J2046">
        <v>31.586658224652449</v>
      </c>
      <c r="K2046">
        <v>11.0136143308996</v>
      </c>
      <c r="L2046">
        <v>-1</v>
      </c>
      <c r="M2046" t="s">
        <v>69</v>
      </c>
    </row>
    <row r="2047" spans="1:13" x14ac:dyDescent="0.3">
      <c r="A2047" t="s">
        <v>24</v>
      </c>
      <c r="B2047" t="s">
        <v>59</v>
      </c>
      <c r="C2047">
        <v>354.0686056009103</v>
      </c>
      <c r="D2047">
        <v>18.439293085632421</v>
      </c>
      <c r="E2047">
        <v>22.682510944482029</v>
      </c>
      <c r="F2047">
        <v>50.727988470026688</v>
      </c>
      <c r="G2047">
        <v>5.3427810314638542</v>
      </c>
      <c r="H2047">
        <v>73.384106693781504</v>
      </c>
      <c r="I2047">
        <v>30.470095136282279</v>
      </c>
      <c r="J2047">
        <v>30.99357328981959</v>
      </c>
      <c r="K2047">
        <v>11</v>
      </c>
      <c r="L2047">
        <v>-1</v>
      </c>
      <c r="M2047" t="s">
        <v>69</v>
      </c>
    </row>
    <row r="2048" spans="1:13" x14ac:dyDescent="0.3">
      <c r="A2048" t="s">
        <v>24</v>
      </c>
      <c r="B2048" t="s">
        <v>60</v>
      </c>
      <c r="C2048">
        <v>499.53932633066728</v>
      </c>
      <c r="D2048">
        <v>23.173839417971021</v>
      </c>
      <c r="E2048">
        <v>37.027558159790857</v>
      </c>
      <c r="F2048">
        <v>80.301075128497672</v>
      </c>
      <c r="G2048">
        <v>5.5024235446322907</v>
      </c>
      <c r="H2048">
        <v>64.972275715170454</v>
      </c>
      <c r="I2048">
        <v>30.99410587950215</v>
      </c>
      <c r="J2048">
        <v>29.92147264461137</v>
      </c>
      <c r="K2048">
        <v>11.124225613550831</v>
      </c>
      <c r="L2048">
        <v>-1</v>
      </c>
      <c r="M2048" t="s">
        <v>69</v>
      </c>
    </row>
    <row r="2049" spans="1:13" x14ac:dyDescent="0.3">
      <c r="A2049" t="s">
        <v>24</v>
      </c>
      <c r="B2049" t="s">
        <v>61</v>
      </c>
      <c r="C2049">
        <v>75.587366107816734</v>
      </c>
      <c r="D2049">
        <v>4.1124903686532237</v>
      </c>
      <c r="E2049">
        <v>4.9409827462401523</v>
      </c>
      <c r="F2049">
        <v>12.437493918598539</v>
      </c>
      <c r="G2049">
        <v>6.0995465220749638</v>
      </c>
      <c r="H2049">
        <v>14.716016800292991</v>
      </c>
      <c r="I2049">
        <v>34.198525540345933</v>
      </c>
      <c r="J2049">
        <v>31.70513582055375</v>
      </c>
      <c r="K2049">
        <v>47.032594213098491</v>
      </c>
      <c r="L2049">
        <v>-1</v>
      </c>
      <c r="M2049" t="s">
        <v>69</v>
      </c>
    </row>
    <row r="2050" spans="1:13" x14ac:dyDescent="0.3">
      <c r="A2050" t="s">
        <v>24</v>
      </c>
      <c r="B2050" t="s">
        <v>61</v>
      </c>
      <c r="C2050">
        <v>124.1767421061666</v>
      </c>
      <c r="D2050">
        <v>6.1271260703441763</v>
      </c>
      <c r="E2050">
        <v>8.1115698937404215</v>
      </c>
      <c r="F2050">
        <v>21.70289524810989</v>
      </c>
      <c r="G2050">
        <v>6.1478511578933643</v>
      </c>
      <c r="H2050">
        <v>21.010176953632939</v>
      </c>
      <c r="I2050">
        <v>31.124347560525951</v>
      </c>
      <c r="J2050">
        <v>30.969749978931269</v>
      </c>
      <c r="K2050">
        <v>48.297577207012409</v>
      </c>
      <c r="L2050">
        <v>-1</v>
      </c>
      <c r="M2050" t="s">
        <v>69</v>
      </c>
    </row>
    <row r="2051" spans="1:13" x14ac:dyDescent="0.3">
      <c r="A2051" t="s">
        <v>24</v>
      </c>
      <c r="B2051" t="s">
        <v>58</v>
      </c>
      <c r="C2051">
        <v>30.193500024033341</v>
      </c>
      <c r="D2051">
        <v>1.0157722735128849</v>
      </c>
      <c r="E2051">
        <v>2.0100598755999899</v>
      </c>
      <c r="F2051">
        <v>4.4748514206811869</v>
      </c>
      <c r="G2051">
        <v>6.1588371241713276</v>
      </c>
      <c r="H2051">
        <v>22.229859117114579</v>
      </c>
      <c r="I2051">
        <v>29.917157051313701</v>
      </c>
      <c r="J2051">
        <v>25.909488855546918</v>
      </c>
      <c r="K2051">
        <v>754.82123529809564</v>
      </c>
      <c r="L2051">
        <v>-1</v>
      </c>
      <c r="M2051" t="s">
        <v>69</v>
      </c>
    </row>
    <row r="2052" spans="1:13" x14ac:dyDescent="0.3">
      <c r="A2052" t="s">
        <v>24</v>
      </c>
      <c r="B2052" t="s">
        <v>58</v>
      </c>
      <c r="C2052">
        <v>34.88508247445089</v>
      </c>
      <c r="D2052">
        <v>1.10655021044942</v>
      </c>
      <c r="E2052">
        <v>2.3072491463394309</v>
      </c>
      <c r="F2052">
        <v>3.7435048706803489</v>
      </c>
      <c r="G2052">
        <v>6.0258408970628059</v>
      </c>
      <c r="H2052">
        <v>22.01279315594433</v>
      </c>
      <c r="I2052">
        <v>30.33274239329381</v>
      </c>
      <c r="J2052">
        <v>25.884428805405271</v>
      </c>
      <c r="K2052">
        <v>754.55891192053798</v>
      </c>
      <c r="L2052">
        <v>-1</v>
      </c>
      <c r="M2052" t="s">
        <v>69</v>
      </c>
    </row>
    <row r="2053" spans="1:13" x14ac:dyDescent="0.3">
      <c r="A2053" t="s">
        <v>24</v>
      </c>
      <c r="B2053" t="s">
        <v>60</v>
      </c>
      <c r="C2053">
        <v>518.57953674274245</v>
      </c>
      <c r="D2053">
        <v>24.518888223285899</v>
      </c>
      <c r="E2053">
        <v>39.654412537115363</v>
      </c>
      <c r="F2053">
        <v>84.94834525267035</v>
      </c>
      <c r="G2053">
        <v>5.4493793345114714</v>
      </c>
      <c r="H2053">
        <v>67.848554406738614</v>
      </c>
      <c r="I2053">
        <v>31.213233360550621</v>
      </c>
      <c r="J2053">
        <v>30.946553464610101</v>
      </c>
      <c r="K2053">
        <v>11.013695455423431</v>
      </c>
      <c r="L2053">
        <v>-1</v>
      </c>
      <c r="M2053" t="s">
        <v>69</v>
      </c>
    </row>
    <row r="2054" spans="1:13" x14ac:dyDescent="0.3">
      <c r="A2054" t="s">
        <v>24</v>
      </c>
      <c r="B2054" t="s">
        <v>61</v>
      </c>
      <c r="C2054">
        <v>125.4548019272365</v>
      </c>
      <c r="D2054">
        <v>6.2841798965942299</v>
      </c>
      <c r="E2054">
        <v>8.2999604805413387</v>
      </c>
      <c r="F2054">
        <v>19.228252922839669</v>
      </c>
      <c r="G2054">
        <v>6.3518469980512906</v>
      </c>
      <c r="H2054">
        <v>20.446679221512021</v>
      </c>
      <c r="I2054">
        <v>30.775629712994441</v>
      </c>
      <c r="J2054">
        <v>30.997376020683959</v>
      </c>
      <c r="K2054">
        <v>48.162727126761183</v>
      </c>
      <c r="L2054">
        <v>-1</v>
      </c>
      <c r="M2054" t="s">
        <v>69</v>
      </c>
    </row>
    <row r="2055" spans="1:13" x14ac:dyDescent="0.3">
      <c r="A2055" t="s">
        <v>24</v>
      </c>
      <c r="B2055" t="s">
        <v>61</v>
      </c>
      <c r="C2055">
        <v>325.47239616770332</v>
      </c>
      <c r="D2055">
        <v>16.574526166680879</v>
      </c>
      <c r="E2055">
        <v>22.83403913474557</v>
      </c>
      <c r="F2055">
        <v>45.365290434263031</v>
      </c>
      <c r="G2055">
        <v>4.3069257254785702</v>
      </c>
      <c r="H2055">
        <v>58.96968053598394</v>
      </c>
      <c r="I2055">
        <v>29.009426453946499</v>
      </c>
      <c r="J2055">
        <v>31.709273274540159</v>
      </c>
      <c r="K2055">
        <v>13.948976957916329</v>
      </c>
      <c r="L2055">
        <v>-1</v>
      </c>
      <c r="M2055" t="s">
        <v>69</v>
      </c>
    </row>
    <row r="2056" spans="1:13" x14ac:dyDescent="0.3">
      <c r="A2056" t="s">
        <v>24</v>
      </c>
      <c r="B2056" t="s">
        <v>61</v>
      </c>
      <c r="C2056">
        <v>663.07330586563648</v>
      </c>
      <c r="D2056">
        <v>32.070084864493793</v>
      </c>
      <c r="E2056">
        <v>48.807592197119227</v>
      </c>
      <c r="F2056">
        <v>110.2299846195653</v>
      </c>
      <c r="G2056">
        <v>6.1088265385548128</v>
      </c>
      <c r="H2056">
        <v>73.582079404784821</v>
      </c>
      <c r="I2056">
        <v>29.854676982025701</v>
      </c>
      <c r="J2056">
        <v>30.041677384549519</v>
      </c>
      <c r="K2056">
        <v>11.093810893467211</v>
      </c>
      <c r="L2056">
        <v>-1</v>
      </c>
      <c r="M2056" t="s">
        <v>69</v>
      </c>
    </row>
    <row r="2057" spans="1:13" x14ac:dyDescent="0.3">
      <c r="A2057" t="s">
        <v>24</v>
      </c>
      <c r="B2057" t="s">
        <v>59</v>
      </c>
      <c r="C2057">
        <v>345.54272249171117</v>
      </c>
      <c r="D2057">
        <v>16.417017240430098</v>
      </c>
      <c r="E2057">
        <v>24.298936922002881</v>
      </c>
      <c r="F2057">
        <v>54.984828008564477</v>
      </c>
      <c r="G2057">
        <v>5.2161077340566724</v>
      </c>
      <c r="H2057">
        <v>74.963859724933428</v>
      </c>
      <c r="I2057">
        <v>29.842574578423459</v>
      </c>
      <c r="J2057">
        <v>30.870658022717489</v>
      </c>
      <c r="K2057">
        <v>11.26542089898749</v>
      </c>
      <c r="L2057">
        <v>-1</v>
      </c>
      <c r="M2057" t="s">
        <v>69</v>
      </c>
    </row>
    <row r="2058" spans="1:13" x14ac:dyDescent="0.3">
      <c r="A2058" t="s">
        <v>24</v>
      </c>
      <c r="B2058" t="s">
        <v>61</v>
      </c>
      <c r="C2058">
        <v>79.281200566192325</v>
      </c>
      <c r="D2058">
        <v>4.0195674906520349</v>
      </c>
      <c r="E2058">
        <v>5.2751748933647882</v>
      </c>
      <c r="F2058">
        <v>13.141663984959051</v>
      </c>
      <c r="G2058">
        <v>6.2346346602064946</v>
      </c>
      <c r="H2058">
        <v>14.77190656862585</v>
      </c>
      <c r="I2058">
        <v>34.791773003764227</v>
      </c>
      <c r="J2058">
        <v>31.303127525644051</v>
      </c>
      <c r="K2058">
        <v>47.321153268838543</v>
      </c>
      <c r="L2058">
        <v>-1</v>
      </c>
      <c r="M2058" t="s">
        <v>69</v>
      </c>
    </row>
    <row r="2059" spans="1:13" x14ac:dyDescent="0.3">
      <c r="A2059" t="s">
        <v>24</v>
      </c>
      <c r="B2059" t="s">
        <v>60</v>
      </c>
      <c r="C2059">
        <v>509.15327237427903</v>
      </c>
      <c r="D2059">
        <v>21.626791367046799</v>
      </c>
      <c r="E2059">
        <v>38.001943613228349</v>
      </c>
      <c r="F2059">
        <v>83.130475997888141</v>
      </c>
      <c r="G2059">
        <v>5.2722091640144662</v>
      </c>
      <c r="H2059">
        <v>67.219534016561852</v>
      </c>
      <c r="I2059">
        <v>31.66361844797218</v>
      </c>
      <c r="J2059">
        <v>31.582884119703952</v>
      </c>
      <c r="K2059">
        <v>11.014982081165501</v>
      </c>
      <c r="L2059">
        <v>-1</v>
      </c>
      <c r="M2059" t="s">
        <v>69</v>
      </c>
    </row>
    <row r="2060" spans="1:13" x14ac:dyDescent="0.3">
      <c r="A2060" t="s">
        <v>19</v>
      </c>
      <c r="B2060" t="s">
        <v>47</v>
      </c>
      <c r="C2060">
        <v>32.171514359931102</v>
      </c>
      <c r="D2060">
        <v>0.82169850422778001</v>
      </c>
      <c r="E2060">
        <v>1.9012133141254199</v>
      </c>
      <c r="F2060">
        <v>3.8433059130143392</v>
      </c>
      <c r="G2060">
        <v>5.9410072612114764</v>
      </c>
      <c r="H2060">
        <v>20.35553713158059</v>
      </c>
      <c r="I2060">
        <v>28.728753158637591</v>
      </c>
      <c r="J2060">
        <v>25.983747749979649</v>
      </c>
      <c r="K2060">
        <v>727.26470728778281</v>
      </c>
      <c r="L2060">
        <v>-1</v>
      </c>
      <c r="M2060" t="s">
        <v>69</v>
      </c>
    </row>
    <row r="2061" spans="1:13" x14ac:dyDescent="0.3">
      <c r="A2061" t="s">
        <v>24</v>
      </c>
      <c r="B2061" t="s">
        <v>61</v>
      </c>
      <c r="C2061">
        <v>189.43546649269459</v>
      </c>
      <c r="D2061">
        <v>8.3982822779759037</v>
      </c>
      <c r="E2061">
        <v>12.32827340862392</v>
      </c>
      <c r="F2061">
        <v>29.0004315604338</v>
      </c>
      <c r="G2061">
        <v>6.0835706072107394</v>
      </c>
      <c r="H2061">
        <v>23.86377581336016</v>
      </c>
      <c r="I2061">
        <v>29.293670983086379</v>
      </c>
      <c r="J2061">
        <v>32.758916390894122</v>
      </c>
      <c r="K2061">
        <v>13.942991323979641</v>
      </c>
      <c r="L2061">
        <v>-1</v>
      </c>
      <c r="M2061" t="s">
        <v>69</v>
      </c>
    </row>
    <row r="2062" spans="1:13" x14ac:dyDescent="0.3">
      <c r="A2062" t="s">
        <v>24</v>
      </c>
      <c r="B2062" t="s">
        <v>60</v>
      </c>
      <c r="C2062">
        <v>571.98020557759901</v>
      </c>
      <c r="D2062">
        <v>31.887010975507639</v>
      </c>
      <c r="E2062">
        <v>42.744546756602652</v>
      </c>
      <c r="F2062">
        <v>89.958210851385758</v>
      </c>
      <c r="G2062">
        <v>6.1993780633517446</v>
      </c>
      <c r="H2062">
        <v>80.25537054992391</v>
      </c>
      <c r="I2062">
        <v>31.478262734769348</v>
      </c>
      <c r="J2062">
        <v>30.9621878620218</v>
      </c>
      <c r="K2062">
        <v>11</v>
      </c>
      <c r="L2062">
        <v>-1</v>
      </c>
      <c r="M2062" t="s">
        <v>69</v>
      </c>
    </row>
    <row r="2063" spans="1:13" x14ac:dyDescent="0.3">
      <c r="A2063" t="s">
        <v>24</v>
      </c>
      <c r="B2063" t="s">
        <v>61</v>
      </c>
      <c r="C2063">
        <v>350.83138306742518</v>
      </c>
      <c r="D2063">
        <v>19.251545021075621</v>
      </c>
      <c r="E2063">
        <v>20.735521659171091</v>
      </c>
      <c r="F2063">
        <v>62.908973193979413</v>
      </c>
      <c r="G2063">
        <v>4.3</v>
      </c>
      <c r="H2063">
        <v>60.460068733092072</v>
      </c>
      <c r="I2063">
        <v>30.18722957314796</v>
      </c>
      <c r="J2063">
        <v>32.92583075477215</v>
      </c>
      <c r="K2063">
        <v>14.337784068090739</v>
      </c>
      <c r="L2063">
        <v>-1</v>
      </c>
      <c r="M2063" t="s">
        <v>69</v>
      </c>
    </row>
    <row r="2064" spans="1:13" x14ac:dyDescent="0.3">
      <c r="A2064" t="s">
        <v>24</v>
      </c>
      <c r="B2064" t="s">
        <v>60</v>
      </c>
      <c r="C2064">
        <v>504.46114718513752</v>
      </c>
      <c r="D2064">
        <v>23.387025820770951</v>
      </c>
      <c r="E2064">
        <v>35.485411501460597</v>
      </c>
      <c r="F2064">
        <v>81.671469332055551</v>
      </c>
      <c r="G2064">
        <v>5.4543637874328752</v>
      </c>
      <c r="H2064">
        <v>63.989395082603963</v>
      </c>
      <c r="I2064">
        <v>30.579604730293859</v>
      </c>
      <c r="J2064">
        <v>31.05692047263798</v>
      </c>
      <c r="K2064">
        <v>11.08300367595416</v>
      </c>
      <c r="L2064">
        <v>-1</v>
      </c>
      <c r="M2064" t="s">
        <v>69</v>
      </c>
    </row>
    <row r="2065" spans="1:13" x14ac:dyDescent="0.3">
      <c r="A2065" t="s">
        <v>24</v>
      </c>
      <c r="B2065" t="s">
        <v>61</v>
      </c>
      <c r="C2065">
        <v>123.8328012501635</v>
      </c>
      <c r="D2065">
        <v>5.8048316847584971</v>
      </c>
      <c r="E2065">
        <v>8.0895022947864881</v>
      </c>
      <c r="F2065">
        <v>21.50931894939373</v>
      </c>
      <c r="G2065">
        <v>6.1204260201518492</v>
      </c>
      <c r="H2065">
        <v>21.199585962520938</v>
      </c>
      <c r="I2065">
        <v>30.945720257759351</v>
      </c>
      <c r="J2065">
        <v>30.94955448064276</v>
      </c>
      <c r="K2065">
        <v>48.221610161195493</v>
      </c>
      <c r="L2065">
        <v>-1</v>
      </c>
      <c r="M2065" t="s">
        <v>69</v>
      </c>
    </row>
    <row r="2066" spans="1:13" x14ac:dyDescent="0.3">
      <c r="A2066" t="s">
        <v>24</v>
      </c>
      <c r="B2066" t="s">
        <v>60</v>
      </c>
      <c r="C2066">
        <v>508.79112352494087</v>
      </c>
      <c r="D2066">
        <v>26.60304070822362</v>
      </c>
      <c r="E2066">
        <v>31.646727902473419</v>
      </c>
      <c r="F2066">
        <v>78.880632127214014</v>
      </c>
      <c r="G2066">
        <v>5.4364565469037434</v>
      </c>
      <c r="H2066">
        <v>64.345632743327371</v>
      </c>
      <c r="I2066">
        <v>31.320466886228171</v>
      </c>
      <c r="J2066">
        <v>32.205136141165951</v>
      </c>
      <c r="K2066">
        <v>11.30339420173755</v>
      </c>
      <c r="L2066">
        <v>-1</v>
      </c>
      <c r="M2066" t="s">
        <v>69</v>
      </c>
    </row>
    <row r="2067" spans="1:13" x14ac:dyDescent="0.3">
      <c r="A2067" t="s">
        <v>24</v>
      </c>
      <c r="B2067" t="s">
        <v>60</v>
      </c>
      <c r="C2067">
        <v>538.35569542389135</v>
      </c>
      <c r="D2067">
        <v>25.558393418403281</v>
      </c>
      <c r="E2067">
        <v>34.268485605692057</v>
      </c>
      <c r="F2067">
        <v>84.129235328057206</v>
      </c>
      <c r="G2067">
        <v>5.3502132129565831</v>
      </c>
      <c r="H2067">
        <v>62.304412886404478</v>
      </c>
      <c r="I2067">
        <v>30.153559134445612</v>
      </c>
      <c r="J2067">
        <v>31.976088804982851</v>
      </c>
      <c r="K2067">
        <v>11.18461296447254</v>
      </c>
      <c r="L2067">
        <v>-1</v>
      </c>
      <c r="M2067" t="s">
        <v>69</v>
      </c>
    </row>
    <row r="2068" spans="1:13" x14ac:dyDescent="0.3">
      <c r="A2068" t="s">
        <v>24</v>
      </c>
      <c r="B2068" t="s">
        <v>61</v>
      </c>
      <c r="C2068">
        <v>127.1448695474116</v>
      </c>
      <c r="D2068">
        <v>5.7324040021820917</v>
      </c>
      <c r="E2068">
        <v>8.292526267428304</v>
      </c>
      <c r="F2068">
        <v>19.11940293196983</v>
      </c>
      <c r="G2068">
        <v>6.3424955570502739</v>
      </c>
      <c r="H2068">
        <v>19.181272725567538</v>
      </c>
      <c r="I2068">
        <v>29.52677645241522</v>
      </c>
      <c r="J2068">
        <v>30.778807982309392</v>
      </c>
      <c r="K2068">
        <v>48.853514188858981</v>
      </c>
      <c r="L2068">
        <v>-1</v>
      </c>
      <c r="M2068" t="s">
        <v>69</v>
      </c>
    </row>
    <row r="2069" spans="1:13" x14ac:dyDescent="0.3">
      <c r="A2069" t="s">
        <v>24</v>
      </c>
      <c r="B2069" t="s">
        <v>61</v>
      </c>
      <c r="C2069">
        <v>696.45508382593084</v>
      </c>
      <c r="D2069">
        <v>36.35286008212789</v>
      </c>
      <c r="E2069">
        <v>47.555663867017103</v>
      </c>
      <c r="F2069">
        <v>112.2867614975395</v>
      </c>
      <c r="G2069">
        <v>6.0127271436406016</v>
      </c>
      <c r="H2069">
        <v>69.917951149381238</v>
      </c>
      <c r="I2069">
        <v>29.359786062072651</v>
      </c>
      <c r="J2069">
        <v>31.049873270048401</v>
      </c>
      <c r="K2069">
        <v>11.050832900034949</v>
      </c>
      <c r="L2069">
        <v>-1</v>
      </c>
      <c r="M2069" t="s">
        <v>69</v>
      </c>
    </row>
    <row r="2070" spans="1:13" x14ac:dyDescent="0.3">
      <c r="A2070" t="s">
        <v>24</v>
      </c>
      <c r="B2070" t="s">
        <v>61</v>
      </c>
      <c r="C2070">
        <v>186.20316967357681</v>
      </c>
      <c r="D2070">
        <v>8.6425212471086894</v>
      </c>
      <c r="E2070">
        <v>12.024005773920241</v>
      </c>
      <c r="F2070">
        <v>29.186048981617962</v>
      </c>
      <c r="G2070">
        <v>6.0495034316923313</v>
      </c>
      <c r="H2070">
        <v>24.278376260270139</v>
      </c>
      <c r="I2070">
        <v>29.40421869457645</v>
      </c>
      <c r="J2070">
        <v>32.622174903572741</v>
      </c>
      <c r="K2070">
        <v>14.00210727589752</v>
      </c>
      <c r="L2070">
        <v>-1</v>
      </c>
      <c r="M2070" t="s">
        <v>69</v>
      </c>
    </row>
    <row r="2071" spans="1:13" x14ac:dyDescent="0.3">
      <c r="A2071" t="s">
        <v>24</v>
      </c>
      <c r="B2071" t="s">
        <v>61</v>
      </c>
      <c r="C2071">
        <v>334.05710254085329</v>
      </c>
      <c r="D2071">
        <v>17.298905308775989</v>
      </c>
      <c r="E2071">
        <v>20.346011239992791</v>
      </c>
      <c r="F2071">
        <v>53.402273102607133</v>
      </c>
      <c r="G2071">
        <v>5.1048598695681564</v>
      </c>
      <c r="H2071">
        <v>69.399436695841899</v>
      </c>
      <c r="I2071">
        <v>30.958965710176429</v>
      </c>
      <c r="J2071">
        <v>30.780441782763159</v>
      </c>
      <c r="K2071">
        <v>11.029873766243551</v>
      </c>
      <c r="L2071">
        <v>-1</v>
      </c>
      <c r="M2071" t="s">
        <v>69</v>
      </c>
    </row>
    <row r="2072" spans="1:13" x14ac:dyDescent="0.3">
      <c r="A2072" t="s">
        <v>24</v>
      </c>
      <c r="B2072" t="s">
        <v>61</v>
      </c>
      <c r="C2072">
        <v>341.84299097920359</v>
      </c>
      <c r="D2072">
        <v>17.494017209244671</v>
      </c>
      <c r="E2072">
        <v>25.252485083299359</v>
      </c>
      <c r="F2072">
        <v>55.777189023785482</v>
      </c>
      <c r="G2072">
        <v>4.6384736728939409</v>
      </c>
      <c r="H2072">
        <v>52.255888595582533</v>
      </c>
      <c r="I2072">
        <v>30.57608428595147</v>
      </c>
      <c r="J2072">
        <v>30.735847693345669</v>
      </c>
      <c r="K2072">
        <v>13.93586993366489</v>
      </c>
      <c r="L2072">
        <v>-1</v>
      </c>
      <c r="M2072" t="s">
        <v>69</v>
      </c>
    </row>
    <row r="2073" spans="1:13" x14ac:dyDescent="0.3">
      <c r="A2073" t="s">
        <v>24</v>
      </c>
      <c r="B2073" t="s">
        <v>61</v>
      </c>
      <c r="C2073">
        <v>119.9029710862641</v>
      </c>
      <c r="D2073">
        <v>5.8380225304206972</v>
      </c>
      <c r="E2073">
        <v>8.9450316163950703</v>
      </c>
      <c r="F2073">
        <v>22.209450058716349</v>
      </c>
      <c r="G2073">
        <v>6.3542784592025159</v>
      </c>
      <c r="H2073">
        <v>21.436925448252229</v>
      </c>
      <c r="I2073">
        <v>30.01247574135018</v>
      </c>
      <c r="J2073">
        <v>30.915722679936081</v>
      </c>
      <c r="K2073">
        <v>48.258546501055662</v>
      </c>
      <c r="L2073">
        <v>-1</v>
      </c>
      <c r="M2073" t="s">
        <v>69</v>
      </c>
    </row>
    <row r="2074" spans="1:13" x14ac:dyDescent="0.3">
      <c r="A2074" t="s">
        <v>25</v>
      </c>
      <c r="B2074" t="s">
        <v>62</v>
      </c>
      <c r="C2074">
        <v>91.938027200669183</v>
      </c>
      <c r="D2074">
        <v>4.5582631981153661</v>
      </c>
      <c r="E2074">
        <v>5.1151815555049316</v>
      </c>
      <c r="F2074">
        <v>12.34206237268203</v>
      </c>
      <c r="G2074">
        <v>6.7483698442067297</v>
      </c>
      <c r="H2074">
        <v>13.9</v>
      </c>
      <c r="I2074">
        <v>32.053276992114981</v>
      </c>
      <c r="J2074">
        <v>30.68212718220731</v>
      </c>
      <c r="K2074">
        <v>47.812218913901233</v>
      </c>
      <c r="L2074">
        <v>-1</v>
      </c>
      <c r="M2074" t="s">
        <v>69</v>
      </c>
    </row>
    <row r="2075" spans="1:13" x14ac:dyDescent="0.3">
      <c r="A2075" t="s">
        <v>25</v>
      </c>
      <c r="B2075" t="s">
        <v>62</v>
      </c>
      <c r="C2075">
        <v>96.35645611083693</v>
      </c>
      <c r="D2075">
        <v>3.8463489602943728</v>
      </c>
      <c r="E2075">
        <v>6.309929261360212</v>
      </c>
      <c r="F2075">
        <v>14.51159055492016</v>
      </c>
      <c r="G2075">
        <v>6.9610566503220186</v>
      </c>
      <c r="H2075">
        <v>14.66873049275185</v>
      </c>
      <c r="I2075">
        <v>33.300626000828437</v>
      </c>
      <c r="J2075">
        <v>30.673324172436232</v>
      </c>
      <c r="K2075">
        <v>48.196509604744051</v>
      </c>
      <c r="L2075">
        <v>-1</v>
      </c>
      <c r="M2075" t="s">
        <v>69</v>
      </c>
    </row>
    <row r="2076" spans="1:13" x14ac:dyDescent="0.3">
      <c r="A2076" t="s">
        <v>25</v>
      </c>
      <c r="B2076" t="s">
        <v>62</v>
      </c>
      <c r="C2076">
        <v>91.009382120667624</v>
      </c>
      <c r="D2076">
        <v>4.0428023073100174</v>
      </c>
      <c r="E2076">
        <v>6.316786108340918</v>
      </c>
      <c r="F2076">
        <v>11.974098062191709</v>
      </c>
      <c r="G2076">
        <v>6.8789212964526234</v>
      </c>
      <c r="H2076">
        <v>13.911703708864369</v>
      </c>
      <c r="I2076">
        <v>33.12002334866736</v>
      </c>
      <c r="J2076">
        <v>30.37365839277965</v>
      </c>
      <c r="K2076">
        <v>47.281872871698397</v>
      </c>
      <c r="L2076">
        <v>-1</v>
      </c>
      <c r="M2076" t="s">
        <v>69</v>
      </c>
    </row>
    <row r="2077" spans="1:13" x14ac:dyDescent="0.3">
      <c r="A2077" t="s">
        <v>24</v>
      </c>
      <c r="B2077" t="s">
        <v>59</v>
      </c>
      <c r="C2077">
        <v>351.8472590757566</v>
      </c>
      <c r="D2077">
        <v>16.58580003014027</v>
      </c>
      <c r="E2077">
        <v>24.372617973610598</v>
      </c>
      <c r="F2077">
        <v>61.016900914528129</v>
      </c>
      <c r="G2077">
        <v>5.0817458620090434</v>
      </c>
      <c r="H2077">
        <v>77.024506067061964</v>
      </c>
      <c r="I2077">
        <v>31.067719025732242</v>
      </c>
      <c r="J2077">
        <v>31.497516257398889</v>
      </c>
      <c r="K2077">
        <v>11.082575713388451</v>
      </c>
      <c r="L2077">
        <v>-1</v>
      </c>
      <c r="M2077" t="s">
        <v>69</v>
      </c>
    </row>
    <row r="2078" spans="1:13" x14ac:dyDescent="0.3">
      <c r="A2078" t="s">
        <v>24</v>
      </c>
      <c r="B2078" t="s">
        <v>61</v>
      </c>
      <c r="C2078">
        <v>348.86211450137932</v>
      </c>
      <c r="D2078">
        <v>16.508041799122879</v>
      </c>
      <c r="E2078">
        <v>22.17672486105209</v>
      </c>
      <c r="F2078">
        <v>54.512253132197138</v>
      </c>
      <c r="G2078">
        <v>4.5730942152575036</v>
      </c>
      <c r="H2078">
        <v>55.506323602849839</v>
      </c>
      <c r="I2078">
        <v>29.957416476858381</v>
      </c>
      <c r="J2078">
        <v>30.685963733072541</v>
      </c>
      <c r="K2078">
        <v>14.31381203266187</v>
      </c>
      <c r="L2078">
        <v>-1</v>
      </c>
      <c r="M2078" t="s">
        <v>69</v>
      </c>
    </row>
    <row r="2079" spans="1:13" x14ac:dyDescent="0.3">
      <c r="A2079" t="s">
        <v>24</v>
      </c>
      <c r="B2079" t="s">
        <v>61</v>
      </c>
      <c r="C2079">
        <v>76.14638810856539</v>
      </c>
      <c r="D2079">
        <v>4.3643099391563966</v>
      </c>
      <c r="E2079">
        <v>5.3936759954506392</v>
      </c>
      <c r="F2079">
        <v>10.7776030890667</v>
      </c>
      <c r="G2079">
        <v>6.1500141921019704</v>
      </c>
      <c r="H2079">
        <v>14.40776453217285</v>
      </c>
      <c r="I2079">
        <v>34.040882589874677</v>
      </c>
      <c r="J2079">
        <v>30.715418159807982</v>
      </c>
      <c r="K2079">
        <v>48.68962410298559</v>
      </c>
      <c r="L2079">
        <v>-1</v>
      </c>
      <c r="M2079" t="s">
        <v>69</v>
      </c>
    </row>
    <row r="2080" spans="1:13" x14ac:dyDescent="0.3">
      <c r="A2080" t="s">
        <v>24</v>
      </c>
      <c r="B2080" t="s">
        <v>61</v>
      </c>
      <c r="C2080">
        <v>675.93981134491651</v>
      </c>
      <c r="D2080">
        <v>37.89579414568783</v>
      </c>
      <c r="E2080">
        <v>51.879029637045633</v>
      </c>
      <c r="F2080">
        <v>121.718578503236</v>
      </c>
      <c r="G2080">
        <v>5.8805622343554891</v>
      </c>
      <c r="H2080">
        <v>70.776294402829308</v>
      </c>
      <c r="I2080">
        <v>29.392775883781951</v>
      </c>
      <c r="J2080">
        <v>30.988398979720792</v>
      </c>
      <c r="K2080">
        <v>11</v>
      </c>
      <c r="L2080">
        <v>-1</v>
      </c>
      <c r="M2080" t="s">
        <v>69</v>
      </c>
    </row>
    <row r="2081" spans="1:13" x14ac:dyDescent="0.3">
      <c r="A2081" t="s">
        <v>24</v>
      </c>
      <c r="B2081" t="s">
        <v>59</v>
      </c>
      <c r="C2081">
        <v>351.01541649799782</v>
      </c>
      <c r="D2081">
        <v>17.112198078684429</v>
      </c>
      <c r="E2081">
        <v>23.855641183483009</v>
      </c>
      <c r="F2081">
        <v>55.460132832897692</v>
      </c>
      <c r="G2081">
        <v>5.2119196470032332</v>
      </c>
      <c r="H2081">
        <v>75.277697578742391</v>
      </c>
      <c r="I2081">
        <v>30.585904007827509</v>
      </c>
      <c r="J2081">
        <v>30.985580810282961</v>
      </c>
      <c r="K2081">
        <v>11</v>
      </c>
      <c r="L2081">
        <v>-1</v>
      </c>
      <c r="M2081" t="s">
        <v>69</v>
      </c>
    </row>
    <row r="2082" spans="1:13" x14ac:dyDescent="0.3">
      <c r="A2082" t="s">
        <v>24</v>
      </c>
      <c r="B2082" t="s">
        <v>60</v>
      </c>
      <c r="C2082">
        <v>574.60567209313808</v>
      </c>
      <c r="D2082">
        <v>32.168949720362079</v>
      </c>
      <c r="E2082">
        <v>44.064708864903579</v>
      </c>
      <c r="F2082">
        <v>92.094659720646291</v>
      </c>
      <c r="G2082">
        <v>6.3773431528877662</v>
      </c>
      <c r="H2082">
        <v>79.602010036020005</v>
      </c>
      <c r="I2082">
        <v>31.8368264585351</v>
      </c>
      <c r="J2082">
        <v>31.474865300199639</v>
      </c>
      <c r="K2082">
        <v>11</v>
      </c>
      <c r="L2082">
        <v>-1</v>
      </c>
      <c r="M2082" t="s">
        <v>69</v>
      </c>
    </row>
    <row r="2083" spans="1:13" x14ac:dyDescent="0.3">
      <c r="A2083" t="s">
        <v>24</v>
      </c>
      <c r="B2083" t="s">
        <v>58</v>
      </c>
      <c r="C2083">
        <v>37.05246639550672</v>
      </c>
      <c r="D2083">
        <v>1.240611515818135</v>
      </c>
      <c r="E2083">
        <v>2.436220059733885</v>
      </c>
      <c r="F2083">
        <v>3.5104048882690542</v>
      </c>
      <c r="G2083">
        <v>6.0365348887656296</v>
      </c>
      <c r="H2083">
        <v>21.846635966182841</v>
      </c>
      <c r="I2083">
        <v>30.30622799345894</v>
      </c>
      <c r="J2083">
        <v>25.96918601552564</v>
      </c>
      <c r="K2083">
        <v>750.37358236518617</v>
      </c>
      <c r="L2083">
        <v>-1</v>
      </c>
      <c r="M2083" t="s">
        <v>69</v>
      </c>
    </row>
    <row r="2084" spans="1:13" x14ac:dyDescent="0.3">
      <c r="A2084" t="s">
        <v>24</v>
      </c>
      <c r="B2084" t="s">
        <v>60</v>
      </c>
      <c r="C2084">
        <v>504.17348559645251</v>
      </c>
      <c r="D2084">
        <v>22.525954481608998</v>
      </c>
      <c r="E2084">
        <v>35.744543939530423</v>
      </c>
      <c r="F2084">
        <v>81.496086275187309</v>
      </c>
      <c r="G2084">
        <v>5.4833853922728943</v>
      </c>
      <c r="H2084">
        <v>63.503277074165368</v>
      </c>
      <c r="I2084">
        <v>30.3551806058877</v>
      </c>
      <c r="J2084">
        <v>31.08730694021525</v>
      </c>
      <c r="K2084">
        <v>11.12731442024824</v>
      </c>
      <c r="L2084">
        <v>-1</v>
      </c>
      <c r="M2084" t="s">
        <v>69</v>
      </c>
    </row>
    <row r="2085" spans="1:13" x14ac:dyDescent="0.3">
      <c r="A2085" t="s">
        <v>24</v>
      </c>
      <c r="B2085" t="s">
        <v>60</v>
      </c>
      <c r="C2085">
        <v>597.50453992980397</v>
      </c>
      <c r="D2085">
        <v>27.421172099162739</v>
      </c>
      <c r="E2085">
        <v>46.098843317449933</v>
      </c>
      <c r="F2085">
        <v>83.343220229907928</v>
      </c>
      <c r="G2085">
        <v>6.0559461538272501</v>
      </c>
      <c r="H2085">
        <v>79.372773520713423</v>
      </c>
      <c r="I2085">
        <v>30.248579125680681</v>
      </c>
      <c r="J2085">
        <v>30.629309039146889</v>
      </c>
      <c r="K2085">
        <v>11.01525813974013</v>
      </c>
      <c r="L2085">
        <v>-1</v>
      </c>
      <c r="M2085" t="s">
        <v>69</v>
      </c>
    </row>
    <row r="2086" spans="1:13" x14ac:dyDescent="0.3">
      <c r="A2086" t="s">
        <v>24</v>
      </c>
      <c r="B2086" t="s">
        <v>61</v>
      </c>
      <c r="C2086">
        <v>189.86683197544909</v>
      </c>
      <c r="D2086">
        <v>8.3914532801726001</v>
      </c>
      <c r="E2086">
        <v>12.3772772584395</v>
      </c>
      <c r="F2086">
        <v>29.01589840906944</v>
      </c>
      <c r="G2086">
        <v>6.0707796654910871</v>
      </c>
      <c r="H2086">
        <v>23.718055851022111</v>
      </c>
      <c r="I2086">
        <v>29.269766478802811</v>
      </c>
      <c r="J2086">
        <v>32.760074341134747</v>
      </c>
      <c r="K2086">
        <v>13.94101746448769</v>
      </c>
      <c r="L2086">
        <v>-1</v>
      </c>
      <c r="M2086" t="s">
        <v>69</v>
      </c>
    </row>
    <row r="2087" spans="1:13" x14ac:dyDescent="0.3">
      <c r="A2087" t="s">
        <v>24</v>
      </c>
      <c r="B2087" t="s">
        <v>58</v>
      </c>
      <c r="C2087">
        <v>31.569424243843262</v>
      </c>
      <c r="D2087">
        <v>1.09053096582027</v>
      </c>
      <c r="E2087">
        <v>2.1598825061371638</v>
      </c>
      <c r="F2087">
        <v>4.4539488796054112</v>
      </c>
      <c r="G2087">
        <v>6.1897671942790691</v>
      </c>
      <c r="H2087">
        <v>21.947018199880119</v>
      </c>
      <c r="I2087">
        <v>30.096030172336949</v>
      </c>
      <c r="J2087">
        <v>25.982475130554509</v>
      </c>
      <c r="K2087">
        <v>758.9230752403364</v>
      </c>
      <c r="L2087">
        <v>-1</v>
      </c>
      <c r="M2087" t="s">
        <v>69</v>
      </c>
    </row>
    <row r="2088" spans="1:13" x14ac:dyDescent="0.3">
      <c r="A2088" t="s">
        <v>24</v>
      </c>
      <c r="B2088" t="s">
        <v>61</v>
      </c>
      <c r="C2088">
        <v>354.23329470569422</v>
      </c>
      <c r="D2088">
        <v>15.428269084879849</v>
      </c>
      <c r="E2088">
        <v>24.594098046582879</v>
      </c>
      <c r="F2088">
        <v>59.289783741150337</v>
      </c>
      <c r="G2088">
        <v>4.3</v>
      </c>
      <c r="H2088">
        <v>57.017876877181379</v>
      </c>
      <c r="I2088">
        <v>29.606837763694461</v>
      </c>
      <c r="J2088">
        <v>30.36208625208425</v>
      </c>
      <c r="K2088">
        <v>13.970912610210229</v>
      </c>
      <c r="L2088">
        <v>-1</v>
      </c>
      <c r="M2088" t="s">
        <v>69</v>
      </c>
    </row>
    <row r="2089" spans="1:13" x14ac:dyDescent="0.3">
      <c r="A2089" t="s">
        <v>24</v>
      </c>
      <c r="B2089" t="s">
        <v>61</v>
      </c>
      <c r="C2089">
        <v>127.3551111389074</v>
      </c>
      <c r="D2089">
        <v>6.3324612288610949</v>
      </c>
      <c r="E2089">
        <v>9.4270651037463686</v>
      </c>
      <c r="F2089">
        <v>24.26113777475577</v>
      </c>
      <c r="G2089">
        <v>6.3737233213732321</v>
      </c>
      <c r="H2089">
        <v>22.424568814210431</v>
      </c>
      <c r="I2089">
        <v>30.115513190718151</v>
      </c>
      <c r="J2089">
        <v>30.787086103107629</v>
      </c>
      <c r="K2089">
        <v>43.229476612466669</v>
      </c>
      <c r="L2089">
        <v>-1</v>
      </c>
      <c r="M2089" t="s">
        <v>69</v>
      </c>
    </row>
    <row r="2090" spans="1:13" x14ac:dyDescent="0.3">
      <c r="A2090" t="s">
        <v>24</v>
      </c>
      <c r="B2090" t="s">
        <v>61</v>
      </c>
      <c r="C2090">
        <v>78.761890285267995</v>
      </c>
      <c r="D2090">
        <v>4.0875613061814056</v>
      </c>
      <c r="E2090">
        <v>5.2706523208146301</v>
      </c>
      <c r="F2090">
        <v>13.19052517608738</v>
      </c>
      <c r="G2090">
        <v>6.2320243257181804</v>
      </c>
      <c r="H2090">
        <v>14.775538096042959</v>
      </c>
      <c r="I2090">
        <v>34.881351844156363</v>
      </c>
      <c r="J2090">
        <v>31.385580483012681</v>
      </c>
      <c r="K2090">
        <v>47.911430890471372</v>
      </c>
      <c r="L2090">
        <v>-1</v>
      </c>
      <c r="M2090" t="s">
        <v>69</v>
      </c>
    </row>
    <row r="2091" spans="1:13" x14ac:dyDescent="0.3">
      <c r="A2091" t="s">
        <v>24</v>
      </c>
      <c r="B2091" t="s">
        <v>60</v>
      </c>
      <c r="C2091">
        <v>549.47992458668875</v>
      </c>
      <c r="D2091">
        <v>25.8307890229393</v>
      </c>
      <c r="E2091">
        <v>42.473899474594234</v>
      </c>
      <c r="F2091">
        <v>92.819267659599149</v>
      </c>
      <c r="G2091">
        <v>6.2369078559866402</v>
      </c>
      <c r="H2091">
        <v>85.576125156794632</v>
      </c>
      <c r="I2091">
        <v>30.580034620212139</v>
      </c>
      <c r="J2091">
        <v>31.61321887764387</v>
      </c>
      <c r="K2091">
        <v>11.21503563826991</v>
      </c>
      <c r="L2091">
        <v>-1</v>
      </c>
      <c r="M2091" t="s">
        <v>69</v>
      </c>
    </row>
    <row r="2092" spans="1:13" x14ac:dyDescent="0.3">
      <c r="A2092" t="s">
        <v>24</v>
      </c>
      <c r="B2092" t="s">
        <v>61</v>
      </c>
      <c r="C2092">
        <v>337.49541167269189</v>
      </c>
      <c r="D2092">
        <v>17.33483925223759</v>
      </c>
      <c r="E2092">
        <v>23.838104269588769</v>
      </c>
      <c r="F2092">
        <v>54.65990411750488</v>
      </c>
      <c r="G2092">
        <v>4.6018475280247628</v>
      </c>
      <c r="H2092">
        <v>56.141185746912491</v>
      </c>
      <c r="I2092">
        <v>31.177435729879921</v>
      </c>
      <c r="J2092">
        <v>30.863221978807811</v>
      </c>
      <c r="K2092">
        <v>14.12331086143331</v>
      </c>
      <c r="L2092">
        <v>-1</v>
      </c>
      <c r="M2092" t="s">
        <v>69</v>
      </c>
    </row>
    <row r="2093" spans="1:13" x14ac:dyDescent="0.3">
      <c r="A2093" t="s">
        <v>24</v>
      </c>
      <c r="B2093" t="s">
        <v>61</v>
      </c>
      <c r="C2093">
        <v>721.10523561764455</v>
      </c>
      <c r="D2093">
        <v>33.238854463326803</v>
      </c>
      <c r="E2093">
        <v>44.217194736037499</v>
      </c>
      <c r="F2093">
        <v>99.079059593274536</v>
      </c>
      <c r="G2093">
        <v>6.0612804625582184</v>
      </c>
      <c r="H2093">
        <v>68.724152958125131</v>
      </c>
      <c r="I2093">
        <v>30.604309041094861</v>
      </c>
      <c r="J2093">
        <v>31.47093620543048</v>
      </c>
      <c r="K2093">
        <v>11.248909674282229</v>
      </c>
      <c r="L2093">
        <v>-1</v>
      </c>
      <c r="M2093" t="s">
        <v>69</v>
      </c>
    </row>
    <row r="2094" spans="1:13" x14ac:dyDescent="0.3">
      <c r="A2094" t="s">
        <v>19</v>
      </c>
      <c r="B2094" t="s">
        <v>47</v>
      </c>
      <c r="C2094">
        <v>29.976412319965991</v>
      </c>
      <c r="D2094">
        <v>1.065019772711846</v>
      </c>
      <c r="E2094">
        <v>1.5587702276738229</v>
      </c>
      <c r="F2094">
        <v>3.774309917228488</v>
      </c>
      <c r="G2094">
        <v>5.9834234876855454</v>
      </c>
      <c r="H2094">
        <v>20.987705365558181</v>
      </c>
      <c r="I2094">
        <v>30.32768544592372</v>
      </c>
      <c r="J2094">
        <v>26.047153224850859</v>
      </c>
      <c r="K2094">
        <v>734.9072614196258</v>
      </c>
      <c r="L2094">
        <v>-1</v>
      </c>
      <c r="M2094" t="s">
        <v>69</v>
      </c>
    </row>
    <row r="2095" spans="1:13" x14ac:dyDescent="0.3">
      <c r="A2095" t="s">
        <v>25</v>
      </c>
      <c r="B2095" t="s">
        <v>62</v>
      </c>
      <c r="C2095">
        <v>90.95020141904169</v>
      </c>
      <c r="D2095">
        <v>4.2207180362401511</v>
      </c>
      <c r="E2095">
        <v>6.4129344121442946</v>
      </c>
      <c r="F2095">
        <v>13.626787300655909</v>
      </c>
      <c r="G2095">
        <v>6.7300145589076683</v>
      </c>
      <c r="H2095">
        <v>14.59582625587152</v>
      </c>
      <c r="I2095">
        <v>33.949795630270202</v>
      </c>
      <c r="J2095">
        <v>31.81199376034413</v>
      </c>
      <c r="K2095">
        <v>49.627358917690117</v>
      </c>
      <c r="L2095">
        <v>-1</v>
      </c>
      <c r="M2095" t="s">
        <v>69</v>
      </c>
    </row>
    <row r="2096" spans="1:13" x14ac:dyDescent="0.3">
      <c r="A2096" t="s">
        <v>19</v>
      </c>
      <c r="B2096" t="s">
        <v>47</v>
      </c>
      <c r="C2096">
        <v>31.389883927093859</v>
      </c>
      <c r="D2096">
        <v>1.095897081616128</v>
      </c>
      <c r="E2096">
        <v>1.824125214423219</v>
      </c>
      <c r="F2096">
        <v>3.6671317141724269</v>
      </c>
      <c r="G2096">
        <v>5.975551450150788</v>
      </c>
      <c r="H2096">
        <v>21.64671424014109</v>
      </c>
      <c r="I2096">
        <v>30.150876591996759</v>
      </c>
      <c r="J2096">
        <v>26.069545869869881</v>
      </c>
      <c r="K2096">
        <v>738.66234919150611</v>
      </c>
      <c r="L2096">
        <v>-1</v>
      </c>
      <c r="M2096" t="s">
        <v>69</v>
      </c>
    </row>
    <row r="2097" spans="1:13" x14ac:dyDescent="0.3">
      <c r="A2097" t="s">
        <v>24</v>
      </c>
      <c r="B2097" t="s">
        <v>61</v>
      </c>
      <c r="C2097">
        <v>174.4168960926774</v>
      </c>
      <c r="D2097">
        <v>8.3141800848437963</v>
      </c>
      <c r="E2097">
        <v>12.054357404178541</v>
      </c>
      <c r="F2097">
        <v>30.012092933267809</v>
      </c>
      <c r="G2097">
        <v>6.3081681537081646</v>
      </c>
      <c r="H2097">
        <v>26.617351881541811</v>
      </c>
      <c r="I2097">
        <v>29.742776485739139</v>
      </c>
      <c r="J2097">
        <v>31.654318060184199</v>
      </c>
      <c r="K2097">
        <v>14.046051398418509</v>
      </c>
      <c r="L2097">
        <v>-1</v>
      </c>
      <c r="M2097" t="s">
        <v>69</v>
      </c>
    </row>
    <row r="2098" spans="1:13" x14ac:dyDescent="0.3">
      <c r="A2098" t="s">
        <v>24</v>
      </c>
      <c r="B2098" t="s">
        <v>61</v>
      </c>
      <c r="C2098">
        <v>701.14759451592931</v>
      </c>
      <c r="D2098">
        <v>38.297326858657151</v>
      </c>
      <c r="E2098">
        <v>49.785198991837923</v>
      </c>
      <c r="F2098">
        <v>121.6320576578991</v>
      </c>
      <c r="G2098">
        <v>5.9406315768046687</v>
      </c>
      <c r="H2098">
        <v>69.885111971390131</v>
      </c>
      <c r="I2098">
        <v>29.07184339960995</v>
      </c>
      <c r="J2098">
        <v>30.722167739631949</v>
      </c>
      <c r="K2098">
        <v>11.050170121983459</v>
      </c>
      <c r="L2098">
        <v>-1</v>
      </c>
      <c r="M2098" t="s">
        <v>69</v>
      </c>
    </row>
    <row r="2099" spans="1:13" x14ac:dyDescent="0.3">
      <c r="A2099" t="s">
        <v>24</v>
      </c>
      <c r="B2099" t="s">
        <v>60</v>
      </c>
      <c r="C2099">
        <v>559.58493231426894</v>
      </c>
      <c r="D2099">
        <v>28.66113016048018</v>
      </c>
      <c r="E2099">
        <v>43.901933557235552</v>
      </c>
      <c r="F2099">
        <v>82.90000362686331</v>
      </c>
      <c r="G2099">
        <v>6.3036276322370179</v>
      </c>
      <c r="H2099">
        <v>80.618513675258541</v>
      </c>
      <c r="I2099">
        <v>32.376416914712927</v>
      </c>
      <c r="J2099">
        <v>31.45105820232823</v>
      </c>
      <c r="K2099">
        <v>11.139173584175751</v>
      </c>
      <c r="L2099">
        <v>-1</v>
      </c>
      <c r="M2099" t="s">
        <v>69</v>
      </c>
    </row>
    <row r="2100" spans="1:13" x14ac:dyDescent="0.3">
      <c r="A2100" t="s">
        <v>25</v>
      </c>
      <c r="B2100" t="s">
        <v>62</v>
      </c>
      <c r="C2100">
        <v>94.438465634296918</v>
      </c>
      <c r="D2100">
        <v>3.6661119576194259</v>
      </c>
      <c r="E2100">
        <v>5.6299601175814384</v>
      </c>
      <c r="F2100">
        <v>14.17423526879999</v>
      </c>
      <c r="G2100">
        <v>6.8483058496079048</v>
      </c>
      <c r="H2100">
        <v>14.218959671829779</v>
      </c>
      <c r="I2100">
        <v>33.664093413352923</v>
      </c>
      <c r="J2100">
        <v>30.50667380311841</v>
      </c>
      <c r="K2100">
        <v>47.264261568080663</v>
      </c>
      <c r="L2100">
        <v>-1</v>
      </c>
      <c r="M2100" t="s">
        <v>69</v>
      </c>
    </row>
    <row r="2101" spans="1:13" x14ac:dyDescent="0.3">
      <c r="A2101" t="s">
        <v>24</v>
      </c>
      <c r="B2101" t="s">
        <v>61</v>
      </c>
      <c r="C2101">
        <v>354.01734818063449</v>
      </c>
      <c r="D2101">
        <v>19.407296194279091</v>
      </c>
      <c r="E2101">
        <v>20.736836806776129</v>
      </c>
      <c r="F2101">
        <v>64.976860302970834</v>
      </c>
      <c r="G2101">
        <v>4.3016632304338209</v>
      </c>
      <c r="H2101">
        <v>61.414155887909828</v>
      </c>
      <c r="I2101">
        <v>30.179837906762032</v>
      </c>
      <c r="J2101">
        <v>33.115840340977002</v>
      </c>
      <c r="K2101">
        <v>14.415588954112311</v>
      </c>
      <c r="L2101">
        <v>-1</v>
      </c>
      <c r="M2101" t="s">
        <v>69</v>
      </c>
    </row>
    <row r="2102" spans="1:13" x14ac:dyDescent="0.3">
      <c r="A2102" t="s">
        <v>24</v>
      </c>
      <c r="B2102" t="s">
        <v>59</v>
      </c>
      <c r="C2102">
        <v>358.8666215055664</v>
      </c>
      <c r="D2102">
        <v>17.00728611706824</v>
      </c>
      <c r="E2102">
        <v>24.013782256052899</v>
      </c>
      <c r="F2102">
        <v>61.78116725609793</v>
      </c>
      <c r="G2102">
        <v>5.185613736333619</v>
      </c>
      <c r="H2102">
        <v>80.576186168653948</v>
      </c>
      <c r="I2102">
        <v>31.736785466085561</v>
      </c>
      <c r="J2102">
        <v>31.56491565854013</v>
      </c>
      <c r="K2102">
        <v>11</v>
      </c>
      <c r="L2102">
        <v>-1</v>
      </c>
      <c r="M2102" t="s">
        <v>69</v>
      </c>
    </row>
    <row r="2103" spans="1:13" x14ac:dyDescent="0.3">
      <c r="A2103" t="s">
        <v>24</v>
      </c>
      <c r="B2103" t="s">
        <v>61</v>
      </c>
      <c r="C2103">
        <v>78.479763017731472</v>
      </c>
      <c r="D2103">
        <v>4.2133289039548432</v>
      </c>
      <c r="E2103">
        <v>5.2696482929609756</v>
      </c>
      <c r="F2103">
        <v>11.15409467001269</v>
      </c>
      <c r="G2103">
        <v>6.1768570391488744</v>
      </c>
      <c r="H2103">
        <v>14.495760223480531</v>
      </c>
      <c r="I2103">
        <v>34.333390235105043</v>
      </c>
      <c r="J2103">
        <v>30.77058785455052</v>
      </c>
      <c r="K2103">
        <v>48.645570451643827</v>
      </c>
      <c r="L2103">
        <v>-1</v>
      </c>
      <c r="M2103" t="s">
        <v>69</v>
      </c>
    </row>
    <row r="2104" spans="1:13" x14ac:dyDescent="0.3">
      <c r="A2104" t="s">
        <v>19</v>
      </c>
      <c r="B2104" t="s">
        <v>46</v>
      </c>
      <c r="C2104">
        <v>27.513136502686589</v>
      </c>
      <c r="D2104">
        <v>1.0000021676981941</v>
      </c>
      <c r="E2104">
        <v>0.96491175543349961</v>
      </c>
      <c r="F2104">
        <v>4.2609921133588369</v>
      </c>
      <c r="G2104">
        <v>6.057196622985729</v>
      </c>
      <c r="H2104">
        <v>19.360674841072179</v>
      </c>
      <c r="I2104">
        <v>30.34605049516006</v>
      </c>
      <c r="J2104">
        <v>26.961225565115129</v>
      </c>
      <c r="K2104">
        <v>719.46248474258505</v>
      </c>
      <c r="L2104">
        <v>-1</v>
      </c>
      <c r="M2104" t="s">
        <v>69</v>
      </c>
    </row>
    <row r="2105" spans="1:13" x14ac:dyDescent="0.3">
      <c r="A2105" t="s">
        <v>24</v>
      </c>
      <c r="B2105" t="s">
        <v>61</v>
      </c>
      <c r="C2105">
        <v>337.78613379542281</v>
      </c>
      <c r="D2105">
        <v>17.465705872861399</v>
      </c>
      <c r="E2105">
        <v>22.88324431969038</v>
      </c>
      <c r="F2105">
        <v>53.778407536640543</v>
      </c>
      <c r="G2105">
        <v>4.5321740465621811</v>
      </c>
      <c r="H2105">
        <v>56.18056825708036</v>
      </c>
      <c r="I2105">
        <v>31.11715880959866</v>
      </c>
      <c r="J2105">
        <v>30.923904091856091</v>
      </c>
      <c r="K2105">
        <v>14.21935770373034</v>
      </c>
      <c r="L2105">
        <v>-1</v>
      </c>
      <c r="M2105" t="s">
        <v>69</v>
      </c>
    </row>
    <row r="2106" spans="1:13" x14ac:dyDescent="0.3">
      <c r="A2106" t="s">
        <v>24</v>
      </c>
      <c r="B2106" t="s">
        <v>61</v>
      </c>
      <c r="C2106">
        <v>129.52963122759809</v>
      </c>
      <c r="D2106">
        <v>5.8792896806397952</v>
      </c>
      <c r="E2106">
        <v>7.9090955104735698</v>
      </c>
      <c r="F2106">
        <v>20.767357660099211</v>
      </c>
      <c r="G2106">
        <v>6.3746686708454181</v>
      </c>
      <c r="H2106">
        <v>18.427601230752551</v>
      </c>
      <c r="I2106">
        <v>29.540050206596991</v>
      </c>
      <c r="J2106">
        <v>30.86350949514399</v>
      </c>
      <c r="K2106">
        <v>48.270071525010962</v>
      </c>
      <c r="L2106">
        <v>-1</v>
      </c>
      <c r="M2106" t="s">
        <v>69</v>
      </c>
    </row>
    <row r="2107" spans="1:13" x14ac:dyDescent="0.3">
      <c r="A2107" t="s">
        <v>19</v>
      </c>
      <c r="B2107" t="s">
        <v>47</v>
      </c>
      <c r="C2107">
        <v>30.519417205848999</v>
      </c>
      <c r="D2107">
        <v>1.052261632543374</v>
      </c>
      <c r="E2107">
        <v>1.9015737911155279</v>
      </c>
      <c r="F2107">
        <v>3.8390579920571208</v>
      </c>
      <c r="G2107">
        <v>6.0827853273546317</v>
      </c>
      <c r="H2107">
        <v>22.815680449390449</v>
      </c>
      <c r="I2107">
        <v>29.17066232103204</v>
      </c>
      <c r="J2107">
        <v>25.7115773460614</v>
      </c>
      <c r="K2107">
        <v>735.8699450137276</v>
      </c>
      <c r="L2107">
        <v>-1</v>
      </c>
      <c r="M2107" t="s">
        <v>69</v>
      </c>
    </row>
    <row r="2108" spans="1:13" x14ac:dyDescent="0.3">
      <c r="A2108" t="s">
        <v>24</v>
      </c>
      <c r="B2108" t="s">
        <v>60</v>
      </c>
      <c r="C2108">
        <v>580.67039474428555</v>
      </c>
      <c r="D2108">
        <v>30.62167241500573</v>
      </c>
      <c r="E2108">
        <v>39.372923993124687</v>
      </c>
      <c r="F2108">
        <v>99.555689645396768</v>
      </c>
      <c r="G2108">
        <v>6.0215747685127941</v>
      </c>
      <c r="H2108">
        <v>82.517715161395557</v>
      </c>
      <c r="I2108">
        <v>31.334603589143079</v>
      </c>
      <c r="J2108">
        <v>30.49174897366602</v>
      </c>
      <c r="K2108">
        <v>11</v>
      </c>
      <c r="L2108">
        <v>-1</v>
      </c>
      <c r="M2108" t="s">
        <v>69</v>
      </c>
    </row>
    <row r="2109" spans="1:13" x14ac:dyDescent="0.3">
      <c r="A2109" t="s">
        <v>25</v>
      </c>
      <c r="B2109" t="s">
        <v>62</v>
      </c>
      <c r="C2109">
        <v>99.991846595432094</v>
      </c>
      <c r="D2109">
        <v>4.5066609000590381</v>
      </c>
      <c r="E2109">
        <v>7.050607416831487</v>
      </c>
      <c r="F2109">
        <v>14.433844576160499</v>
      </c>
      <c r="G2109">
        <v>6.8272910348112452</v>
      </c>
      <c r="H2109">
        <v>14.214294770568349</v>
      </c>
      <c r="I2109">
        <v>33.582186807088043</v>
      </c>
      <c r="J2109">
        <v>30.743363301093609</v>
      </c>
      <c r="K2109">
        <v>47.092260473777742</v>
      </c>
      <c r="L2109">
        <v>-1</v>
      </c>
      <c r="M2109" t="s">
        <v>69</v>
      </c>
    </row>
    <row r="2110" spans="1:13" x14ac:dyDescent="0.3">
      <c r="A2110" t="s">
        <v>24</v>
      </c>
      <c r="B2110" t="s">
        <v>60</v>
      </c>
      <c r="C2110">
        <v>543.16638041603971</v>
      </c>
      <c r="D2110">
        <v>23.762942361206012</v>
      </c>
      <c r="E2110">
        <v>26.038336413048029</v>
      </c>
      <c r="F2110">
        <v>79.902946247457692</v>
      </c>
      <c r="G2110">
        <v>5.3507597175854933</v>
      </c>
      <c r="H2110">
        <v>65.429805892267183</v>
      </c>
      <c r="I2110">
        <v>31.733124213665629</v>
      </c>
      <c r="J2110">
        <v>31.161095219984769</v>
      </c>
      <c r="K2110">
        <v>11</v>
      </c>
      <c r="L2110">
        <v>-1</v>
      </c>
      <c r="M2110" t="s">
        <v>69</v>
      </c>
    </row>
    <row r="2111" spans="1:13" x14ac:dyDescent="0.3">
      <c r="A2111" t="s">
        <v>24</v>
      </c>
      <c r="B2111" t="s">
        <v>60</v>
      </c>
      <c r="C2111">
        <v>544.58618754622273</v>
      </c>
      <c r="D2111">
        <v>24.533724826233939</v>
      </c>
      <c r="E2111">
        <v>43.646897361259427</v>
      </c>
      <c r="F2111">
        <v>92.927554013957888</v>
      </c>
      <c r="G2111">
        <v>6.2366628052711288</v>
      </c>
      <c r="H2111">
        <v>86.740679555930456</v>
      </c>
      <c r="I2111">
        <v>30.336422022098649</v>
      </c>
      <c r="J2111">
        <v>31.982664193971821</v>
      </c>
      <c r="K2111">
        <v>11.289930658895861</v>
      </c>
      <c r="L2111">
        <v>-1</v>
      </c>
      <c r="M2111" t="s">
        <v>69</v>
      </c>
    </row>
    <row r="2112" spans="1:13" x14ac:dyDescent="0.3">
      <c r="A2112" t="s">
        <v>24</v>
      </c>
      <c r="B2112" t="s">
        <v>61</v>
      </c>
      <c r="C2112">
        <v>179.08615438335909</v>
      </c>
      <c r="D2112">
        <v>8.8928418687502369</v>
      </c>
      <c r="E2112">
        <v>11.39812772906286</v>
      </c>
      <c r="F2112">
        <v>29.80582027398621</v>
      </c>
      <c r="G2112">
        <v>6.503608250545553</v>
      </c>
      <c r="H2112">
        <v>25.65135643267817</v>
      </c>
      <c r="I2112">
        <v>29.77063334180901</v>
      </c>
      <c r="J2112">
        <v>29.481678801744629</v>
      </c>
      <c r="K2112">
        <v>14.555410236817581</v>
      </c>
      <c r="L2112">
        <v>-1</v>
      </c>
      <c r="M2112" t="s">
        <v>69</v>
      </c>
    </row>
    <row r="2113" spans="1:13" x14ac:dyDescent="0.3">
      <c r="A2113" t="s">
        <v>24</v>
      </c>
      <c r="B2113" t="s">
        <v>61</v>
      </c>
      <c r="C2113">
        <v>327.20702720235312</v>
      </c>
      <c r="D2113">
        <v>16.792397580406831</v>
      </c>
      <c r="E2113">
        <v>23.178182123368739</v>
      </c>
      <c r="F2113">
        <v>66.122371869434829</v>
      </c>
      <c r="G2113">
        <v>4.4099148951061364</v>
      </c>
      <c r="H2113">
        <v>57.652853258203038</v>
      </c>
      <c r="I2113">
        <v>29.840151397774591</v>
      </c>
      <c r="J2113">
        <v>31.27645959977437</v>
      </c>
      <c r="K2113">
        <v>13.75925030876647</v>
      </c>
      <c r="L2113">
        <v>-1</v>
      </c>
      <c r="M2113" t="s">
        <v>69</v>
      </c>
    </row>
    <row r="2114" spans="1:13" x14ac:dyDescent="0.3">
      <c r="A2114" t="s">
        <v>19</v>
      </c>
      <c r="B2114" t="s">
        <v>47</v>
      </c>
      <c r="C2114">
        <v>31.619954033747671</v>
      </c>
      <c r="D2114">
        <v>1.0471609124103529</v>
      </c>
      <c r="E2114">
        <v>1.9939383474439809</v>
      </c>
      <c r="F2114">
        <v>3.6238858805346239</v>
      </c>
      <c r="G2114">
        <v>5.9340805181298739</v>
      </c>
      <c r="H2114">
        <v>21.710244856756059</v>
      </c>
      <c r="I2114">
        <v>29.769153574335959</v>
      </c>
      <c r="J2114">
        <v>25.940497671350421</v>
      </c>
      <c r="K2114">
        <v>737.36616501866388</v>
      </c>
      <c r="L2114">
        <v>-1</v>
      </c>
      <c r="M2114" t="s">
        <v>69</v>
      </c>
    </row>
    <row r="2115" spans="1:13" x14ac:dyDescent="0.3">
      <c r="A2115" t="s">
        <v>24</v>
      </c>
      <c r="B2115" t="s">
        <v>60</v>
      </c>
      <c r="C2115">
        <v>570.36552117310544</v>
      </c>
      <c r="D2115">
        <v>31.238574419159271</v>
      </c>
      <c r="E2115">
        <v>41.307747994122522</v>
      </c>
      <c r="F2115">
        <v>86.839160871230206</v>
      </c>
      <c r="G2115">
        <v>5.9664296469347864</v>
      </c>
      <c r="H2115">
        <v>81.017703541646483</v>
      </c>
      <c r="I2115">
        <v>30.94691190895167</v>
      </c>
      <c r="J2115">
        <v>30.296409923488302</v>
      </c>
      <c r="K2115">
        <v>11.00100575226884</v>
      </c>
      <c r="L2115">
        <v>-1</v>
      </c>
      <c r="M2115" t="s">
        <v>69</v>
      </c>
    </row>
    <row r="2116" spans="1:13" x14ac:dyDescent="0.3">
      <c r="A2116" t="s">
        <v>25</v>
      </c>
      <c r="B2116" t="s">
        <v>62</v>
      </c>
      <c r="C2116">
        <v>91.639492280088788</v>
      </c>
      <c r="D2116">
        <v>3.844694453668922</v>
      </c>
      <c r="E2116">
        <v>6.0783269591004876</v>
      </c>
      <c r="F2116">
        <v>13.81871760969713</v>
      </c>
      <c r="G2116">
        <v>6.9279918749819407</v>
      </c>
      <c r="H2116">
        <v>14.13711596532259</v>
      </c>
      <c r="I2116">
        <v>32.759881260577423</v>
      </c>
      <c r="J2116">
        <v>30.94633644758289</v>
      </c>
      <c r="K2116">
        <v>48.692525336717608</v>
      </c>
      <c r="L2116">
        <v>-1</v>
      </c>
      <c r="M2116" t="s">
        <v>69</v>
      </c>
    </row>
    <row r="2117" spans="1:13" x14ac:dyDescent="0.3">
      <c r="A2117" t="s">
        <v>19</v>
      </c>
      <c r="B2117" t="s">
        <v>46</v>
      </c>
      <c r="C2117">
        <v>27.01031234191456</v>
      </c>
      <c r="D2117">
        <v>1.000225273267052</v>
      </c>
      <c r="E2117">
        <v>1.001935964852986</v>
      </c>
      <c r="F2117">
        <v>3.9992180541369708</v>
      </c>
      <c r="G2117">
        <v>5.9999425675463067</v>
      </c>
      <c r="H2117">
        <v>19.604807966997829</v>
      </c>
      <c r="I2117">
        <v>30.698710045998791</v>
      </c>
      <c r="J2117">
        <v>26.000163371241872</v>
      </c>
      <c r="K2117">
        <v>727.02739619871215</v>
      </c>
      <c r="L2117">
        <v>-1</v>
      </c>
      <c r="M2117" t="s">
        <v>69</v>
      </c>
    </row>
    <row r="2118" spans="1:13" x14ac:dyDescent="0.3">
      <c r="A2118" t="s">
        <v>24</v>
      </c>
      <c r="B2118" t="s">
        <v>59</v>
      </c>
      <c r="C2118">
        <v>363.96899798669602</v>
      </c>
      <c r="D2118">
        <v>16.407493499760498</v>
      </c>
      <c r="E2118">
        <v>23.791480507549121</v>
      </c>
      <c r="F2118">
        <v>62.213434221558337</v>
      </c>
      <c r="G2118">
        <v>5.137466581737967</v>
      </c>
      <c r="H2118">
        <v>80.222153584505307</v>
      </c>
      <c r="I2118">
        <v>31.628134104107701</v>
      </c>
      <c r="J2118">
        <v>31.270456277680321</v>
      </c>
      <c r="K2118">
        <v>11</v>
      </c>
      <c r="L2118">
        <v>-1</v>
      </c>
      <c r="M2118" t="s">
        <v>69</v>
      </c>
    </row>
    <row r="2119" spans="1:13" x14ac:dyDescent="0.3">
      <c r="A2119" t="s">
        <v>24</v>
      </c>
      <c r="B2119" t="s">
        <v>61</v>
      </c>
      <c r="C2119">
        <v>122.4602028460819</v>
      </c>
      <c r="D2119">
        <v>5.6545857440855638</v>
      </c>
      <c r="E2119">
        <v>8.5535482896487096</v>
      </c>
      <c r="F2119">
        <v>19.391078940098179</v>
      </c>
      <c r="G2119">
        <v>6.3588869041455549</v>
      </c>
      <c r="H2119">
        <v>20.306068180013089</v>
      </c>
      <c r="I2119">
        <v>29.618492603581981</v>
      </c>
      <c r="J2119">
        <v>30.704548114340142</v>
      </c>
      <c r="K2119">
        <v>49.058517880394902</v>
      </c>
      <c r="L2119">
        <v>-1</v>
      </c>
      <c r="M2119" t="s">
        <v>69</v>
      </c>
    </row>
    <row r="2120" spans="1:13" x14ac:dyDescent="0.3">
      <c r="A2120" t="s">
        <v>24</v>
      </c>
      <c r="B2120" t="s">
        <v>61</v>
      </c>
      <c r="C2120">
        <v>123.7051689931283</v>
      </c>
      <c r="D2120">
        <v>5.5125996116004057</v>
      </c>
      <c r="E2120">
        <v>8.3309670901193194</v>
      </c>
      <c r="F2120">
        <v>21.63833166794284</v>
      </c>
      <c r="G2120">
        <v>6.2839562776627167</v>
      </c>
      <c r="H2120">
        <v>20.561444333314849</v>
      </c>
      <c r="I2120">
        <v>31.066038622279979</v>
      </c>
      <c r="J2120">
        <v>31.22895260213037</v>
      </c>
      <c r="K2120">
        <v>47.091996907387063</v>
      </c>
      <c r="L2120">
        <v>-1</v>
      </c>
      <c r="M2120" t="s">
        <v>69</v>
      </c>
    </row>
    <row r="2121" spans="1:13" x14ac:dyDescent="0.3">
      <c r="A2121" t="s">
        <v>24</v>
      </c>
      <c r="B2121" t="s">
        <v>61</v>
      </c>
      <c r="C2121">
        <v>122.76319761397779</v>
      </c>
      <c r="D2121">
        <v>5.5977931505447041</v>
      </c>
      <c r="E2121">
        <v>7.995472484666089</v>
      </c>
      <c r="F2121">
        <v>19.30778400208245</v>
      </c>
      <c r="G2121">
        <v>6.4217653840973954</v>
      </c>
      <c r="H2121">
        <v>19.544780161308719</v>
      </c>
      <c r="I2121">
        <v>29.385885082481639</v>
      </c>
      <c r="J2121">
        <v>30.547313585860518</v>
      </c>
      <c r="K2121">
        <v>49.235680865649329</v>
      </c>
      <c r="L2121">
        <v>-1</v>
      </c>
      <c r="M2121" t="s">
        <v>69</v>
      </c>
    </row>
    <row r="2122" spans="1:13" x14ac:dyDescent="0.3">
      <c r="A2122" t="s">
        <v>24</v>
      </c>
      <c r="B2122" t="s">
        <v>60</v>
      </c>
      <c r="C2122">
        <v>512.23115341726918</v>
      </c>
      <c r="D2122">
        <v>24.790925510515638</v>
      </c>
      <c r="E2122">
        <v>36.890409034292773</v>
      </c>
      <c r="F2122">
        <v>83.622713665837637</v>
      </c>
      <c r="G2122">
        <v>5.4149273671374134</v>
      </c>
      <c r="H2122">
        <v>66.078048184057948</v>
      </c>
      <c r="I2122">
        <v>31.01621151691992</v>
      </c>
      <c r="J2122">
        <v>31.186306725064899</v>
      </c>
      <c r="K2122">
        <v>11</v>
      </c>
      <c r="L2122">
        <v>-1</v>
      </c>
      <c r="M2122" t="s">
        <v>69</v>
      </c>
    </row>
    <row r="2123" spans="1:13" x14ac:dyDescent="0.3">
      <c r="A2123" t="s">
        <v>24</v>
      </c>
      <c r="B2123" t="s">
        <v>60</v>
      </c>
      <c r="C2123">
        <v>613.06595274310109</v>
      </c>
      <c r="D2123">
        <v>26.130929238396579</v>
      </c>
      <c r="E2123">
        <v>42.576535609035098</v>
      </c>
      <c r="F2123">
        <v>95.026746739257788</v>
      </c>
      <c r="G2123">
        <v>6.1033405882507044</v>
      </c>
      <c r="H2123">
        <v>77.031148075228543</v>
      </c>
      <c r="I2123">
        <v>30.196312296418011</v>
      </c>
      <c r="J2123">
        <v>32.376039573759932</v>
      </c>
      <c r="K2123">
        <v>11.16603204538683</v>
      </c>
      <c r="L2123">
        <v>-1</v>
      </c>
      <c r="M2123" t="s">
        <v>69</v>
      </c>
    </row>
    <row r="2124" spans="1:13" x14ac:dyDescent="0.3">
      <c r="A2124" t="s">
        <v>25</v>
      </c>
      <c r="B2124" t="s">
        <v>62</v>
      </c>
      <c r="C2124">
        <v>88.589975690994976</v>
      </c>
      <c r="D2124">
        <v>4.2570846850600113</v>
      </c>
      <c r="E2124">
        <v>5.6835490667535558</v>
      </c>
      <c r="F2124">
        <v>14.904200883658479</v>
      </c>
      <c r="G2124">
        <v>6.7845790191970261</v>
      </c>
      <c r="H2124">
        <v>13.9</v>
      </c>
      <c r="I2124">
        <v>32.272772759571993</v>
      </c>
      <c r="J2124">
        <v>30.288429828525601</v>
      </c>
      <c r="K2124">
        <v>47.488521930404893</v>
      </c>
      <c r="L2124">
        <v>-1</v>
      </c>
      <c r="M2124" t="s">
        <v>69</v>
      </c>
    </row>
    <row r="2125" spans="1:13" x14ac:dyDescent="0.3">
      <c r="A2125" t="s">
        <v>24</v>
      </c>
      <c r="B2125" t="s">
        <v>60</v>
      </c>
      <c r="C2125">
        <v>496.35724942286657</v>
      </c>
      <c r="D2125">
        <v>24.43100056750437</v>
      </c>
      <c r="E2125">
        <v>39.636252910110848</v>
      </c>
      <c r="F2125">
        <v>79.353862974240627</v>
      </c>
      <c r="G2125">
        <v>5.4337212772341719</v>
      </c>
      <c r="H2125">
        <v>67.078059313972801</v>
      </c>
      <c r="I2125">
        <v>30.90414814238245</v>
      </c>
      <c r="J2125">
        <v>30.512286826327539</v>
      </c>
      <c r="K2125">
        <v>11</v>
      </c>
      <c r="L2125">
        <v>-1</v>
      </c>
      <c r="M2125" t="s">
        <v>69</v>
      </c>
    </row>
    <row r="2126" spans="1:13" x14ac:dyDescent="0.3">
      <c r="A2126" t="s">
        <v>25</v>
      </c>
      <c r="B2126" t="s">
        <v>62</v>
      </c>
      <c r="C2126">
        <v>90.415960463590324</v>
      </c>
      <c r="D2126">
        <v>4.2325751060893406</v>
      </c>
      <c r="E2126">
        <v>5.4520096781488334</v>
      </c>
      <c r="F2126">
        <v>12.734045207546419</v>
      </c>
      <c r="G2126">
        <v>6.5824086548295329</v>
      </c>
      <c r="H2126">
        <v>13.9</v>
      </c>
      <c r="I2126">
        <v>31.48000275271588</v>
      </c>
      <c r="J2126">
        <v>29.623194183933482</v>
      </c>
      <c r="K2126">
        <v>47.720619899095709</v>
      </c>
      <c r="L2126">
        <v>-1</v>
      </c>
      <c r="M2126" t="s">
        <v>69</v>
      </c>
    </row>
    <row r="2127" spans="1:13" x14ac:dyDescent="0.3">
      <c r="A2127" t="s">
        <v>24</v>
      </c>
      <c r="B2127" t="s">
        <v>59</v>
      </c>
      <c r="C2127">
        <v>361.6539696162377</v>
      </c>
      <c r="D2127">
        <v>16.47503956480741</v>
      </c>
      <c r="E2127">
        <v>23.806777326944189</v>
      </c>
      <c r="F2127">
        <v>55.910057538737419</v>
      </c>
      <c r="G2127">
        <v>5.1352508758702546</v>
      </c>
      <c r="H2127">
        <v>77.158056405197641</v>
      </c>
      <c r="I2127">
        <v>31.112342813240069</v>
      </c>
      <c r="J2127">
        <v>30.581145243701059</v>
      </c>
      <c r="K2127">
        <v>11</v>
      </c>
      <c r="L2127">
        <v>-1</v>
      </c>
      <c r="M2127" t="s">
        <v>69</v>
      </c>
    </row>
    <row r="2128" spans="1:13" x14ac:dyDescent="0.3">
      <c r="A2128" t="s">
        <v>24</v>
      </c>
      <c r="B2128" t="s">
        <v>59</v>
      </c>
      <c r="C2128">
        <v>331.77175772697171</v>
      </c>
      <c r="D2128">
        <v>17.606184232798821</v>
      </c>
      <c r="E2128">
        <v>25.853935159762749</v>
      </c>
      <c r="F2128">
        <v>56.961135842789183</v>
      </c>
      <c r="G2128">
        <v>5.211958482607379</v>
      </c>
      <c r="H2128">
        <v>80.738310735914794</v>
      </c>
      <c r="I2128">
        <v>30.10244157170726</v>
      </c>
      <c r="J2128">
        <v>29.564051674295239</v>
      </c>
      <c r="K2128">
        <v>11.1627569010609</v>
      </c>
      <c r="L2128">
        <v>-1</v>
      </c>
      <c r="M2128" t="s">
        <v>69</v>
      </c>
    </row>
    <row r="2129" spans="1:13" x14ac:dyDescent="0.3">
      <c r="A2129" t="s">
        <v>24</v>
      </c>
      <c r="B2129" t="s">
        <v>60</v>
      </c>
      <c r="C2129">
        <v>513.16258830511595</v>
      </c>
      <c r="D2129">
        <v>22.30835720438456</v>
      </c>
      <c r="E2129">
        <v>38.63021687915051</v>
      </c>
      <c r="F2129">
        <v>84.027517385327599</v>
      </c>
      <c r="G2129">
        <v>5.2953800219677083</v>
      </c>
      <c r="H2129">
        <v>67.716390248147349</v>
      </c>
      <c r="I2129">
        <v>31.624057581491609</v>
      </c>
      <c r="J2129">
        <v>31.59460099240242</v>
      </c>
      <c r="K2129">
        <v>11</v>
      </c>
      <c r="L2129">
        <v>-1</v>
      </c>
      <c r="M2129" t="s">
        <v>69</v>
      </c>
    </row>
    <row r="2130" spans="1:13" x14ac:dyDescent="0.3">
      <c r="A2130" t="s">
        <v>24</v>
      </c>
      <c r="B2130" t="s">
        <v>61</v>
      </c>
      <c r="C2130">
        <v>718.88104634177296</v>
      </c>
      <c r="D2130">
        <v>41.114713321183039</v>
      </c>
      <c r="E2130">
        <v>48.961129568509662</v>
      </c>
      <c r="F2130">
        <v>119.9904685271491</v>
      </c>
      <c r="G2130">
        <v>6.0253774791770924</v>
      </c>
      <c r="H2130">
        <v>69.757444078633171</v>
      </c>
      <c r="I2130">
        <v>29.427259887234609</v>
      </c>
      <c r="J2130">
        <v>31.092275972932061</v>
      </c>
      <c r="K2130">
        <v>11.14694097124857</v>
      </c>
      <c r="L2130">
        <v>-1</v>
      </c>
      <c r="M2130" t="s">
        <v>69</v>
      </c>
    </row>
    <row r="2131" spans="1:13" x14ac:dyDescent="0.3">
      <c r="A2131" t="s">
        <v>24</v>
      </c>
      <c r="B2131" t="s">
        <v>58</v>
      </c>
      <c r="C2131">
        <v>29.400720418258061</v>
      </c>
      <c r="D2131">
        <v>0.97057985658858792</v>
      </c>
      <c r="E2131">
        <v>1.5638023010516331</v>
      </c>
      <c r="F2131">
        <v>3.4745997356103628</v>
      </c>
      <c r="G2131">
        <v>5.9789607573731578</v>
      </c>
      <c r="H2131">
        <v>21.080923969679681</v>
      </c>
      <c r="I2131">
        <v>29.250117021178259</v>
      </c>
      <c r="J2131">
        <v>26.52163632862797</v>
      </c>
      <c r="K2131">
        <v>747.21360136184217</v>
      </c>
      <c r="L2131">
        <v>-1</v>
      </c>
      <c r="M2131" t="s">
        <v>69</v>
      </c>
    </row>
    <row r="2132" spans="1:13" x14ac:dyDescent="0.3">
      <c r="A2132" t="s">
        <v>25</v>
      </c>
      <c r="B2132" t="s">
        <v>62</v>
      </c>
      <c r="C2132">
        <v>85.379613536038534</v>
      </c>
      <c r="D2132">
        <v>3.8864192461973079</v>
      </c>
      <c r="E2132">
        <v>5.7583248135443919</v>
      </c>
      <c r="F2132">
        <v>14.743810245033901</v>
      </c>
      <c r="G2132">
        <v>6.7024792751588746</v>
      </c>
      <c r="H2132">
        <v>14.090578212259389</v>
      </c>
      <c r="I2132">
        <v>31.965317031961089</v>
      </c>
      <c r="J2132">
        <v>30.786425743598191</v>
      </c>
      <c r="K2132">
        <v>47.747462345722397</v>
      </c>
      <c r="L2132">
        <v>-1</v>
      </c>
      <c r="M2132" t="s">
        <v>69</v>
      </c>
    </row>
    <row r="2133" spans="1:13" x14ac:dyDescent="0.3">
      <c r="A2133" t="s">
        <v>25</v>
      </c>
      <c r="B2133" t="s">
        <v>62</v>
      </c>
      <c r="C2133">
        <v>98.968113143710568</v>
      </c>
      <c r="D2133">
        <v>3.689838769093158</v>
      </c>
      <c r="E2133">
        <v>5.3182057238374068</v>
      </c>
      <c r="F2133">
        <v>14.635455563216309</v>
      </c>
      <c r="G2133">
        <v>6.8625992503036093</v>
      </c>
      <c r="H2133">
        <v>14.95676612540186</v>
      </c>
      <c r="I2133">
        <v>33.715052809065362</v>
      </c>
      <c r="J2133">
        <v>30.30368967389176</v>
      </c>
      <c r="K2133">
        <v>47.20242562487033</v>
      </c>
      <c r="L2133">
        <v>-1</v>
      </c>
      <c r="M2133" t="s">
        <v>69</v>
      </c>
    </row>
    <row r="2134" spans="1:13" x14ac:dyDescent="0.3">
      <c r="A2134" t="s">
        <v>24</v>
      </c>
      <c r="B2134" t="s">
        <v>61</v>
      </c>
      <c r="C2134">
        <v>80.605616620256683</v>
      </c>
      <c r="D2134">
        <v>4.0424343276608914</v>
      </c>
      <c r="E2134">
        <v>5.3163575300776458</v>
      </c>
      <c r="F2134">
        <v>10.569872595992489</v>
      </c>
      <c r="G2134">
        <v>6.1571720597909492</v>
      </c>
      <c r="H2134">
        <v>15.331467017740909</v>
      </c>
      <c r="I2134">
        <v>34.729466215679707</v>
      </c>
      <c r="J2134">
        <v>30.646608615236051</v>
      </c>
      <c r="K2134">
        <v>47.276598104118648</v>
      </c>
      <c r="L2134">
        <v>-1</v>
      </c>
      <c r="M2134" t="s">
        <v>69</v>
      </c>
    </row>
    <row r="2135" spans="1:13" x14ac:dyDescent="0.3">
      <c r="A2135" t="s">
        <v>24</v>
      </c>
      <c r="B2135" t="s">
        <v>61</v>
      </c>
      <c r="C2135">
        <v>353.62162894158422</v>
      </c>
      <c r="D2135">
        <v>19.43073204844972</v>
      </c>
      <c r="E2135">
        <v>20.55525067311698</v>
      </c>
      <c r="F2135">
        <v>65.852743129716572</v>
      </c>
      <c r="G2135">
        <v>4.3052894245753128</v>
      </c>
      <c r="H2135">
        <v>61.286915452713629</v>
      </c>
      <c r="I2135">
        <v>30.230563929926049</v>
      </c>
      <c r="J2135">
        <v>33.173960003610468</v>
      </c>
      <c r="K2135">
        <v>14.419994375670059</v>
      </c>
      <c r="L2135">
        <v>-1</v>
      </c>
      <c r="M2135" t="s">
        <v>69</v>
      </c>
    </row>
    <row r="2136" spans="1:13" x14ac:dyDescent="0.3">
      <c r="A2136" t="s">
        <v>24</v>
      </c>
      <c r="B2136" t="s">
        <v>61</v>
      </c>
      <c r="C2136">
        <v>328.80323083901362</v>
      </c>
      <c r="D2136">
        <v>16.906055097632201</v>
      </c>
      <c r="E2136">
        <v>19.296873739055741</v>
      </c>
      <c r="F2136">
        <v>52.795745938624997</v>
      </c>
      <c r="G2136">
        <v>5.0308492757090111</v>
      </c>
      <c r="H2136">
        <v>69.339873581817756</v>
      </c>
      <c r="I2136">
        <v>31.201957345489109</v>
      </c>
      <c r="J2136">
        <v>30.72853724957999</v>
      </c>
      <c r="K2136">
        <v>11.00213868709284</v>
      </c>
      <c r="L2136">
        <v>-1</v>
      </c>
      <c r="M2136" t="s">
        <v>69</v>
      </c>
    </row>
    <row r="2137" spans="1:13" x14ac:dyDescent="0.3">
      <c r="A2137" t="s">
        <v>24</v>
      </c>
      <c r="B2137" t="s">
        <v>61</v>
      </c>
      <c r="C2137">
        <v>691.86844295871379</v>
      </c>
      <c r="D2137">
        <v>36.8018463723187</v>
      </c>
      <c r="E2137">
        <v>50.172990628711659</v>
      </c>
      <c r="F2137">
        <v>122.317586665677</v>
      </c>
      <c r="G2137">
        <v>5.8979640284232246</v>
      </c>
      <c r="H2137">
        <v>69.95189834844102</v>
      </c>
      <c r="I2137">
        <v>28.89264391100135</v>
      </c>
      <c r="J2137">
        <v>30.536054840327569</v>
      </c>
      <c r="K2137">
        <v>11</v>
      </c>
      <c r="L2137">
        <v>-1</v>
      </c>
      <c r="M2137" t="s">
        <v>69</v>
      </c>
    </row>
    <row r="2138" spans="1:13" x14ac:dyDescent="0.3">
      <c r="A2138" t="s">
        <v>24</v>
      </c>
      <c r="B2138" t="s">
        <v>59</v>
      </c>
      <c r="C2138">
        <v>359.10243045494423</v>
      </c>
      <c r="D2138">
        <v>17.692638035964041</v>
      </c>
      <c r="E2138">
        <v>25.38132315428658</v>
      </c>
      <c r="F2138">
        <v>54.282267502454893</v>
      </c>
      <c r="G2138">
        <v>5.2136296252005758</v>
      </c>
      <c r="H2138">
        <v>77.009160097266218</v>
      </c>
      <c r="I2138">
        <v>31.407685339359819</v>
      </c>
      <c r="J2138">
        <v>30.903394313499248</v>
      </c>
      <c r="K2138">
        <v>11.038395338914819</v>
      </c>
      <c r="L2138">
        <v>-1</v>
      </c>
      <c r="M2138" t="s">
        <v>69</v>
      </c>
    </row>
    <row r="2139" spans="1:13" x14ac:dyDescent="0.3">
      <c r="A2139" t="s">
        <v>24</v>
      </c>
      <c r="B2139" t="s">
        <v>61</v>
      </c>
      <c r="C2139">
        <v>179.95917085775309</v>
      </c>
      <c r="D2139">
        <v>9.0156748779211728</v>
      </c>
      <c r="E2139">
        <v>11.521869368070019</v>
      </c>
      <c r="F2139">
        <v>29.54785104743754</v>
      </c>
      <c r="G2139">
        <v>6.0165668538930559</v>
      </c>
      <c r="H2139">
        <v>25.161084170126539</v>
      </c>
      <c r="I2139">
        <v>29.61468817480948</v>
      </c>
      <c r="J2139">
        <v>32.325548835328583</v>
      </c>
      <c r="K2139">
        <v>14.10194858892191</v>
      </c>
      <c r="L2139">
        <v>-1</v>
      </c>
      <c r="M2139" t="s">
        <v>69</v>
      </c>
    </row>
    <row r="2140" spans="1:13" x14ac:dyDescent="0.3">
      <c r="A2140" t="s">
        <v>24</v>
      </c>
      <c r="B2140" t="s">
        <v>61</v>
      </c>
      <c r="C2140">
        <v>78.862543415320147</v>
      </c>
      <c r="D2140">
        <v>4.1355086151623262</v>
      </c>
      <c r="E2140">
        <v>4.8713331496214298</v>
      </c>
      <c r="F2140">
        <v>11.948781928337411</v>
      </c>
      <c r="G2140">
        <v>6.1359146187912899</v>
      </c>
      <c r="H2140">
        <v>14.94302223990201</v>
      </c>
      <c r="I2140">
        <v>34.344453225282777</v>
      </c>
      <c r="J2140">
        <v>30.96508606233542</v>
      </c>
      <c r="K2140">
        <v>47.097676162213247</v>
      </c>
      <c r="L2140">
        <v>-1</v>
      </c>
      <c r="M2140" t="s">
        <v>69</v>
      </c>
    </row>
    <row r="2141" spans="1:13" x14ac:dyDescent="0.3">
      <c r="A2141" t="s">
        <v>24</v>
      </c>
      <c r="B2141" t="s">
        <v>61</v>
      </c>
      <c r="C2141">
        <v>123.7913195663288</v>
      </c>
      <c r="D2141">
        <v>5.774361852373409</v>
      </c>
      <c r="E2141">
        <v>8.0649652135459604</v>
      </c>
      <c r="F2141">
        <v>21.13601930928267</v>
      </c>
      <c r="G2141">
        <v>6.153401295711153</v>
      </c>
      <c r="H2141">
        <v>21.024362601650481</v>
      </c>
      <c r="I2141">
        <v>30.873420360892691</v>
      </c>
      <c r="J2141">
        <v>30.9559859704198</v>
      </c>
      <c r="K2141">
        <v>48.156020695657617</v>
      </c>
      <c r="L2141">
        <v>-1</v>
      </c>
      <c r="M2141" t="s">
        <v>69</v>
      </c>
    </row>
    <row r="2142" spans="1:13" x14ac:dyDescent="0.3">
      <c r="A2142" t="s">
        <v>24</v>
      </c>
      <c r="B2142" t="s">
        <v>60</v>
      </c>
      <c r="C2142">
        <v>611.48619670919891</v>
      </c>
      <c r="D2142">
        <v>30.546788559269359</v>
      </c>
      <c r="E2142">
        <v>41.382115222875939</v>
      </c>
      <c r="F2142">
        <v>96.723557036462921</v>
      </c>
      <c r="G2142">
        <v>6.2471642052018144</v>
      </c>
      <c r="H2142">
        <v>87.193993708107186</v>
      </c>
      <c r="I2142">
        <v>31.350916699128451</v>
      </c>
      <c r="J2142">
        <v>30.91174013061023</v>
      </c>
      <c r="K2142">
        <v>11</v>
      </c>
      <c r="L2142">
        <v>-1</v>
      </c>
      <c r="M2142" t="s">
        <v>69</v>
      </c>
    </row>
    <row r="2143" spans="1:13" x14ac:dyDescent="0.3">
      <c r="A2143" t="s">
        <v>24</v>
      </c>
      <c r="B2143" t="s">
        <v>59</v>
      </c>
      <c r="C2143">
        <v>337.2327888746766</v>
      </c>
      <c r="D2143">
        <v>16.648789121895401</v>
      </c>
      <c r="E2143">
        <v>24.139021465004259</v>
      </c>
      <c r="F2143">
        <v>53.491870523388947</v>
      </c>
      <c r="G2143">
        <v>5.1965491964734776</v>
      </c>
      <c r="H2143">
        <v>77.394891484333954</v>
      </c>
      <c r="I2143">
        <v>30.624573996191959</v>
      </c>
      <c r="J2143">
        <v>30.795474609503621</v>
      </c>
      <c r="K2143">
        <v>11</v>
      </c>
      <c r="L2143">
        <v>-1</v>
      </c>
      <c r="M2143" t="s">
        <v>69</v>
      </c>
    </row>
    <row r="2144" spans="1:13" x14ac:dyDescent="0.3">
      <c r="A2144" t="s">
        <v>25</v>
      </c>
      <c r="B2144" t="s">
        <v>62</v>
      </c>
      <c r="C2144">
        <v>90.764531290694805</v>
      </c>
      <c r="D2144">
        <v>3.5117427626573821</v>
      </c>
      <c r="E2144">
        <v>5.9795886035241193</v>
      </c>
      <c r="F2144">
        <v>13.395681307354129</v>
      </c>
      <c r="G2144">
        <v>6.9299713844823208</v>
      </c>
      <c r="H2144">
        <v>13.90196105767788</v>
      </c>
      <c r="I2144">
        <v>31.42992209037045</v>
      </c>
      <c r="J2144">
        <v>32.052378568710957</v>
      </c>
      <c r="K2144">
        <v>48.003021767698328</v>
      </c>
      <c r="L2144">
        <v>-1</v>
      </c>
      <c r="M2144" t="s">
        <v>69</v>
      </c>
    </row>
    <row r="2145" spans="1:13" x14ac:dyDescent="0.3">
      <c r="A2145" t="s">
        <v>24</v>
      </c>
      <c r="B2145" t="s">
        <v>61</v>
      </c>
      <c r="C2145">
        <v>342.23586067445399</v>
      </c>
      <c r="D2145">
        <v>17.404038730446871</v>
      </c>
      <c r="E2145">
        <v>25.02436205356825</v>
      </c>
      <c r="F2145">
        <v>55.635634671447278</v>
      </c>
      <c r="G2145">
        <v>4.6314662195178666</v>
      </c>
      <c r="H2145">
        <v>52.573554636535448</v>
      </c>
      <c r="I2145">
        <v>30.54401294128246</v>
      </c>
      <c r="J2145">
        <v>30.783959423623291</v>
      </c>
      <c r="K2145">
        <v>13.947550348245841</v>
      </c>
      <c r="L2145">
        <v>-1</v>
      </c>
      <c r="M2145" t="s">
        <v>69</v>
      </c>
    </row>
    <row r="2146" spans="1:13" x14ac:dyDescent="0.3">
      <c r="A2146" t="s">
        <v>24</v>
      </c>
      <c r="B2146" t="s">
        <v>61</v>
      </c>
      <c r="C2146">
        <v>309.4990127290024</v>
      </c>
      <c r="D2146">
        <v>16.61063275452484</v>
      </c>
      <c r="E2146">
        <v>25.09329563754866</v>
      </c>
      <c r="F2146">
        <v>58.576794348995037</v>
      </c>
      <c r="G2146">
        <v>4.4287686115160261</v>
      </c>
      <c r="H2146">
        <v>60.040890922350059</v>
      </c>
      <c r="I2146">
        <v>29.858123716346739</v>
      </c>
      <c r="J2146">
        <v>30.379948286746149</v>
      </c>
      <c r="K2146">
        <v>13.657252125979079</v>
      </c>
      <c r="L2146">
        <v>-1</v>
      </c>
      <c r="M2146" t="s">
        <v>69</v>
      </c>
    </row>
    <row r="2147" spans="1:13" x14ac:dyDescent="0.3">
      <c r="A2147" t="s">
        <v>25</v>
      </c>
      <c r="B2147" t="s">
        <v>62</v>
      </c>
      <c r="C2147">
        <v>90.232881542196168</v>
      </c>
      <c r="D2147">
        <v>3.3908722043192481</v>
      </c>
      <c r="E2147">
        <v>5.1061259395381056</v>
      </c>
      <c r="F2147">
        <v>16.309047743334201</v>
      </c>
      <c r="G2147">
        <v>7.0123375600824964</v>
      </c>
      <c r="H2147">
        <v>16.06618150696557</v>
      </c>
      <c r="I2147">
        <v>34.219300382944233</v>
      </c>
      <c r="J2147">
        <v>31.244068431539649</v>
      </c>
      <c r="K2147">
        <v>47.872891545414632</v>
      </c>
      <c r="L2147">
        <v>-1</v>
      </c>
      <c r="M2147" t="s">
        <v>69</v>
      </c>
    </row>
    <row r="2148" spans="1:13" x14ac:dyDescent="0.3">
      <c r="A2148" t="s">
        <v>24</v>
      </c>
      <c r="B2148" t="s">
        <v>61</v>
      </c>
      <c r="C2148">
        <v>81.735857069904228</v>
      </c>
      <c r="D2148">
        <v>4.237460778990676</v>
      </c>
      <c r="E2148">
        <v>5.2506763930308944</v>
      </c>
      <c r="F2148">
        <v>10.483202795680629</v>
      </c>
      <c r="G2148">
        <v>6.2957461009371869</v>
      </c>
      <c r="H2148">
        <v>15.0212269707703</v>
      </c>
      <c r="I2148">
        <v>34.929333820167841</v>
      </c>
      <c r="J2148">
        <v>30.739740103689989</v>
      </c>
      <c r="K2148">
        <v>47.614679642312687</v>
      </c>
      <c r="L2148">
        <v>-1</v>
      </c>
      <c r="M2148" t="s">
        <v>69</v>
      </c>
    </row>
    <row r="2149" spans="1:13" x14ac:dyDescent="0.3">
      <c r="A2149" t="s">
        <v>25</v>
      </c>
      <c r="B2149" t="s">
        <v>62</v>
      </c>
      <c r="C2149">
        <v>91.588747055082166</v>
      </c>
      <c r="D2149">
        <v>4.003595649004116</v>
      </c>
      <c r="E2149">
        <v>5.7029303144612573</v>
      </c>
      <c r="F2149">
        <v>12.703732409493799</v>
      </c>
      <c r="G2149">
        <v>6.7129890364238438</v>
      </c>
      <c r="H2149">
        <v>14.360530252194179</v>
      </c>
      <c r="I2149">
        <v>31.084496822354978</v>
      </c>
      <c r="J2149">
        <v>29.18600726079881</v>
      </c>
      <c r="K2149">
        <v>46.815952895670762</v>
      </c>
      <c r="L2149">
        <v>-1</v>
      </c>
      <c r="M2149" t="s">
        <v>69</v>
      </c>
    </row>
    <row r="2150" spans="1:13" x14ac:dyDescent="0.3">
      <c r="A2150" t="s">
        <v>25</v>
      </c>
      <c r="B2150" t="s">
        <v>62</v>
      </c>
      <c r="C2150">
        <v>92.111246706990158</v>
      </c>
      <c r="D2150">
        <v>3.7453753043810361</v>
      </c>
      <c r="E2150">
        <v>5.9806106834881314</v>
      </c>
      <c r="F2150">
        <v>13.632509249010861</v>
      </c>
      <c r="G2150">
        <v>6.8623877862635494</v>
      </c>
      <c r="H2150">
        <v>13.9</v>
      </c>
      <c r="I2150">
        <v>33.502846726393507</v>
      </c>
      <c r="J2150">
        <v>30.59316946389055</v>
      </c>
      <c r="K2150">
        <v>47.412799566082192</v>
      </c>
      <c r="L2150">
        <v>-1</v>
      </c>
      <c r="M2150" t="s">
        <v>69</v>
      </c>
    </row>
    <row r="2151" spans="1:13" x14ac:dyDescent="0.3">
      <c r="A2151" t="s">
        <v>24</v>
      </c>
      <c r="B2151" t="s">
        <v>61</v>
      </c>
      <c r="C2151">
        <v>81.128644938604708</v>
      </c>
      <c r="D2151">
        <v>3.950033363810308</v>
      </c>
      <c r="E2151">
        <v>4.8293445681047693</v>
      </c>
      <c r="F2151">
        <v>13.014043406181511</v>
      </c>
      <c r="G2151">
        <v>6.1667037556086743</v>
      </c>
      <c r="H2151">
        <v>15.039846542302611</v>
      </c>
      <c r="I2151">
        <v>34.280996220188847</v>
      </c>
      <c r="J2151">
        <v>32.153597486747032</v>
      </c>
      <c r="K2151">
        <v>47.784230722997108</v>
      </c>
      <c r="L2151">
        <v>-1</v>
      </c>
      <c r="M2151" t="s">
        <v>69</v>
      </c>
    </row>
    <row r="2152" spans="1:13" x14ac:dyDescent="0.3">
      <c r="A2152" t="s">
        <v>24</v>
      </c>
      <c r="B2152" t="s">
        <v>60</v>
      </c>
      <c r="C2152">
        <v>513.56585948110614</v>
      </c>
      <c r="D2152">
        <v>25.000685133404051</v>
      </c>
      <c r="E2152">
        <v>34.879422698383571</v>
      </c>
      <c r="F2152">
        <v>82.686695566374453</v>
      </c>
      <c r="G2152">
        <v>5.3874945513447354</v>
      </c>
      <c r="H2152">
        <v>64.025376651448283</v>
      </c>
      <c r="I2152">
        <v>30.791561304277479</v>
      </c>
      <c r="J2152">
        <v>31.248503111437088</v>
      </c>
      <c r="K2152">
        <v>11.053027101156889</v>
      </c>
      <c r="L2152">
        <v>-1</v>
      </c>
      <c r="M2152" t="s">
        <v>69</v>
      </c>
    </row>
    <row r="2153" spans="1:13" x14ac:dyDescent="0.3">
      <c r="A2153" t="s">
        <v>24</v>
      </c>
      <c r="B2153" t="s">
        <v>61</v>
      </c>
      <c r="C2153">
        <v>338.94880086608151</v>
      </c>
      <c r="D2153">
        <v>16.007587880300669</v>
      </c>
      <c r="E2153">
        <v>23.151015212381591</v>
      </c>
      <c r="F2153">
        <v>54.537590958255109</v>
      </c>
      <c r="G2153">
        <v>4.3</v>
      </c>
      <c r="H2153">
        <v>57.225534864029299</v>
      </c>
      <c r="I2153">
        <v>29.55007047798178</v>
      </c>
      <c r="J2153">
        <v>30.983251219647642</v>
      </c>
      <c r="K2153">
        <v>13.988349651258201</v>
      </c>
      <c r="L2153">
        <v>-1</v>
      </c>
      <c r="M2153" t="s">
        <v>69</v>
      </c>
    </row>
    <row r="2154" spans="1:13" x14ac:dyDescent="0.3">
      <c r="A2154" t="s">
        <v>24</v>
      </c>
      <c r="B2154" t="s">
        <v>60</v>
      </c>
      <c r="C2154">
        <v>519.2348698449855</v>
      </c>
      <c r="D2154">
        <v>23.45821793820808</v>
      </c>
      <c r="E2154">
        <v>39.410036486159157</v>
      </c>
      <c r="F2154">
        <v>85.28449894460951</v>
      </c>
      <c r="G2154">
        <v>5.373478525952823</v>
      </c>
      <c r="H2154">
        <v>67.903252317540691</v>
      </c>
      <c r="I2154">
        <v>31.310713631607172</v>
      </c>
      <c r="J2154">
        <v>31.543626326384359</v>
      </c>
      <c r="K2154">
        <v>11</v>
      </c>
      <c r="L2154">
        <v>-1</v>
      </c>
      <c r="M2154" t="s">
        <v>69</v>
      </c>
    </row>
    <row r="2155" spans="1:13" x14ac:dyDescent="0.3">
      <c r="A2155" t="s">
        <v>24</v>
      </c>
      <c r="B2155" t="s">
        <v>61</v>
      </c>
      <c r="C2155">
        <v>191.0869694041954</v>
      </c>
      <c r="D2155">
        <v>8.4520319637212324</v>
      </c>
      <c r="E2155">
        <v>11.642520177006951</v>
      </c>
      <c r="F2155">
        <v>27.76908626599629</v>
      </c>
      <c r="G2155">
        <v>6.1064177851801054</v>
      </c>
      <c r="H2155">
        <v>24.356941671105719</v>
      </c>
      <c r="I2155">
        <v>29.934385051387739</v>
      </c>
      <c r="J2155">
        <v>32.366224534508589</v>
      </c>
      <c r="K2155">
        <v>14.03703850921875</v>
      </c>
      <c r="L2155">
        <v>-1</v>
      </c>
      <c r="M2155" t="s">
        <v>69</v>
      </c>
    </row>
    <row r="2156" spans="1:13" x14ac:dyDescent="0.3">
      <c r="A2156" t="s">
        <v>24</v>
      </c>
      <c r="B2156" t="s">
        <v>60</v>
      </c>
      <c r="C2156">
        <v>510.2411416167098</v>
      </c>
      <c r="D2156">
        <v>24.633488548454832</v>
      </c>
      <c r="E2156">
        <v>39.053201603321433</v>
      </c>
      <c r="F2156">
        <v>82.935667212014238</v>
      </c>
      <c r="G2156">
        <v>5.4626808752303209</v>
      </c>
      <c r="H2156">
        <v>67.542596034814224</v>
      </c>
      <c r="I2156">
        <v>31.45583002255497</v>
      </c>
      <c r="J2156">
        <v>30.155194535969269</v>
      </c>
      <c r="K2156">
        <v>11.03327258778177</v>
      </c>
      <c r="L2156">
        <v>-1</v>
      </c>
      <c r="M2156" t="s">
        <v>69</v>
      </c>
    </row>
    <row r="2157" spans="1:13" x14ac:dyDescent="0.3">
      <c r="A2157" t="s">
        <v>24</v>
      </c>
      <c r="B2157" t="s">
        <v>61</v>
      </c>
      <c r="C2157">
        <v>84.629220805174185</v>
      </c>
      <c r="D2157">
        <v>3.9668738966057222</v>
      </c>
      <c r="E2157">
        <v>4.1831367974632361</v>
      </c>
      <c r="F2157">
        <v>12.58075200125219</v>
      </c>
      <c r="G2157">
        <v>6.2210536287465548</v>
      </c>
      <c r="H2157">
        <v>15.866630043602671</v>
      </c>
      <c r="I2157">
        <v>33.33832545342986</v>
      </c>
      <c r="J2157">
        <v>31.141060473599211</v>
      </c>
      <c r="K2157">
        <v>49.521547749021238</v>
      </c>
      <c r="L2157">
        <v>-1</v>
      </c>
      <c r="M2157" t="s">
        <v>69</v>
      </c>
    </row>
    <row r="2158" spans="1:13" x14ac:dyDescent="0.3">
      <c r="A2158" t="s">
        <v>24</v>
      </c>
      <c r="B2158" t="s">
        <v>61</v>
      </c>
      <c r="C2158">
        <v>76.322695289553707</v>
      </c>
      <c r="D2158">
        <v>4.1837245101117224</v>
      </c>
      <c r="E2158">
        <v>4.9275443472625922</v>
      </c>
      <c r="F2158">
        <v>12.28472079720393</v>
      </c>
      <c r="G2158">
        <v>6.1323514497426119</v>
      </c>
      <c r="H2158">
        <v>14.781998392274581</v>
      </c>
      <c r="I2158">
        <v>34.233577023414689</v>
      </c>
      <c r="J2158">
        <v>31.29125784657775</v>
      </c>
      <c r="K2158">
        <v>46.673315513414543</v>
      </c>
      <c r="L2158">
        <v>-1</v>
      </c>
      <c r="M2158" t="s">
        <v>69</v>
      </c>
    </row>
    <row r="2159" spans="1:13" x14ac:dyDescent="0.3">
      <c r="A2159" t="s">
        <v>24</v>
      </c>
      <c r="B2159" t="s">
        <v>60</v>
      </c>
      <c r="C2159">
        <v>544.77006185112191</v>
      </c>
      <c r="D2159">
        <v>25.371794125409071</v>
      </c>
      <c r="E2159">
        <v>42.832192830278167</v>
      </c>
      <c r="F2159">
        <v>92.793092304703862</v>
      </c>
      <c r="G2159">
        <v>6.2422531983129366</v>
      </c>
      <c r="H2159">
        <v>86.383711970510745</v>
      </c>
      <c r="I2159">
        <v>30.504728350625651</v>
      </c>
      <c r="J2159">
        <v>31.702030994585609</v>
      </c>
      <c r="K2159">
        <v>11.24617911892437</v>
      </c>
      <c r="L2159">
        <v>-1</v>
      </c>
      <c r="M2159" t="s">
        <v>69</v>
      </c>
    </row>
    <row r="2160" spans="1:13" x14ac:dyDescent="0.3">
      <c r="A2160" t="s">
        <v>19</v>
      </c>
      <c r="B2160" t="s">
        <v>46</v>
      </c>
      <c r="C2160">
        <v>26.40148920627934</v>
      </c>
      <c r="D2160">
        <v>1.0449116019785949</v>
      </c>
      <c r="E2160">
        <v>0.86858676241427535</v>
      </c>
      <c r="F2160">
        <v>3.7104832058142101</v>
      </c>
      <c r="G2160">
        <v>6.0253709671926963</v>
      </c>
      <c r="H2160">
        <v>19.860536356430469</v>
      </c>
      <c r="I2160">
        <v>29.725826029384582</v>
      </c>
      <c r="J2160">
        <v>26.157945535867569</v>
      </c>
      <c r="K2160">
        <v>727.74982364830782</v>
      </c>
      <c r="L2160">
        <v>-1</v>
      </c>
      <c r="M2160" t="s">
        <v>69</v>
      </c>
    </row>
    <row r="2161" spans="1:13" x14ac:dyDescent="0.3">
      <c r="A2161" t="s">
        <v>24</v>
      </c>
      <c r="B2161" t="s">
        <v>61</v>
      </c>
      <c r="C2161">
        <v>698.626114026972</v>
      </c>
      <c r="D2161">
        <v>37.896728877797123</v>
      </c>
      <c r="E2161">
        <v>49.90237160960433</v>
      </c>
      <c r="F2161">
        <v>121.8654716037411</v>
      </c>
      <c r="G2161">
        <v>5.9285817434473671</v>
      </c>
      <c r="H2161">
        <v>69.903264788101424</v>
      </c>
      <c r="I2161">
        <v>29.021307511402711</v>
      </c>
      <c r="J2161">
        <v>30.669542864439371</v>
      </c>
      <c r="K2161">
        <v>11.03641048789086</v>
      </c>
      <c r="L2161">
        <v>-1</v>
      </c>
      <c r="M2161" t="s">
        <v>69</v>
      </c>
    </row>
    <row r="2162" spans="1:13" x14ac:dyDescent="0.3">
      <c r="A2162" t="s">
        <v>24</v>
      </c>
      <c r="B2162" t="s">
        <v>61</v>
      </c>
      <c r="C2162">
        <v>175.32922485549111</v>
      </c>
      <c r="D2162">
        <v>8.236835934010994</v>
      </c>
      <c r="E2162">
        <v>12.43789490609497</v>
      </c>
      <c r="F2162">
        <v>30.347749443031649</v>
      </c>
      <c r="G2162">
        <v>6.2379775734454723</v>
      </c>
      <c r="H2162">
        <v>25.855792015064889</v>
      </c>
      <c r="I2162">
        <v>29.617338462984819</v>
      </c>
      <c r="J2162">
        <v>31.448776673135701</v>
      </c>
      <c r="K2162">
        <v>14.048587229165831</v>
      </c>
      <c r="L2162">
        <v>-1</v>
      </c>
      <c r="M2162" t="s">
        <v>69</v>
      </c>
    </row>
    <row r="2163" spans="1:13" x14ac:dyDescent="0.3">
      <c r="A2163" t="s">
        <v>24</v>
      </c>
      <c r="B2163" t="s">
        <v>59</v>
      </c>
      <c r="C2163">
        <v>356.53794754344477</v>
      </c>
      <c r="D2163">
        <v>21.149195843551869</v>
      </c>
      <c r="E2163">
        <v>21.902873122559502</v>
      </c>
      <c r="F2163">
        <v>57.822188352516868</v>
      </c>
      <c r="G2163">
        <v>5.26233398343002</v>
      </c>
      <c r="H2163">
        <v>74.520997693268555</v>
      </c>
      <c r="I2163">
        <v>29.58677365791964</v>
      </c>
      <c r="J2163">
        <v>31.755310748704321</v>
      </c>
      <c r="K2163">
        <v>11</v>
      </c>
      <c r="L2163">
        <v>-1</v>
      </c>
      <c r="M2163" t="s">
        <v>69</v>
      </c>
    </row>
    <row r="2164" spans="1:13" x14ac:dyDescent="0.3">
      <c r="A2164" t="s">
        <v>24</v>
      </c>
      <c r="B2164" t="s">
        <v>61</v>
      </c>
      <c r="C2164">
        <v>348.9416981629526</v>
      </c>
      <c r="D2164">
        <v>15.429914194159871</v>
      </c>
      <c r="E2164">
        <v>22.526856716067591</v>
      </c>
      <c r="F2164">
        <v>53.486215955383422</v>
      </c>
      <c r="G2164">
        <v>4.3456174818297839</v>
      </c>
      <c r="H2164">
        <v>52.988416143000549</v>
      </c>
      <c r="I2164">
        <v>30.300551001830819</v>
      </c>
      <c r="J2164">
        <v>31.143586546791539</v>
      </c>
      <c r="K2164">
        <v>13.980251418301579</v>
      </c>
      <c r="L2164">
        <v>-1</v>
      </c>
      <c r="M2164" t="s">
        <v>69</v>
      </c>
    </row>
    <row r="2165" spans="1:13" x14ac:dyDescent="0.3">
      <c r="A2165" t="s">
        <v>24</v>
      </c>
      <c r="B2165" t="s">
        <v>61</v>
      </c>
      <c r="C2165">
        <v>81.141402966307609</v>
      </c>
      <c r="D2165">
        <v>3.998531264562768</v>
      </c>
      <c r="E2165">
        <v>5.0510886615743296</v>
      </c>
      <c r="F2165">
        <v>11.770890470441021</v>
      </c>
      <c r="G2165">
        <v>6.1964157393301047</v>
      </c>
      <c r="H2165">
        <v>14.79222696138326</v>
      </c>
      <c r="I2165">
        <v>34.724532593514397</v>
      </c>
      <c r="J2165">
        <v>30.933883256440861</v>
      </c>
      <c r="K2165">
        <v>47.947375638200363</v>
      </c>
      <c r="L2165">
        <v>-1</v>
      </c>
      <c r="M2165" t="s">
        <v>69</v>
      </c>
    </row>
    <row r="2166" spans="1:13" x14ac:dyDescent="0.3">
      <c r="A2166" t="s">
        <v>24</v>
      </c>
      <c r="B2166" t="s">
        <v>61</v>
      </c>
      <c r="C2166">
        <v>340.42524797424181</v>
      </c>
      <c r="D2166">
        <v>17.36711648495233</v>
      </c>
      <c r="E2166">
        <v>24.633405403489071</v>
      </c>
      <c r="F2166">
        <v>52.948618984105757</v>
      </c>
      <c r="G2166">
        <v>4.3236100401827029</v>
      </c>
      <c r="H2166">
        <v>60.679733441741448</v>
      </c>
      <c r="I2166">
        <v>29.330189578054849</v>
      </c>
      <c r="J2166">
        <v>31.133115095731199</v>
      </c>
      <c r="K2166">
        <v>13.938775141531551</v>
      </c>
      <c r="L2166">
        <v>-1</v>
      </c>
      <c r="M2166" t="s">
        <v>69</v>
      </c>
    </row>
    <row r="2167" spans="1:13" x14ac:dyDescent="0.3">
      <c r="A2167" t="s">
        <v>24</v>
      </c>
      <c r="B2167" t="s">
        <v>61</v>
      </c>
      <c r="C2167">
        <v>122.51532330870251</v>
      </c>
      <c r="D2167">
        <v>6.8816677922530669</v>
      </c>
      <c r="E2167">
        <v>6.5901728140593896</v>
      </c>
      <c r="F2167">
        <v>18.963698796367389</v>
      </c>
      <c r="G2167">
        <v>6.1492911630613891</v>
      </c>
      <c r="H2167">
        <v>21.303119241697839</v>
      </c>
      <c r="I2167">
        <v>31.031201118339919</v>
      </c>
      <c r="J2167">
        <v>30.616956309328099</v>
      </c>
      <c r="K2167">
        <v>46.456903397834367</v>
      </c>
      <c r="L2167">
        <v>-1</v>
      </c>
      <c r="M2167" t="s">
        <v>69</v>
      </c>
    </row>
    <row r="2168" spans="1:13" x14ac:dyDescent="0.3">
      <c r="A2168" t="s">
        <v>24</v>
      </c>
      <c r="B2168" t="s">
        <v>59</v>
      </c>
      <c r="C2168">
        <v>352.53138407946392</v>
      </c>
      <c r="D2168">
        <v>17.062750426372741</v>
      </c>
      <c r="E2168">
        <v>24.480237886684009</v>
      </c>
      <c r="F2168">
        <v>55.913142809590369</v>
      </c>
      <c r="G2168">
        <v>5.1980346076602419</v>
      </c>
      <c r="H2168">
        <v>75.157996789695062</v>
      </c>
      <c r="I2168">
        <v>30.647952321976089</v>
      </c>
      <c r="J2168">
        <v>30.951882328601119</v>
      </c>
      <c r="K2168">
        <v>11.015608196267751</v>
      </c>
      <c r="L2168">
        <v>-1</v>
      </c>
      <c r="M2168" t="s">
        <v>69</v>
      </c>
    </row>
    <row r="2169" spans="1:13" x14ac:dyDescent="0.3">
      <c r="A2169" t="s">
        <v>24</v>
      </c>
      <c r="B2169" t="s">
        <v>61</v>
      </c>
      <c r="C2169">
        <v>703.94863466736319</v>
      </c>
      <c r="D2169">
        <v>38.742339633448147</v>
      </c>
      <c r="E2169">
        <v>49.655035300923132</v>
      </c>
      <c r="F2169">
        <v>121.37276481900081</v>
      </c>
      <c r="G2169">
        <v>5.9540173900995574</v>
      </c>
      <c r="H2169">
        <v>69.864946529423548</v>
      </c>
      <c r="I2169">
        <v>29.127982264287581</v>
      </c>
      <c r="J2169">
        <v>30.780627199867379</v>
      </c>
      <c r="K2169">
        <v>11.06545530373705</v>
      </c>
      <c r="L2169">
        <v>-1</v>
      </c>
      <c r="M2169" t="s">
        <v>69</v>
      </c>
    </row>
    <row r="2170" spans="1:13" x14ac:dyDescent="0.3">
      <c r="A2170" t="s">
        <v>24</v>
      </c>
      <c r="B2170" t="s">
        <v>59</v>
      </c>
      <c r="C2170">
        <v>366.9942466747035</v>
      </c>
      <c r="D2170">
        <v>16.479015422523791</v>
      </c>
      <c r="E2170">
        <v>24.878434135067899</v>
      </c>
      <c r="F2170">
        <v>56.325688638173602</v>
      </c>
      <c r="G2170">
        <v>5.1288281425610078</v>
      </c>
      <c r="H2170">
        <v>77.659424455693738</v>
      </c>
      <c r="I2170">
        <v>31.52403956630382</v>
      </c>
      <c r="J2170">
        <v>30.202218126255651</v>
      </c>
      <c r="K2170">
        <v>11</v>
      </c>
      <c r="L2170">
        <v>-1</v>
      </c>
      <c r="M2170" t="s">
        <v>69</v>
      </c>
    </row>
    <row r="2171" spans="1:13" x14ac:dyDescent="0.3">
      <c r="A2171" t="s">
        <v>24</v>
      </c>
      <c r="B2171" t="s">
        <v>61</v>
      </c>
      <c r="C2171">
        <v>694.27418090818242</v>
      </c>
      <c r="D2171">
        <v>33.731962940573993</v>
      </c>
      <c r="E2171">
        <v>45.350538715374213</v>
      </c>
      <c r="F2171">
        <v>109.71706517935471</v>
      </c>
      <c r="G2171">
        <v>6.1354478813618272</v>
      </c>
      <c r="H2171">
        <v>72.623483964647221</v>
      </c>
      <c r="I2171">
        <v>30.694556344742239</v>
      </c>
      <c r="J2171">
        <v>30.633455845577998</v>
      </c>
      <c r="K2171">
        <v>11.07551381254552</v>
      </c>
      <c r="L2171">
        <v>-1</v>
      </c>
      <c r="M2171" t="s">
        <v>69</v>
      </c>
    </row>
    <row r="2172" spans="1:13" x14ac:dyDescent="0.3">
      <c r="A2172" t="s">
        <v>24</v>
      </c>
      <c r="B2172" t="s">
        <v>61</v>
      </c>
      <c r="C2172">
        <v>330.60745796409122</v>
      </c>
      <c r="D2172">
        <v>18.237674786882909</v>
      </c>
      <c r="E2172">
        <v>21.39730397030543</v>
      </c>
      <c r="F2172">
        <v>51.865541530012983</v>
      </c>
      <c r="G2172">
        <v>4.4752883110346264</v>
      </c>
      <c r="H2172">
        <v>55.663755222132522</v>
      </c>
      <c r="I2172">
        <v>28.479661596919222</v>
      </c>
      <c r="J2172">
        <v>32.163198538791328</v>
      </c>
      <c r="K2172">
        <v>14.10902018515344</v>
      </c>
      <c r="L2172">
        <v>-1</v>
      </c>
      <c r="M2172" t="s">
        <v>69</v>
      </c>
    </row>
    <row r="2173" spans="1:13" x14ac:dyDescent="0.3">
      <c r="A2173" t="s">
        <v>24</v>
      </c>
      <c r="B2173" t="s">
        <v>61</v>
      </c>
      <c r="C2173">
        <v>333.66220777298508</v>
      </c>
      <c r="D2173">
        <v>17.60787416191566</v>
      </c>
      <c r="E2173">
        <v>22.158207767414641</v>
      </c>
      <c r="F2173">
        <v>50.801794532836368</v>
      </c>
      <c r="G2173">
        <v>4.3</v>
      </c>
      <c r="H2173">
        <v>56.317261557530493</v>
      </c>
      <c r="I2173">
        <v>29.887001844297799</v>
      </c>
      <c r="J2173">
        <v>31.39359068551472</v>
      </c>
      <c r="K2173">
        <v>13.875260169559169</v>
      </c>
      <c r="L2173">
        <v>-1</v>
      </c>
      <c r="M2173" t="s">
        <v>69</v>
      </c>
    </row>
    <row r="2174" spans="1:13" x14ac:dyDescent="0.3">
      <c r="A2174" t="s">
        <v>24</v>
      </c>
      <c r="B2174" t="s">
        <v>61</v>
      </c>
      <c r="C2174">
        <v>122.7953632913737</v>
      </c>
      <c r="D2174">
        <v>5.8225655847435558</v>
      </c>
      <c r="E2174">
        <v>7.8205524429069158</v>
      </c>
      <c r="F2174">
        <v>21.541174254733502</v>
      </c>
      <c r="G2174">
        <v>6.0937065043949632</v>
      </c>
      <c r="H2174">
        <v>20.8253770732743</v>
      </c>
      <c r="I2174">
        <v>30.98410085646163</v>
      </c>
      <c r="J2174">
        <v>31.02854834294909</v>
      </c>
      <c r="K2174">
        <v>47.871464307582301</v>
      </c>
      <c r="L2174">
        <v>-1</v>
      </c>
      <c r="M2174" t="s">
        <v>69</v>
      </c>
    </row>
    <row r="2175" spans="1:13" x14ac:dyDescent="0.3">
      <c r="A2175" t="s">
        <v>24</v>
      </c>
      <c r="B2175" t="s">
        <v>59</v>
      </c>
      <c r="C2175">
        <v>358.89597552029318</v>
      </c>
      <c r="D2175">
        <v>20.632549880913789</v>
      </c>
      <c r="E2175">
        <v>21.90290743959202</v>
      </c>
      <c r="F2175">
        <v>56.180165125997462</v>
      </c>
      <c r="G2175">
        <v>5.2758944655698983</v>
      </c>
      <c r="H2175">
        <v>74.520614373932645</v>
      </c>
      <c r="I2175">
        <v>29.72941819278692</v>
      </c>
      <c r="J2175">
        <v>31.56340948536339</v>
      </c>
      <c r="K2175">
        <v>11</v>
      </c>
      <c r="L2175">
        <v>-1</v>
      </c>
      <c r="M2175" t="s">
        <v>69</v>
      </c>
    </row>
    <row r="2176" spans="1:13" x14ac:dyDescent="0.3">
      <c r="A2176" t="s">
        <v>19</v>
      </c>
      <c r="B2176" t="s">
        <v>47</v>
      </c>
      <c r="C2176">
        <v>29.311294066485171</v>
      </c>
      <c r="D2176">
        <v>1.050490254278621</v>
      </c>
      <c r="E2176">
        <v>1.4339057136297011</v>
      </c>
      <c r="F2176">
        <v>3.8247433174244119</v>
      </c>
      <c r="G2176">
        <v>5.987127726122349</v>
      </c>
      <c r="H2176">
        <v>20.677604455514729</v>
      </c>
      <c r="I2176">
        <v>30.410884001544382</v>
      </c>
      <c r="J2176">
        <v>26.036616220166259</v>
      </c>
      <c r="K2176">
        <v>733.14028045735847</v>
      </c>
      <c r="L2176">
        <v>-1</v>
      </c>
      <c r="M2176" t="s">
        <v>69</v>
      </c>
    </row>
    <row r="2177" spans="1:13" x14ac:dyDescent="0.3">
      <c r="A2177" t="s">
        <v>24</v>
      </c>
      <c r="B2177" t="s">
        <v>61</v>
      </c>
      <c r="C2177">
        <v>699.77474126387233</v>
      </c>
      <c r="D2177">
        <v>40.590789865494003</v>
      </c>
      <c r="E2177">
        <v>47.738977465079387</v>
      </c>
      <c r="F2177">
        <v>106.91688313000451</v>
      </c>
      <c r="G2177">
        <v>5.9308838895067391</v>
      </c>
      <c r="H2177">
        <v>68.363568571830314</v>
      </c>
      <c r="I2177">
        <v>29.39767928155802</v>
      </c>
      <c r="J2177">
        <v>30.968788707548061</v>
      </c>
      <c r="K2177">
        <v>11.204481814394059</v>
      </c>
      <c r="L2177">
        <v>-1</v>
      </c>
      <c r="M2177" t="s">
        <v>69</v>
      </c>
    </row>
    <row r="2178" spans="1:13" x14ac:dyDescent="0.3">
      <c r="A2178" t="s">
        <v>24</v>
      </c>
      <c r="B2178" t="s">
        <v>61</v>
      </c>
      <c r="C2178">
        <v>339.4480015224708</v>
      </c>
      <c r="D2178">
        <v>17.234325016389359</v>
      </c>
      <c r="E2178">
        <v>23.886703188385269</v>
      </c>
      <c r="F2178">
        <v>54.761996322990598</v>
      </c>
      <c r="G2178">
        <v>4.6012929249835226</v>
      </c>
      <c r="H2178">
        <v>55.498430610763407</v>
      </c>
      <c r="I2178">
        <v>30.944059989766441</v>
      </c>
      <c r="J2178">
        <v>30.904280899436419</v>
      </c>
      <c r="K2178">
        <v>14.08629460086695</v>
      </c>
      <c r="L2178">
        <v>-1</v>
      </c>
      <c r="M2178" t="s">
        <v>69</v>
      </c>
    </row>
    <row r="2179" spans="1:13" x14ac:dyDescent="0.3">
      <c r="A2179" t="s">
        <v>24</v>
      </c>
      <c r="B2179" t="s">
        <v>60</v>
      </c>
      <c r="C2179">
        <v>509.10214235322212</v>
      </c>
      <c r="D2179">
        <v>21.62537334868486</v>
      </c>
      <c r="E2179">
        <v>37.983309594333022</v>
      </c>
      <c r="F2179">
        <v>83.112750362095369</v>
      </c>
      <c r="G2179">
        <v>5.2745736549584183</v>
      </c>
      <c r="H2179">
        <v>67.178210924269194</v>
      </c>
      <c r="I2179">
        <v>31.64844783159776</v>
      </c>
      <c r="J2179">
        <v>31.578484165620122</v>
      </c>
      <c r="K2179">
        <v>11.016576641584381</v>
      </c>
      <c r="L2179">
        <v>-1</v>
      </c>
      <c r="M2179" t="s">
        <v>69</v>
      </c>
    </row>
    <row r="2180" spans="1:13" x14ac:dyDescent="0.3">
      <c r="A2180" t="s">
        <v>24</v>
      </c>
      <c r="B2180" t="s">
        <v>60</v>
      </c>
      <c r="C2180">
        <v>508.92172982295949</v>
      </c>
      <c r="D2180">
        <v>21.62036986393468</v>
      </c>
      <c r="E2180">
        <v>37.917559367198884</v>
      </c>
      <c r="F2180">
        <v>83.050205369197243</v>
      </c>
      <c r="G2180">
        <v>5.2829167728598652</v>
      </c>
      <c r="H2180">
        <v>67.032402190287058</v>
      </c>
      <c r="I2180">
        <v>31.594918237258181</v>
      </c>
      <c r="J2180">
        <v>31.56295890603888</v>
      </c>
      <c r="K2180">
        <v>11.022203055849561</v>
      </c>
      <c r="L2180">
        <v>-1</v>
      </c>
      <c r="M2180" t="s">
        <v>69</v>
      </c>
    </row>
    <row r="2181" spans="1:13" x14ac:dyDescent="0.3">
      <c r="A2181" t="s">
        <v>24</v>
      </c>
      <c r="B2181" t="s">
        <v>58</v>
      </c>
      <c r="C2181">
        <v>29.155349889745651</v>
      </c>
      <c r="D2181">
        <v>0.97402535775974641</v>
      </c>
      <c r="E2181">
        <v>1.8115423866205249</v>
      </c>
      <c r="F2181">
        <v>4.2293947180757154</v>
      </c>
      <c r="G2181">
        <v>6.1104659351072739</v>
      </c>
      <c r="H2181">
        <v>22.71439093963804</v>
      </c>
      <c r="I2181">
        <v>29.481537413082972</v>
      </c>
      <c r="J2181">
        <v>25.766988491369379</v>
      </c>
      <c r="K2181">
        <v>742.96591873456953</v>
      </c>
      <c r="L2181">
        <v>-1</v>
      </c>
      <c r="M2181" t="s">
        <v>69</v>
      </c>
    </row>
    <row r="2182" spans="1:13" x14ac:dyDescent="0.3">
      <c r="A2182" t="s">
        <v>24</v>
      </c>
      <c r="B2182" t="s">
        <v>61</v>
      </c>
      <c r="C2182">
        <v>353.31708798910017</v>
      </c>
      <c r="D2182">
        <v>14.866638676368449</v>
      </c>
      <c r="E2182">
        <v>23.514248557795671</v>
      </c>
      <c r="F2182">
        <v>55.327154933784243</v>
      </c>
      <c r="G2182">
        <v>4.3057560504568144</v>
      </c>
      <c r="H2182">
        <v>55.993323850820182</v>
      </c>
      <c r="I2182">
        <v>30.385124113116319</v>
      </c>
      <c r="J2182">
        <v>30.192209195854069</v>
      </c>
      <c r="K2182">
        <v>14.10739256361035</v>
      </c>
      <c r="L2182">
        <v>-1</v>
      </c>
      <c r="M2182" t="s">
        <v>69</v>
      </c>
    </row>
    <row r="2183" spans="1:13" x14ac:dyDescent="0.3">
      <c r="A2183" t="s">
        <v>24</v>
      </c>
      <c r="B2183" t="s">
        <v>60</v>
      </c>
      <c r="C2183">
        <v>509.11344289852792</v>
      </c>
      <c r="D2183">
        <v>25.000329010432829</v>
      </c>
      <c r="E2183">
        <v>34.942097130340308</v>
      </c>
      <c r="F2183">
        <v>82.329760604546919</v>
      </c>
      <c r="G2183">
        <v>5.3939947124888796</v>
      </c>
      <c r="H2183">
        <v>64.479993903714842</v>
      </c>
      <c r="I2183">
        <v>30.899904887000609</v>
      </c>
      <c r="J2183">
        <v>31.11933459348214</v>
      </c>
      <c r="K2183">
        <v>11.025464339353681</v>
      </c>
      <c r="L2183">
        <v>-1</v>
      </c>
      <c r="M2183" t="s">
        <v>69</v>
      </c>
    </row>
    <row r="2184" spans="1:13" x14ac:dyDescent="0.3">
      <c r="A2184" t="s">
        <v>24</v>
      </c>
      <c r="B2184" t="s">
        <v>60</v>
      </c>
      <c r="C2184">
        <v>499.74562249765421</v>
      </c>
      <c r="D2184">
        <v>24.040938030552649</v>
      </c>
      <c r="E2184">
        <v>34.813689555511431</v>
      </c>
      <c r="F2184">
        <v>78.892959762315513</v>
      </c>
      <c r="G2184">
        <v>5.4407441052327377</v>
      </c>
      <c r="H2184">
        <v>71.323189939094618</v>
      </c>
      <c r="I2184">
        <v>32.868317544719943</v>
      </c>
      <c r="J2184">
        <v>29.44324142114732</v>
      </c>
      <c r="K2184">
        <v>11.00302802099168</v>
      </c>
      <c r="L2184">
        <v>-1</v>
      </c>
      <c r="M2184" t="s">
        <v>69</v>
      </c>
    </row>
    <row r="2185" spans="1:13" x14ac:dyDescent="0.3">
      <c r="A2185" t="s">
        <v>19</v>
      </c>
      <c r="B2185" t="s">
        <v>46</v>
      </c>
      <c r="C2185">
        <v>27.688220340089732</v>
      </c>
      <c r="D2185">
        <v>1.015034183868992</v>
      </c>
      <c r="E2185">
        <v>1.129201533518073</v>
      </c>
      <c r="F2185">
        <v>3.947814856000305</v>
      </c>
      <c r="G2185">
        <v>5.9961670992738378</v>
      </c>
      <c r="H2185">
        <v>19.920871894065979</v>
      </c>
      <c r="I2185">
        <v>30.61391164211091</v>
      </c>
      <c r="J2185">
        <v>26.01090299493303</v>
      </c>
      <c r="K2185">
        <v>728.82835493150196</v>
      </c>
      <c r="L2185">
        <v>-1</v>
      </c>
      <c r="M2185" t="s">
        <v>69</v>
      </c>
    </row>
    <row r="2186" spans="1:13" x14ac:dyDescent="0.3">
      <c r="A2186" t="s">
        <v>24</v>
      </c>
      <c r="B2186" t="s">
        <v>60</v>
      </c>
      <c r="C2186">
        <v>565.31100854754277</v>
      </c>
      <c r="D2186">
        <v>30.341351584954911</v>
      </c>
      <c r="E2186">
        <v>39.753121224737917</v>
      </c>
      <c r="F2186">
        <v>89.094131543012821</v>
      </c>
      <c r="G2186">
        <v>5.9963829866439209</v>
      </c>
      <c r="H2186">
        <v>80.624321364759439</v>
      </c>
      <c r="I2186">
        <v>30.909664289421041</v>
      </c>
      <c r="J2186">
        <v>29.970415826809841</v>
      </c>
      <c r="K2186">
        <v>11</v>
      </c>
      <c r="L2186">
        <v>-1</v>
      </c>
      <c r="M2186" t="s">
        <v>69</v>
      </c>
    </row>
    <row r="2187" spans="1:13" x14ac:dyDescent="0.3">
      <c r="A2187" t="s">
        <v>19</v>
      </c>
      <c r="B2187" t="s">
        <v>46</v>
      </c>
      <c r="C2187">
        <v>27.412141281060169</v>
      </c>
      <c r="D2187">
        <v>1.0203622528046941</v>
      </c>
      <c r="E2187">
        <v>0.99356697573593777</v>
      </c>
      <c r="F2187">
        <v>4.092747205986969</v>
      </c>
      <c r="G2187">
        <v>6.019147895255883</v>
      </c>
      <c r="H2187">
        <v>19.49307953631806</v>
      </c>
      <c r="I2187">
        <v>30.70591900572763</v>
      </c>
      <c r="J2187">
        <v>26.05675634073091</v>
      </c>
      <c r="K2187">
        <v>729.81142309800396</v>
      </c>
      <c r="L2187">
        <v>-1</v>
      </c>
      <c r="M2187" t="s">
        <v>69</v>
      </c>
    </row>
    <row r="2188" spans="1:13" x14ac:dyDescent="0.3">
      <c r="A2188" t="s">
        <v>24</v>
      </c>
      <c r="B2188" t="s">
        <v>61</v>
      </c>
      <c r="C2188">
        <v>84.509123109908202</v>
      </c>
      <c r="D2188">
        <v>3.966592341058075</v>
      </c>
      <c r="E2188">
        <v>5.0790292191369488</v>
      </c>
      <c r="F2188">
        <v>10.62239205695289</v>
      </c>
      <c r="G2188">
        <v>6.1719578590274562</v>
      </c>
      <c r="H2188">
        <v>15.357949783710829</v>
      </c>
      <c r="I2188">
        <v>34.845388872910178</v>
      </c>
      <c r="J2188">
        <v>30.27108230708938</v>
      </c>
      <c r="K2188">
        <v>48.127880589694087</v>
      </c>
      <c r="L2188">
        <v>-1</v>
      </c>
      <c r="M2188" t="s">
        <v>69</v>
      </c>
    </row>
    <row r="2189" spans="1:13" x14ac:dyDescent="0.3">
      <c r="A2189" t="s">
        <v>24</v>
      </c>
      <c r="B2189" t="s">
        <v>61</v>
      </c>
      <c r="C2189">
        <v>180.79540727813631</v>
      </c>
      <c r="D2189">
        <v>8.9613000577041024</v>
      </c>
      <c r="E2189">
        <v>11.49600808007572</v>
      </c>
      <c r="F2189">
        <v>29.86378954505663</v>
      </c>
      <c r="G2189">
        <v>6.4801982915008161</v>
      </c>
      <c r="H2189">
        <v>25.721417887285629</v>
      </c>
      <c r="I2189">
        <v>29.74782484560156</v>
      </c>
      <c r="J2189">
        <v>29.58360178408044</v>
      </c>
      <c r="K2189">
        <v>13.84481491539054</v>
      </c>
      <c r="L2189">
        <v>-1</v>
      </c>
      <c r="M2189" t="s">
        <v>69</v>
      </c>
    </row>
    <row r="2190" spans="1:13" x14ac:dyDescent="0.3">
      <c r="A2190" t="s">
        <v>24</v>
      </c>
      <c r="B2190" t="s">
        <v>60</v>
      </c>
      <c r="C2190">
        <v>509.49703198414983</v>
      </c>
      <c r="D2190">
        <v>24.43461500676537</v>
      </c>
      <c r="E2190">
        <v>39.841738806711312</v>
      </c>
      <c r="F2190">
        <v>82.633468166506901</v>
      </c>
      <c r="G2190">
        <v>5.4366965960379057</v>
      </c>
      <c r="H2190">
        <v>67.53916428824877</v>
      </c>
      <c r="I2190">
        <v>30.969423530927529</v>
      </c>
      <c r="J2190">
        <v>30.97495620898502</v>
      </c>
      <c r="K2190">
        <v>11</v>
      </c>
      <c r="L2190">
        <v>-1</v>
      </c>
      <c r="M2190" t="s">
        <v>69</v>
      </c>
    </row>
    <row r="2191" spans="1:13" x14ac:dyDescent="0.3">
      <c r="A2191" t="s">
        <v>24</v>
      </c>
      <c r="B2191" t="s">
        <v>60</v>
      </c>
      <c r="C2191">
        <v>498.22903437830121</v>
      </c>
      <c r="D2191">
        <v>24.314928396558638</v>
      </c>
      <c r="E2191">
        <v>35.900941158395682</v>
      </c>
      <c r="F2191">
        <v>79.045473274400962</v>
      </c>
      <c r="G2191">
        <v>5.4564527449677094</v>
      </c>
      <c r="H2191">
        <v>69.836301843178262</v>
      </c>
      <c r="I2191">
        <v>32.532055915186163</v>
      </c>
      <c r="J2191">
        <v>29.201688894411571</v>
      </c>
      <c r="K2191">
        <v>11.02544637604046</v>
      </c>
      <c r="L2191">
        <v>-1</v>
      </c>
      <c r="M2191" t="s">
        <v>69</v>
      </c>
    </row>
    <row r="2192" spans="1:13" x14ac:dyDescent="0.3">
      <c r="A2192" t="s">
        <v>24</v>
      </c>
      <c r="B2192" t="s">
        <v>59</v>
      </c>
      <c r="C2192">
        <v>353.88424473069392</v>
      </c>
      <c r="D2192">
        <v>16.46030163263174</v>
      </c>
      <c r="E2192">
        <v>24.347676643421639</v>
      </c>
      <c r="F2192">
        <v>58.241134947328938</v>
      </c>
      <c r="G2192">
        <v>5.0579487187263599</v>
      </c>
      <c r="H2192">
        <v>76.106357727497567</v>
      </c>
      <c r="I2192">
        <v>30.979299449027749</v>
      </c>
      <c r="J2192">
        <v>31.08449818667761</v>
      </c>
      <c r="K2192">
        <v>11.086633376243981</v>
      </c>
      <c r="L2192">
        <v>-1</v>
      </c>
      <c r="M2192" t="s">
        <v>69</v>
      </c>
    </row>
    <row r="2193" spans="1:13" x14ac:dyDescent="0.3">
      <c r="A2193" t="s">
        <v>24</v>
      </c>
      <c r="B2193" t="s">
        <v>61</v>
      </c>
      <c r="C2193">
        <v>311.34003413851968</v>
      </c>
      <c r="D2193">
        <v>16.785831558216561</v>
      </c>
      <c r="E2193">
        <v>23.910040719274281</v>
      </c>
      <c r="F2193">
        <v>57.670324754564419</v>
      </c>
      <c r="G2193">
        <v>4.4059627615317947</v>
      </c>
      <c r="H2193">
        <v>60.697455103379859</v>
      </c>
      <c r="I2193">
        <v>29.918970276226361</v>
      </c>
      <c r="J2193">
        <v>29.660522366111039</v>
      </c>
      <c r="K2193">
        <v>13.78764363169239</v>
      </c>
      <c r="L2193">
        <v>-1</v>
      </c>
      <c r="M2193" t="s">
        <v>69</v>
      </c>
    </row>
    <row r="2194" spans="1:13" x14ac:dyDescent="0.3">
      <c r="A2194" t="s">
        <v>24</v>
      </c>
      <c r="B2194" t="s">
        <v>59</v>
      </c>
      <c r="C2194">
        <v>349.0975107909012</v>
      </c>
      <c r="D2194">
        <v>16.796327991401039</v>
      </c>
      <c r="E2194">
        <v>24.291005428035241</v>
      </c>
      <c r="F2194">
        <v>57.52833686243919</v>
      </c>
      <c r="G2194">
        <v>5.1243134723240811</v>
      </c>
      <c r="H2194">
        <v>75.344509426292973</v>
      </c>
      <c r="I2194">
        <v>30.700018312753478</v>
      </c>
      <c r="J2194">
        <v>31.182557404950781</v>
      </c>
      <c r="K2194">
        <v>11.058033919235189</v>
      </c>
      <c r="L2194">
        <v>-1</v>
      </c>
      <c r="M2194" t="s">
        <v>69</v>
      </c>
    </row>
    <row r="2195" spans="1:13" x14ac:dyDescent="0.3">
      <c r="A2195" t="s">
        <v>24</v>
      </c>
      <c r="B2195" t="s">
        <v>61</v>
      </c>
      <c r="C2195">
        <v>682.05133534275592</v>
      </c>
      <c r="D2195">
        <v>33.800370189351362</v>
      </c>
      <c r="E2195">
        <v>46.073574453169812</v>
      </c>
      <c r="F2195">
        <v>115.206240344636</v>
      </c>
      <c r="G2195">
        <v>6.1670247865583532</v>
      </c>
      <c r="H2195">
        <v>74.066457590276059</v>
      </c>
      <c r="I2195">
        <v>30.66277597271247</v>
      </c>
      <c r="J2195">
        <v>30.26611542077292</v>
      </c>
      <c r="K2195">
        <v>11</v>
      </c>
      <c r="L2195">
        <v>-1</v>
      </c>
      <c r="M2195" t="s">
        <v>69</v>
      </c>
    </row>
    <row r="2196" spans="1:13" x14ac:dyDescent="0.3">
      <c r="A2196" t="s">
        <v>24</v>
      </c>
      <c r="B2196" t="s">
        <v>58</v>
      </c>
      <c r="C2196">
        <v>27.63002173997047</v>
      </c>
      <c r="D2196">
        <v>1.040343937267888</v>
      </c>
      <c r="E2196">
        <v>1.342959886698144</v>
      </c>
      <c r="F2196">
        <v>4.2975085718806429</v>
      </c>
      <c r="G2196">
        <v>6.0331341123162456</v>
      </c>
      <c r="H2196">
        <v>20.48316922112118</v>
      </c>
      <c r="I2196">
        <v>31.752559384545751</v>
      </c>
      <c r="J2196">
        <v>25.005424594282179</v>
      </c>
      <c r="K2196">
        <v>751.83422459499729</v>
      </c>
      <c r="L2196">
        <v>-1</v>
      </c>
      <c r="M2196" t="s">
        <v>69</v>
      </c>
    </row>
    <row r="2197" spans="1:13" x14ac:dyDescent="0.3">
      <c r="A2197" t="s">
        <v>19</v>
      </c>
      <c r="B2197" t="s">
        <v>46</v>
      </c>
      <c r="C2197">
        <v>28.042474149932222</v>
      </c>
      <c r="D2197">
        <v>1.005181407783319</v>
      </c>
      <c r="E2197">
        <v>0.94895837783363923</v>
      </c>
      <c r="F2197">
        <v>3.4272216196388392</v>
      </c>
      <c r="G2197">
        <v>6.0094390491127632</v>
      </c>
      <c r="H2197">
        <v>20.00713212315711</v>
      </c>
      <c r="I2197">
        <v>31.47450746135582</v>
      </c>
      <c r="J2197">
        <v>26.688046488178831</v>
      </c>
      <c r="K2197">
        <v>733.88046028986491</v>
      </c>
      <c r="L2197">
        <v>-1</v>
      </c>
      <c r="M2197" t="s">
        <v>69</v>
      </c>
    </row>
    <row r="2198" spans="1:13" x14ac:dyDescent="0.3">
      <c r="A2198" t="s">
        <v>19</v>
      </c>
      <c r="B2198" t="s">
        <v>46</v>
      </c>
      <c r="C2198">
        <v>28.090422163979429</v>
      </c>
      <c r="D2198">
        <v>1.027376704405019</v>
      </c>
      <c r="E2198">
        <v>0.92347207980609891</v>
      </c>
      <c r="F2198">
        <v>3.99941502567847</v>
      </c>
      <c r="G2198">
        <v>6.0168046469482794</v>
      </c>
      <c r="H2198">
        <v>18.84587135293101</v>
      </c>
      <c r="I2198">
        <v>31.43200006904884</v>
      </c>
      <c r="J2198">
        <v>26.80996471012222</v>
      </c>
      <c r="K2198">
        <v>722.15297856090535</v>
      </c>
      <c r="L2198">
        <v>-1</v>
      </c>
      <c r="M2198" t="s">
        <v>69</v>
      </c>
    </row>
    <row r="2199" spans="1:13" x14ac:dyDescent="0.3">
      <c r="A2199" t="s">
        <v>24</v>
      </c>
      <c r="B2199" t="s">
        <v>59</v>
      </c>
      <c r="C2199">
        <v>366.87265179891551</v>
      </c>
      <c r="D2199">
        <v>16.16664820056036</v>
      </c>
      <c r="E2199">
        <v>23.803081194591051</v>
      </c>
      <c r="F2199">
        <v>56.326285702334239</v>
      </c>
      <c r="G2199">
        <v>5.0820408644998212</v>
      </c>
      <c r="H2199">
        <v>77.969520477096708</v>
      </c>
      <c r="I2199">
        <v>31.383688318528449</v>
      </c>
      <c r="J2199">
        <v>30.438626358722711</v>
      </c>
      <c r="K2199">
        <v>11.01741372953347</v>
      </c>
      <c r="L2199">
        <v>-1</v>
      </c>
      <c r="M2199" t="s">
        <v>69</v>
      </c>
    </row>
    <row r="2200" spans="1:13" x14ac:dyDescent="0.3">
      <c r="A2200" t="s">
        <v>24</v>
      </c>
      <c r="B2200" t="s">
        <v>59</v>
      </c>
      <c r="C2200">
        <v>352.53681745010482</v>
      </c>
      <c r="D2200">
        <v>17.474899328188648</v>
      </c>
      <c r="E2200">
        <v>24.176419832820709</v>
      </c>
      <c r="F2200">
        <v>54.673019046982418</v>
      </c>
      <c r="G2200">
        <v>5.2162904090250866</v>
      </c>
      <c r="H2200">
        <v>77.344922611264792</v>
      </c>
      <c r="I2200">
        <v>31.20851763911077</v>
      </c>
      <c r="J2200">
        <v>31.019199098904089</v>
      </c>
      <c r="K2200">
        <v>11</v>
      </c>
      <c r="L2200">
        <v>-1</v>
      </c>
      <c r="M2200" t="s">
        <v>69</v>
      </c>
    </row>
    <row r="2201" spans="1:13" x14ac:dyDescent="0.3">
      <c r="A2201" t="s">
        <v>24</v>
      </c>
      <c r="B2201" t="s">
        <v>61</v>
      </c>
      <c r="C2201">
        <v>711.85067385090076</v>
      </c>
      <c r="D2201">
        <v>34.476459911606973</v>
      </c>
      <c r="E2201">
        <v>45.196541041131788</v>
      </c>
      <c r="F2201">
        <v>116.1812812882301</v>
      </c>
      <c r="G2201">
        <v>6.0325330833060731</v>
      </c>
      <c r="H2201">
        <v>73.46502818049855</v>
      </c>
      <c r="I2201">
        <v>30.75426299118169</v>
      </c>
      <c r="J2201">
        <v>30.20086791591315</v>
      </c>
      <c r="K2201">
        <v>11.07396226715537</v>
      </c>
      <c r="L2201">
        <v>-1</v>
      </c>
      <c r="M2201" t="s">
        <v>69</v>
      </c>
    </row>
    <row r="2202" spans="1:13" x14ac:dyDescent="0.3">
      <c r="A2202" t="s">
        <v>24</v>
      </c>
      <c r="B2202" t="s">
        <v>61</v>
      </c>
      <c r="C2202">
        <v>122.8818090499154</v>
      </c>
      <c r="D2202">
        <v>5.5945656162776798</v>
      </c>
      <c r="E2202">
        <v>8.054390109193827</v>
      </c>
      <c r="F2202">
        <v>19.139306280071711</v>
      </c>
      <c r="G2202">
        <v>6.4125900337936699</v>
      </c>
      <c r="H2202">
        <v>19.586817434079521</v>
      </c>
      <c r="I2202">
        <v>29.395617032329952</v>
      </c>
      <c r="J2202">
        <v>30.557433964230199</v>
      </c>
      <c r="K2202">
        <v>49.260377180979731</v>
      </c>
      <c r="L2202">
        <v>-1</v>
      </c>
      <c r="M2202" t="s">
        <v>69</v>
      </c>
    </row>
    <row r="2203" spans="1:13" x14ac:dyDescent="0.3">
      <c r="A2203" t="s">
        <v>25</v>
      </c>
      <c r="B2203" t="s">
        <v>62</v>
      </c>
      <c r="C2203">
        <v>91.329643516181221</v>
      </c>
      <c r="D2203">
        <v>4.4338999529710454</v>
      </c>
      <c r="E2203">
        <v>5.4262170938470673</v>
      </c>
      <c r="F2203">
        <v>13.85188317437736</v>
      </c>
      <c r="G2203">
        <v>6.6393646250569196</v>
      </c>
      <c r="H2203">
        <v>14.031624095015291</v>
      </c>
      <c r="I2203">
        <v>30.585664356199921</v>
      </c>
      <c r="J2203">
        <v>29.487062816411221</v>
      </c>
      <c r="K2203">
        <v>46.642806367084397</v>
      </c>
      <c r="L2203">
        <v>-1</v>
      </c>
      <c r="M2203" t="s">
        <v>69</v>
      </c>
    </row>
    <row r="2204" spans="1:13" x14ac:dyDescent="0.3">
      <c r="A2204" t="s">
        <v>24</v>
      </c>
      <c r="B2204" t="s">
        <v>61</v>
      </c>
      <c r="C2204">
        <v>660.51141622191187</v>
      </c>
      <c r="D2204">
        <v>42.177734202912667</v>
      </c>
      <c r="E2204">
        <v>47.383553165700803</v>
      </c>
      <c r="F2204">
        <v>119.5299295509614</v>
      </c>
      <c r="G2204">
        <v>6.024360275005594</v>
      </c>
      <c r="H2204">
        <v>72.022275542963328</v>
      </c>
      <c r="I2204">
        <v>28.85105856165789</v>
      </c>
      <c r="J2204">
        <v>30.351305772372971</v>
      </c>
      <c r="K2204">
        <v>11.02191787578977</v>
      </c>
      <c r="L2204">
        <v>-1</v>
      </c>
      <c r="M2204" t="s">
        <v>69</v>
      </c>
    </row>
    <row r="2205" spans="1:13" x14ac:dyDescent="0.3">
      <c r="A2205" t="s">
        <v>24</v>
      </c>
      <c r="B2205" t="s">
        <v>59</v>
      </c>
      <c r="C2205">
        <v>351.19096793772781</v>
      </c>
      <c r="D2205">
        <v>17.860134337470051</v>
      </c>
      <c r="E2205">
        <v>21.301466203798029</v>
      </c>
      <c r="F2205">
        <v>50.622004114286057</v>
      </c>
      <c r="G2205">
        <v>5.2393269536330802</v>
      </c>
      <c r="H2205">
        <v>72.466056718310213</v>
      </c>
      <c r="I2205">
        <v>30.68676507674741</v>
      </c>
      <c r="J2205">
        <v>30.79562312732126</v>
      </c>
      <c r="K2205">
        <v>11</v>
      </c>
      <c r="L2205">
        <v>-1</v>
      </c>
      <c r="M2205" t="s">
        <v>69</v>
      </c>
    </row>
    <row r="2206" spans="1:13" x14ac:dyDescent="0.3">
      <c r="A2206" t="s">
        <v>24</v>
      </c>
      <c r="B2206" t="s">
        <v>59</v>
      </c>
      <c r="C2206">
        <v>342.02623983183088</v>
      </c>
      <c r="D2206">
        <v>16.536679665936969</v>
      </c>
      <c r="E2206">
        <v>22.687849658289679</v>
      </c>
      <c r="F2206">
        <v>60.947300942476453</v>
      </c>
      <c r="G2206">
        <v>5.2153176941112802</v>
      </c>
      <c r="H2206">
        <v>76.934944685256255</v>
      </c>
      <c r="I2206">
        <v>31.623457926612669</v>
      </c>
      <c r="J2206">
        <v>32.110529485028941</v>
      </c>
      <c r="K2206">
        <v>11</v>
      </c>
      <c r="L2206">
        <v>-1</v>
      </c>
      <c r="M2206" t="s">
        <v>69</v>
      </c>
    </row>
    <row r="2207" spans="1:13" x14ac:dyDescent="0.3">
      <c r="A2207" t="s">
        <v>24</v>
      </c>
      <c r="B2207" t="s">
        <v>61</v>
      </c>
      <c r="C2207">
        <v>166.344357029777</v>
      </c>
      <c r="D2207">
        <v>9.5552762816650088</v>
      </c>
      <c r="E2207">
        <v>10.66485244447729</v>
      </c>
      <c r="F2207">
        <v>30.345733784863331</v>
      </c>
      <c r="G2207">
        <v>6.0360641239718804</v>
      </c>
      <c r="H2207">
        <v>27.313027908009509</v>
      </c>
      <c r="I2207">
        <v>30.06504977937368</v>
      </c>
      <c r="J2207">
        <v>31.588556264878211</v>
      </c>
      <c r="K2207">
        <v>14.279770478655109</v>
      </c>
      <c r="L2207">
        <v>-1</v>
      </c>
      <c r="M2207" t="s">
        <v>69</v>
      </c>
    </row>
    <row r="2208" spans="1:13" x14ac:dyDescent="0.3">
      <c r="A2208" t="s">
        <v>24</v>
      </c>
      <c r="B2208" t="s">
        <v>59</v>
      </c>
      <c r="C2208">
        <v>351.76677696282019</v>
      </c>
      <c r="D2208">
        <v>17.043796596740069</v>
      </c>
      <c r="E2208">
        <v>24.335181548209171</v>
      </c>
      <c r="F2208">
        <v>55.939378111636252</v>
      </c>
      <c r="G2208">
        <v>5.1986282564005366</v>
      </c>
      <c r="H2208">
        <v>75.231094103670813</v>
      </c>
      <c r="I2208">
        <v>30.63346827471516</v>
      </c>
      <c r="J2208">
        <v>30.96641631982212</v>
      </c>
      <c r="K2208">
        <v>11.010893724828749</v>
      </c>
      <c r="L2208">
        <v>-1</v>
      </c>
      <c r="M2208" t="s">
        <v>69</v>
      </c>
    </row>
    <row r="2209" spans="1:13" x14ac:dyDescent="0.3">
      <c r="A2209" t="s">
        <v>25</v>
      </c>
      <c r="B2209" t="s">
        <v>62</v>
      </c>
      <c r="C2209">
        <v>91.447588605298378</v>
      </c>
      <c r="D2209">
        <v>3.7044946962364911</v>
      </c>
      <c r="E2209">
        <v>5.8112588252848258</v>
      </c>
      <c r="F2209">
        <v>14.74799256897486</v>
      </c>
      <c r="G2209">
        <v>6.9562771070099707</v>
      </c>
      <c r="H2209">
        <v>14.6007800013261</v>
      </c>
      <c r="I2209">
        <v>32.984494955870389</v>
      </c>
      <c r="J2209">
        <v>31.120877699844609</v>
      </c>
      <c r="K2209">
        <v>48.838855709426753</v>
      </c>
      <c r="L2209">
        <v>-1</v>
      </c>
      <c r="M2209" t="s">
        <v>69</v>
      </c>
    </row>
    <row r="2210" spans="1:13" x14ac:dyDescent="0.3">
      <c r="A2210" t="s">
        <v>24</v>
      </c>
      <c r="B2210" t="s">
        <v>60</v>
      </c>
      <c r="C2210">
        <v>561.44391337337925</v>
      </c>
      <c r="D2210">
        <v>24.84031244927516</v>
      </c>
      <c r="E2210">
        <v>43.669082022399209</v>
      </c>
      <c r="F2210">
        <v>93.24198440328567</v>
      </c>
      <c r="G2210">
        <v>6.2080821489829914</v>
      </c>
      <c r="H2210">
        <v>84.380368976443748</v>
      </c>
      <c r="I2210">
        <v>30.33653088737946</v>
      </c>
      <c r="J2210">
        <v>32.11636901065539</v>
      </c>
      <c r="K2210">
        <v>11.247763805346491</v>
      </c>
      <c r="L2210">
        <v>-1</v>
      </c>
      <c r="M2210" t="s">
        <v>69</v>
      </c>
    </row>
    <row r="2211" spans="1:13" x14ac:dyDescent="0.3">
      <c r="A2211" t="s">
        <v>24</v>
      </c>
      <c r="B2211" t="s">
        <v>61</v>
      </c>
      <c r="C2211">
        <v>82.394199498504378</v>
      </c>
      <c r="D2211">
        <v>4.1362571967141282</v>
      </c>
      <c r="E2211">
        <v>5.5581246374469364</v>
      </c>
      <c r="F2211">
        <v>14.55019216849748</v>
      </c>
      <c r="G2211">
        <v>6.5943795661328419</v>
      </c>
      <c r="H2211">
        <v>13.93995149371904</v>
      </c>
      <c r="I2211">
        <v>32.192241077399324</v>
      </c>
      <c r="J2211">
        <v>31.192978443846879</v>
      </c>
      <c r="K2211">
        <v>48.054817239631802</v>
      </c>
      <c r="L2211">
        <v>-1</v>
      </c>
      <c r="M2211" t="s">
        <v>69</v>
      </c>
    </row>
    <row r="2212" spans="1:13" x14ac:dyDescent="0.3">
      <c r="A2212" t="s">
        <v>24</v>
      </c>
      <c r="B2212" t="s">
        <v>59</v>
      </c>
      <c r="C2212">
        <v>352.41598161465771</v>
      </c>
      <c r="D2212">
        <v>17.88372193836711</v>
      </c>
      <c r="E2212">
        <v>24.689666157639721</v>
      </c>
      <c r="F2212">
        <v>53.527676794517816</v>
      </c>
      <c r="G2212">
        <v>5.2311538373536077</v>
      </c>
      <c r="H2212">
        <v>79.567900376670082</v>
      </c>
      <c r="I2212">
        <v>31.60946249065902</v>
      </c>
      <c r="J2212">
        <v>30.8327232657149</v>
      </c>
      <c r="K2212">
        <v>11.01775210160667</v>
      </c>
      <c r="L2212">
        <v>-1</v>
      </c>
      <c r="M2212" t="s">
        <v>69</v>
      </c>
    </row>
    <row r="2213" spans="1:13" x14ac:dyDescent="0.3">
      <c r="A2213" t="s">
        <v>24</v>
      </c>
      <c r="B2213" t="s">
        <v>61</v>
      </c>
      <c r="C2213">
        <v>126.1193708129005</v>
      </c>
      <c r="D2213">
        <v>5.7336310477599781</v>
      </c>
      <c r="E2213">
        <v>7.5890733349850121</v>
      </c>
      <c r="F2213">
        <v>19.92323228990352</v>
      </c>
      <c r="G2213">
        <v>6.3238022947989414</v>
      </c>
      <c r="H2213">
        <v>19.792713775970839</v>
      </c>
      <c r="I2213">
        <v>30.778229164794759</v>
      </c>
      <c r="J2213">
        <v>30.785094868139549</v>
      </c>
      <c r="K2213">
        <v>48.102354263880443</v>
      </c>
      <c r="L2213">
        <v>-1</v>
      </c>
      <c r="M2213" t="s">
        <v>69</v>
      </c>
    </row>
    <row r="2214" spans="1:13" x14ac:dyDescent="0.3">
      <c r="A2214" t="s">
        <v>24</v>
      </c>
      <c r="B2214" t="s">
        <v>61</v>
      </c>
      <c r="C2214">
        <v>334.53272212063672</v>
      </c>
      <c r="D2214">
        <v>17.343646042883211</v>
      </c>
      <c r="E2214">
        <v>24.802644583052089</v>
      </c>
      <c r="F2214">
        <v>53.689597889995063</v>
      </c>
      <c r="G2214">
        <v>4.3451742843225833</v>
      </c>
      <c r="H2214">
        <v>60.856099982757073</v>
      </c>
      <c r="I2214">
        <v>29.42397331698653</v>
      </c>
      <c r="J2214">
        <v>31.011693906761611</v>
      </c>
      <c r="K2214">
        <v>13.885777738006031</v>
      </c>
      <c r="L2214">
        <v>-1</v>
      </c>
      <c r="M2214" t="s">
        <v>69</v>
      </c>
    </row>
    <row r="2215" spans="1:13" x14ac:dyDescent="0.3">
      <c r="A2215" t="s">
        <v>24</v>
      </c>
      <c r="B2215" t="s">
        <v>61</v>
      </c>
      <c r="C2215">
        <v>322.4818958830503</v>
      </c>
      <c r="D2215">
        <v>18.069021036979041</v>
      </c>
      <c r="E2215">
        <v>23.72214600418641</v>
      </c>
      <c r="F2215">
        <v>51.314953338466587</v>
      </c>
      <c r="G2215">
        <v>4.5613557425235518</v>
      </c>
      <c r="H2215">
        <v>52.887963997086473</v>
      </c>
      <c r="I2215">
        <v>29.64574032084969</v>
      </c>
      <c r="J2215">
        <v>31.121852590818779</v>
      </c>
      <c r="K2215">
        <v>13.97970816790848</v>
      </c>
      <c r="L2215">
        <v>-1</v>
      </c>
      <c r="M2215" t="s">
        <v>69</v>
      </c>
    </row>
    <row r="2216" spans="1:13" x14ac:dyDescent="0.3">
      <c r="A2216" t="s">
        <v>24</v>
      </c>
      <c r="B2216" t="s">
        <v>61</v>
      </c>
      <c r="C2216">
        <v>319.74858749395531</v>
      </c>
      <c r="D2216">
        <v>18.421175174003171</v>
      </c>
      <c r="E2216">
        <v>22.768309660974069</v>
      </c>
      <c r="F2216">
        <v>50.528957736982058</v>
      </c>
      <c r="G2216">
        <v>4.5183937011281534</v>
      </c>
      <c r="H2216">
        <v>53.637316582630731</v>
      </c>
      <c r="I2216">
        <v>29.00143715234066</v>
      </c>
      <c r="J2216">
        <v>31.54839355193695</v>
      </c>
      <c r="K2216">
        <v>14.023118725097451</v>
      </c>
      <c r="L2216">
        <v>-1</v>
      </c>
      <c r="M2216" t="s">
        <v>69</v>
      </c>
    </row>
    <row r="2217" spans="1:13" x14ac:dyDescent="0.3">
      <c r="A2217" t="s">
        <v>25</v>
      </c>
      <c r="B2217" t="s">
        <v>62</v>
      </c>
      <c r="C2217">
        <v>90.136734728897693</v>
      </c>
      <c r="D2217">
        <v>4.2143729370534677</v>
      </c>
      <c r="E2217">
        <v>5.6597894116639011</v>
      </c>
      <c r="F2217">
        <v>13.35528069162258</v>
      </c>
      <c r="G2217">
        <v>6.7182724556513538</v>
      </c>
      <c r="H2217">
        <v>13.9</v>
      </c>
      <c r="I2217">
        <v>31.58622891336271</v>
      </c>
      <c r="J2217">
        <v>30.8806724210468</v>
      </c>
      <c r="K2217">
        <v>47.929949125202711</v>
      </c>
      <c r="L2217">
        <v>-1</v>
      </c>
      <c r="M2217" t="s">
        <v>69</v>
      </c>
    </row>
    <row r="2218" spans="1:13" x14ac:dyDescent="0.3">
      <c r="A2218" t="s">
        <v>24</v>
      </c>
      <c r="B2218" t="s">
        <v>61</v>
      </c>
      <c r="C2218">
        <v>126.3097921313764</v>
      </c>
      <c r="D2218">
        <v>5.7409314318787557</v>
      </c>
      <c r="E2218">
        <v>8.3575749071705516</v>
      </c>
      <c r="F2218">
        <v>20.164560151105249</v>
      </c>
      <c r="G2218">
        <v>6.2809099406596118</v>
      </c>
      <c r="H2218">
        <v>20.367063662858818</v>
      </c>
      <c r="I2218">
        <v>30.379096287081911</v>
      </c>
      <c r="J2218">
        <v>30.954049374424891</v>
      </c>
      <c r="K2218">
        <v>48.147702025655242</v>
      </c>
      <c r="L2218">
        <v>-1</v>
      </c>
      <c r="M2218" t="s">
        <v>69</v>
      </c>
    </row>
    <row r="2219" spans="1:13" x14ac:dyDescent="0.3">
      <c r="A2219" t="s">
        <v>24</v>
      </c>
      <c r="B2219" t="s">
        <v>61</v>
      </c>
      <c r="C2219">
        <v>736.1593536605817</v>
      </c>
      <c r="D2219">
        <v>35.243234000987208</v>
      </c>
      <c r="E2219">
        <v>45.371893285132238</v>
      </c>
      <c r="F2219">
        <v>118.9983375419656</v>
      </c>
      <c r="G2219">
        <v>5.8923909122081426</v>
      </c>
      <c r="H2219">
        <v>72.160315833722905</v>
      </c>
      <c r="I2219">
        <v>30.497214900631171</v>
      </c>
      <c r="J2219">
        <v>30.20430578368763</v>
      </c>
      <c r="K2219">
        <v>11.12949066187366</v>
      </c>
      <c r="L2219">
        <v>-1</v>
      </c>
      <c r="M2219" t="s">
        <v>69</v>
      </c>
    </row>
    <row r="2220" spans="1:13" x14ac:dyDescent="0.3">
      <c r="A2220" t="s">
        <v>24</v>
      </c>
      <c r="B2220" t="s">
        <v>61</v>
      </c>
      <c r="C2220">
        <v>662.91076612233394</v>
      </c>
      <c r="D2220">
        <v>39.568936018214501</v>
      </c>
      <c r="E2220">
        <v>53.442702099952641</v>
      </c>
      <c r="F2220">
        <v>120.5905418205114</v>
      </c>
      <c r="G2220">
        <v>5.8810365185457334</v>
      </c>
      <c r="H2220">
        <v>71.607331254272395</v>
      </c>
      <c r="I2220">
        <v>29.98984630642196</v>
      </c>
      <c r="J2220">
        <v>31.539546043817289</v>
      </c>
      <c r="K2220">
        <v>11.019678984732989</v>
      </c>
      <c r="L2220">
        <v>-1</v>
      </c>
      <c r="M2220" t="s">
        <v>69</v>
      </c>
    </row>
    <row r="2221" spans="1:13" x14ac:dyDescent="0.3">
      <c r="A2221" t="s">
        <v>24</v>
      </c>
      <c r="B2221" t="s">
        <v>59</v>
      </c>
      <c r="C2221">
        <v>365.51010727781232</v>
      </c>
      <c r="D2221">
        <v>18.133524982778699</v>
      </c>
      <c r="E2221">
        <v>22.724070283447709</v>
      </c>
      <c r="F2221">
        <v>49.555368263143457</v>
      </c>
      <c r="G2221">
        <v>5.3361131848508592</v>
      </c>
      <c r="H2221">
        <v>74.314120104563031</v>
      </c>
      <c r="I2221">
        <v>30.35164461558163</v>
      </c>
      <c r="J2221">
        <v>30.95914428175633</v>
      </c>
      <c r="K2221">
        <v>11</v>
      </c>
      <c r="L2221">
        <v>-1</v>
      </c>
      <c r="M2221" t="s">
        <v>69</v>
      </c>
    </row>
    <row r="2222" spans="1:13" x14ac:dyDescent="0.3">
      <c r="A2222" t="s">
        <v>25</v>
      </c>
      <c r="B2222" t="s">
        <v>62</v>
      </c>
      <c r="C2222">
        <v>96.5074454629153</v>
      </c>
      <c r="D2222">
        <v>3.8581951072794558</v>
      </c>
      <c r="E2222">
        <v>6.3463975004377069</v>
      </c>
      <c r="F2222">
        <v>14.508060279210261</v>
      </c>
      <c r="G2222">
        <v>6.9663446901745196</v>
      </c>
      <c r="H2222">
        <v>14.69149340330118</v>
      </c>
      <c r="I2222">
        <v>33.299142375040091</v>
      </c>
      <c r="J2222">
        <v>30.708487727965</v>
      </c>
      <c r="K2222">
        <v>48.194504541828792</v>
      </c>
      <c r="L2222">
        <v>-1</v>
      </c>
      <c r="M2222" t="s">
        <v>69</v>
      </c>
    </row>
    <row r="2223" spans="1:13" x14ac:dyDescent="0.3">
      <c r="A2223" t="s">
        <v>19</v>
      </c>
      <c r="B2223" t="s">
        <v>47</v>
      </c>
      <c r="C2223">
        <v>31.269420774292801</v>
      </c>
      <c r="D2223">
        <v>0.84195450980682152</v>
      </c>
      <c r="E2223">
        <v>1.6956116078987209</v>
      </c>
      <c r="F2223">
        <v>3.8369840549090242</v>
      </c>
      <c r="G2223">
        <v>5.9632240762430033</v>
      </c>
      <c r="H2223">
        <v>20.134293833635461</v>
      </c>
      <c r="I2223">
        <v>28.772396621824178</v>
      </c>
      <c r="J2223">
        <v>26.046424556384711</v>
      </c>
      <c r="K2223">
        <v>726.48240272680891</v>
      </c>
      <c r="L2223">
        <v>-1</v>
      </c>
      <c r="M2223" t="s">
        <v>69</v>
      </c>
    </row>
    <row r="2224" spans="1:13" x14ac:dyDescent="0.3">
      <c r="A2224" t="s">
        <v>24</v>
      </c>
      <c r="B2224" t="s">
        <v>60</v>
      </c>
      <c r="C2224">
        <v>601.68612643806409</v>
      </c>
      <c r="D2224">
        <v>26.9203231617327</v>
      </c>
      <c r="E2224">
        <v>46.160055726845783</v>
      </c>
      <c r="F2224">
        <v>84.478282628058935</v>
      </c>
      <c r="G2224">
        <v>6.0709210742984316</v>
      </c>
      <c r="H2224">
        <v>78.946326915696901</v>
      </c>
      <c r="I2224">
        <v>30.206691735877811</v>
      </c>
      <c r="J2224">
        <v>30.899943768416779</v>
      </c>
      <c r="K2224">
        <v>11.02940246758862</v>
      </c>
      <c r="L2224">
        <v>-1</v>
      </c>
      <c r="M2224" t="s">
        <v>69</v>
      </c>
    </row>
    <row r="2225" spans="1:13" x14ac:dyDescent="0.3">
      <c r="A2225" t="s">
        <v>24</v>
      </c>
      <c r="B2225" t="s">
        <v>61</v>
      </c>
      <c r="C2225">
        <v>123.7012264284369</v>
      </c>
      <c r="D2225">
        <v>5.718333854686259</v>
      </c>
      <c r="E2225">
        <v>8.2570531969294549</v>
      </c>
      <c r="F2225">
        <v>18.7960949328487</v>
      </c>
      <c r="G2225">
        <v>6.3404593464862842</v>
      </c>
      <c r="H2225">
        <v>19.949909962568508</v>
      </c>
      <c r="I2225">
        <v>29.902738655456272</v>
      </c>
      <c r="J2225">
        <v>30.74368887082456</v>
      </c>
      <c r="K2225">
        <v>48.930590890681287</v>
      </c>
      <c r="L2225">
        <v>-1</v>
      </c>
      <c r="M2225" t="s">
        <v>69</v>
      </c>
    </row>
    <row r="2226" spans="1:13" x14ac:dyDescent="0.3">
      <c r="A2226" t="s">
        <v>24</v>
      </c>
      <c r="B2226" t="s">
        <v>61</v>
      </c>
      <c r="C2226">
        <v>347.59556233813208</v>
      </c>
      <c r="D2226">
        <v>16.703138375359799</v>
      </c>
      <c r="E2226">
        <v>22.620258874971839</v>
      </c>
      <c r="F2226">
        <v>54.696227781358928</v>
      </c>
      <c r="G2226">
        <v>4.5937301067389029</v>
      </c>
      <c r="H2226">
        <v>55.275677287756643</v>
      </c>
      <c r="I2226">
        <v>30.0509842639357</v>
      </c>
      <c r="J2226">
        <v>30.73896582533138</v>
      </c>
      <c r="K2226">
        <v>14.254105278027961</v>
      </c>
      <c r="L2226">
        <v>-1</v>
      </c>
      <c r="M2226" t="s">
        <v>69</v>
      </c>
    </row>
    <row r="2227" spans="1:13" x14ac:dyDescent="0.3">
      <c r="A2227" t="s">
        <v>25</v>
      </c>
      <c r="B2227" t="s">
        <v>62</v>
      </c>
      <c r="C2227">
        <v>91.819136817022283</v>
      </c>
      <c r="D2227">
        <v>4.48025899892232</v>
      </c>
      <c r="E2227">
        <v>5.3042884481288253</v>
      </c>
      <c r="F2227">
        <v>12.24022397164936</v>
      </c>
      <c r="G2227">
        <v>6.7685620555924757</v>
      </c>
      <c r="H2227">
        <v>13.9</v>
      </c>
      <c r="I2227">
        <v>32.22543537628701</v>
      </c>
      <c r="J2227">
        <v>30.631950720071039</v>
      </c>
      <c r="K2227">
        <v>47.718633494308278</v>
      </c>
      <c r="L2227">
        <v>-1</v>
      </c>
      <c r="M2227" t="s">
        <v>69</v>
      </c>
    </row>
    <row r="2228" spans="1:13" x14ac:dyDescent="0.3">
      <c r="A2228" t="s">
        <v>24</v>
      </c>
      <c r="B2228" t="s">
        <v>59</v>
      </c>
      <c r="C2228">
        <v>366.47399671935949</v>
      </c>
      <c r="D2228">
        <v>16.257918394166179</v>
      </c>
      <c r="E2228">
        <v>23.72686133679359</v>
      </c>
      <c r="F2228">
        <v>55.872857759153042</v>
      </c>
      <c r="G2228">
        <v>5.1084709422093733</v>
      </c>
      <c r="H2228">
        <v>77.885180278084931</v>
      </c>
      <c r="I2228">
        <v>31.32424539469746</v>
      </c>
      <c r="J2228">
        <v>30.40790888354962</v>
      </c>
      <c r="K2228">
        <v>11</v>
      </c>
      <c r="L2228">
        <v>-1</v>
      </c>
      <c r="M2228" t="s">
        <v>69</v>
      </c>
    </row>
    <row r="2229" spans="1:13" x14ac:dyDescent="0.3">
      <c r="A2229" t="s">
        <v>24</v>
      </c>
      <c r="B2229" t="s">
        <v>59</v>
      </c>
      <c r="C2229">
        <v>349.69448577082409</v>
      </c>
      <c r="D2229">
        <v>16.931052143245051</v>
      </c>
      <c r="E2229">
        <v>24.09851231254164</v>
      </c>
      <c r="F2229">
        <v>56.517378660865681</v>
      </c>
      <c r="G2229">
        <v>5.1743782962402376</v>
      </c>
      <c r="H2229">
        <v>75.381215110738495</v>
      </c>
      <c r="I2229">
        <v>30.63385859622063</v>
      </c>
      <c r="J2229">
        <v>31.061800057321001</v>
      </c>
      <c r="K2229">
        <v>11.019645872684579</v>
      </c>
      <c r="L2229">
        <v>-1</v>
      </c>
      <c r="M2229" t="s">
        <v>69</v>
      </c>
    </row>
    <row r="2230" spans="1:13" x14ac:dyDescent="0.3">
      <c r="A2230" t="s">
        <v>25</v>
      </c>
      <c r="B2230" t="s">
        <v>62</v>
      </c>
      <c r="C2230">
        <v>91.647542786867106</v>
      </c>
      <c r="D2230">
        <v>3.8711378272752461</v>
      </c>
      <c r="E2230">
        <v>6.1230659787790636</v>
      </c>
      <c r="F2230">
        <v>12.915572115371891</v>
      </c>
      <c r="G2230">
        <v>6.868103751060513</v>
      </c>
      <c r="H2230">
        <v>13.9</v>
      </c>
      <c r="I2230">
        <v>33.354028873835453</v>
      </c>
      <c r="J2230">
        <v>30.491302746138221</v>
      </c>
      <c r="K2230">
        <v>47.329355281879998</v>
      </c>
      <c r="L2230">
        <v>-1</v>
      </c>
      <c r="M2230" t="s">
        <v>69</v>
      </c>
    </row>
    <row r="2231" spans="1:13" x14ac:dyDescent="0.3">
      <c r="A2231" t="s">
        <v>24</v>
      </c>
      <c r="B2231" t="s">
        <v>61</v>
      </c>
      <c r="C2231">
        <v>124.50524433869209</v>
      </c>
      <c r="D2231">
        <v>6.449789314960646</v>
      </c>
      <c r="E2231">
        <v>8.1235659695855382</v>
      </c>
      <c r="F2231">
        <v>21.87620256313361</v>
      </c>
      <c r="G2231">
        <v>6.1749048125250816</v>
      </c>
      <c r="H2231">
        <v>20.825277656895249</v>
      </c>
      <c r="I2231">
        <v>31.29989722761184</v>
      </c>
      <c r="J2231">
        <v>30.987400689898529</v>
      </c>
      <c r="K2231">
        <v>48.360675182132582</v>
      </c>
      <c r="L2231">
        <v>-1</v>
      </c>
      <c r="M2231" t="s">
        <v>69</v>
      </c>
    </row>
    <row r="2232" spans="1:13" x14ac:dyDescent="0.3">
      <c r="A2232" t="s">
        <v>24</v>
      </c>
      <c r="B2232" t="s">
        <v>59</v>
      </c>
      <c r="C2232">
        <v>335.5828207504461</v>
      </c>
      <c r="D2232">
        <v>17.361407970543311</v>
      </c>
      <c r="E2232">
        <v>23.103332522933151</v>
      </c>
      <c r="F2232">
        <v>61.476358349407583</v>
      </c>
      <c r="G2232">
        <v>5.1525271739193226</v>
      </c>
      <c r="H2232">
        <v>78.29218229586445</v>
      </c>
      <c r="I2232">
        <v>30.044712913278051</v>
      </c>
      <c r="J2232">
        <v>29.914931376912438</v>
      </c>
      <c r="K2232">
        <v>11.174126626730409</v>
      </c>
      <c r="L2232">
        <v>-1</v>
      </c>
      <c r="M2232" t="s">
        <v>69</v>
      </c>
    </row>
    <row r="2233" spans="1:13" x14ac:dyDescent="0.3">
      <c r="A2233" t="s">
        <v>24</v>
      </c>
      <c r="B2233" t="s">
        <v>61</v>
      </c>
      <c r="C2233">
        <v>78.230730652416028</v>
      </c>
      <c r="D2233">
        <v>4.2177576993258556</v>
      </c>
      <c r="E2233">
        <v>5.0180697641966514</v>
      </c>
      <c r="F2233">
        <v>12.39075387073386</v>
      </c>
      <c r="G2233">
        <v>6.1823316234606676</v>
      </c>
      <c r="H2233">
        <v>14.742300138337921</v>
      </c>
      <c r="I2233">
        <v>34.817805166985359</v>
      </c>
      <c r="J2233">
        <v>31.329916642038651</v>
      </c>
      <c r="K2233">
        <v>48.998959665288112</v>
      </c>
      <c r="L2233">
        <v>-1</v>
      </c>
      <c r="M2233" t="s">
        <v>69</v>
      </c>
    </row>
    <row r="2234" spans="1:13" x14ac:dyDescent="0.3">
      <c r="A2234" t="s">
        <v>25</v>
      </c>
      <c r="B2234" t="s">
        <v>62</v>
      </c>
      <c r="C2234">
        <v>92.313136927893297</v>
      </c>
      <c r="D2234">
        <v>3.6906200555539179</v>
      </c>
      <c r="E2234">
        <v>5.9185876343246147</v>
      </c>
      <c r="F2234">
        <v>13.94465367997797</v>
      </c>
      <c r="G2234">
        <v>6.8598991348947456</v>
      </c>
      <c r="H2234">
        <v>13.9</v>
      </c>
      <c r="I2234">
        <v>33.567639944271207</v>
      </c>
      <c r="J2234">
        <v>30.63752081236359</v>
      </c>
      <c r="K2234">
        <v>47.449130043871492</v>
      </c>
      <c r="L2234">
        <v>-1</v>
      </c>
      <c r="M2234" t="s">
        <v>69</v>
      </c>
    </row>
    <row r="2235" spans="1:13" x14ac:dyDescent="0.3">
      <c r="A2235" t="s">
        <v>19</v>
      </c>
      <c r="B2235" t="s">
        <v>47</v>
      </c>
      <c r="C2235">
        <v>38.428761018045151</v>
      </c>
      <c r="D2235">
        <v>1.44038965613527</v>
      </c>
      <c r="E2235">
        <v>2.393037421211397</v>
      </c>
      <c r="F2235">
        <v>3.0886927707563601</v>
      </c>
      <c r="G2235">
        <v>6.0184541116583299</v>
      </c>
      <c r="H2235">
        <v>21.546972661689701</v>
      </c>
      <c r="I2235">
        <v>30.10455798309923</v>
      </c>
      <c r="J2235">
        <v>26.217478448081991</v>
      </c>
      <c r="K2235">
        <v>735.15231849549809</v>
      </c>
      <c r="L2235">
        <v>-1</v>
      </c>
      <c r="M2235" t="s">
        <v>69</v>
      </c>
    </row>
    <row r="2236" spans="1:13" x14ac:dyDescent="0.3">
      <c r="A2236" t="s">
        <v>24</v>
      </c>
      <c r="B2236" t="s">
        <v>58</v>
      </c>
      <c r="C2236">
        <v>30.451504720507199</v>
      </c>
      <c r="D2236">
        <v>0.93134604504578711</v>
      </c>
      <c r="E2236">
        <v>1.8257006021034221</v>
      </c>
      <c r="F2236">
        <v>4.0666481462356732</v>
      </c>
      <c r="G2236">
        <v>6.0073595929248347</v>
      </c>
      <c r="H2236">
        <v>21.56878143833605</v>
      </c>
      <c r="I2236">
        <v>30.45733387384043</v>
      </c>
      <c r="J2236">
        <v>25.82118716282756</v>
      </c>
      <c r="K2236">
        <v>752.00457511178968</v>
      </c>
      <c r="L2236">
        <v>-1</v>
      </c>
      <c r="M2236" t="s">
        <v>69</v>
      </c>
    </row>
    <row r="2237" spans="1:13" x14ac:dyDescent="0.3">
      <c r="A2237" t="s">
        <v>24</v>
      </c>
      <c r="B2237" t="s">
        <v>60</v>
      </c>
      <c r="C2237">
        <v>588.80931485382075</v>
      </c>
      <c r="D2237">
        <v>31.619793606397991</v>
      </c>
      <c r="E2237">
        <v>43.178492399221639</v>
      </c>
      <c r="F2237">
        <v>93.972181744864855</v>
      </c>
      <c r="G2237">
        <v>6.3399028032404434</v>
      </c>
      <c r="H2237">
        <v>82.485197770065014</v>
      </c>
      <c r="I2237">
        <v>31.682551416697319</v>
      </c>
      <c r="J2237">
        <v>31.29384039144858</v>
      </c>
      <c r="K2237">
        <v>11</v>
      </c>
      <c r="L2237">
        <v>-1</v>
      </c>
      <c r="M2237" t="s">
        <v>69</v>
      </c>
    </row>
    <row r="2238" spans="1:13" x14ac:dyDescent="0.3">
      <c r="A2238" t="s">
        <v>19</v>
      </c>
      <c r="B2238" t="s">
        <v>46</v>
      </c>
      <c r="C2238">
        <v>28.10037923827139</v>
      </c>
      <c r="D2238">
        <v>1.0690611750919909</v>
      </c>
      <c r="E2238">
        <v>0.94020098317905543</v>
      </c>
      <c r="F2238">
        <v>4.0698831100323041</v>
      </c>
      <c r="G2238">
        <v>5.9907355088457344</v>
      </c>
      <c r="H2238">
        <v>19.140607698795371</v>
      </c>
      <c r="I2238">
        <v>30.55824260365814</v>
      </c>
      <c r="J2238">
        <v>26.226283476331488</v>
      </c>
      <c r="K2238">
        <v>733.52540981210291</v>
      </c>
      <c r="L2238">
        <v>-1</v>
      </c>
      <c r="M2238" t="s">
        <v>69</v>
      </c>
    </row>
    <row r="2239" spans="1:13" x14ac:dyDescent="0.3">
      <c r="A2239" t="s">
        <v>24</v>
      </c>
      <c r="B2239" t="s">
        <v>61</v>
      </c>
      <c r="C2239">
        <v>193.95519687463431</v>
      </c>
      <c r="D2239">
        <v>8.9551679374323268</v>
      </c>
      <c r="E2239">
        <v>10.79894668379676</v>
      </c>
      <c r="F2239">
        <v>31.422761326796039</v>
      </c>
      <c r="G2239">
        <v>6.2978791616962919</v>
      </c>
      <c r="H2239">
        <v>25.510822758013969</v>
      </c>
      <c r="I2239">
        <v>29.721424535393439</v>
      </c>
      <c r="J2239">
        <v>31.30398511183807</v>
      </c>
      <c r="K2239">
        <v>14.06334022443912</v>
      </c>
      <c r="L2239">
        <v>-1</v>
      </c>
      <c r="M2239" t="s">
        <v>69</v>
      </c>
    </row>
    <row r="2240" spans="1:13" x14ac:dyDescent="0.3">
      <c r="A2240" t="s">
        <v>19</v>
      </c>
      <c r="B2240" t="s">
        <v>46</v>
      </c>
      <c r="C2240">
        <v>27.907632633364841</v>
      </c>
      <c r="D2240">
        <v>0.99726107863402369</v>
      </c>
      <c r="E2240">
        <v>0.96389296749303632</v>
      </c>
      <c r="F2240">
        <v>3.2460502819842869</v>
      </c>
      <c r="G2240">
        <v>6.0018956629925091</v>
      </c>
      <c r="H2240">
        <v>20.448394167427519</v>
      </c>
      <c r="I2240">
        <v>31.373076105151309</v>
      </c>
      <c r="J2240">
        <v>26.546524426233798</v>
      </c>
      <c r="K2240">
        <v>738.32204786366094</v>
      </c>
      <c r="L2240">
        <v>-1</v>
      </c>
      <c r="M2240" t="s">
        <v>69</v>
      </c>
    </row>
    <row r="2241" spans="1:13" x14ac:dyDescent="0.3">
      <c r="A2241" t="s">
        <v>24</v>
      </c>
      <c r="B2241" t="s">
        <v>61</v>
      </c>
      <c r="C2241">
        <v>79.995859211632506</v>
      </c>
      <c r="D2241">
        <v>3.999275052235828</v>
      </c>
      <c r="E2241">
        <v>5.237278704540608</v>
      </c>
      <c r="F2241">
        <v>12.929902525682699</v>
      </c>
      <c r="G2241">
        <v>6.2353180383104796</v>
      </c>
      <c r="H2241">
        <v>14.75259999200796</v>
      </c>
      <c r="I2241">
        <v>34.820339585919697</v>
      </c>
      <c r="J2241">
        <v>31.226808825296359</v>
      </c>
      <c r="K2241">
        <v>47.554902883659217</v>
      </c>
      <c r="L2241">
        <v>-1</v>
      </c>
      <c r="M2241" t="s">
        <v>69</v>
      </c>
    </row>
    <row r="2242" spans="1:13" x14ac:dyDescent="0.3">
      <c r="A2242" t="s">
        <v>24</v>
      </c>
      <c r="B2242" t="s">
        <v>61</v>
      </c>
      <c r="C2242">
        <v>675.14172034172407</v>
      </c>
      <c r="D2242">
        <v>38.458336059684179</v>
      </c>
      <c r="E2242">
        <v>45.540225720310417</v>
      </c>
      <c r="F2242">
        <v>113.5408670116166</v>
      </c>
      <c r="G2242">
        <v>6.0515418344992806</v>
      </c>
      <c r="H2242">
        <v>70.967196862587599</v>
      </c>
      <c r="I2242">
        <v>28.799067242659468</v>
      </c>
      <c r="J2242">
        <v>30.399242838019461</v>
      </c>
      <c r="K2242">
        <v>11.015416442965719</v>
      </c>
      <c r="L2242">
        <v>-1</v>
      </c>
      <c r="M2242" t="s">
        <v>69</v>
      </c>
    </row>
    <row r="2243" spans="1:13" x14ac:dyDescent="0.3">
      <c r="A2243" t="s">
        <v>24</v>
      </c>
      <c r="B2243" t="s">
        <v>60</v>
      </c>
      <c r="C2243">
        <v>570.80367858996146</v>
      </c>
      <c r="D2243">
        <v>29.952748295752169</v>
      </c>
      <c r="E2243">
        <v>41.177710298888137</v>
      </c>
      <c r="F2243">
        <v>93.901157594720701</v>
      </c>
      <c r="G2243">
        <v>6.1120823139025946</v>
      </c>
      <c r="H2243">
        <v>78.871902975760619</v>
      </c>
      <c r="I2243">
        <v>31.19922944671924</v>
      </c>
      <c r="J2243">
        <v>30.040205472863921</v>
      </c>
      <c r="K2243">
        <v>11.147312331870809</v>
      </c>
      <c r="L2243">
        <v>-1</v>
      </c>
      <c r="M2243" t="s">
        <v>69</v>
      </c>
    </row>
    <row r="2244" spans="1:13" x14ac:dyDescent="0.3">
      <c r="A2244" t="s">
        <v>24</v>
      </c>
      <c r="B2244" t="s">
        <v>61</v>
      </c>
      <c r="C2244">
        <v>183.27483383309789</v>
      </c>
      <c r="D2244">
        <v>8.4023270321068075</v>
      </c>
      <c r="E2244">
        <v>12.50219661739253</v>
      </c>
      <c r="F2244">
        <v>31.770360891067789</v>
      </c>
      <c r="G2244">
        <v>6.1617086668072716</v>
      </c>
      <c r="H2244">
        <v>24.55987585812451</v>
      </c>
      <c r="I2244">
        <v>29.336375382331369</v>
      </c>
      <c r="J2244">
        <v>31.041859136742961</v>
      </c>
      <c r="K2244">
        <v>14.04527555353252</v>
      </c>
      <c r="L2244">
        <v>-1</v>
      </c>
      <c r="M2244" t="s">
        <v>69</v>
      </c>
    </row>
    <row r="2245" spans="1:13" x14ac:dyDescent="0.3">
      <c r="A2245" t="s">
        <v>24</v>
      </c>
      <c r="B2245" t="s">
        <v>60</v>
      </c>
      <c r="C2245">
        <v>613.26656179201495</v>
      </c>
      <c r="D2245">
        <v>27.872605674203179</v>
      </c>
      <c r="E2245">
        <v>48.909330736357177</v>
      </c>
      <c r="F2245">
        <v>90.935580112918615</v>
      </c>
      <c r="G2245">
        <v>6.0516910426175858</v>
      </c>
      <c r="H2245">
        <v>76.781296171795105</v>
      </c>
      <c r="I2245">
        <v>29.61185648469576</v>
      </c>
      <c r="J2245">
        <v>30.319224096103252</v>
      </c>
      <c r="K2245">
        <v>11.094548117139309</v>
      </c>
      <c r="L2245">
        <v>-1</v>
      </c>
      <c r="M2245" t="s">
        <v>69</v>
      </c>
    </row>
    <row r="2246" spans="1:13" x14ac:dyDescent="0.3">
      <c r="A2246" t="s">
        <v>24</v>
      </c>
      <c r="B2246" t="s">
        <v>61</v>
      </c>
      <c r="C2246">
        <v>332.83333097448377</v>
      </c>
      <c r="D2246">
        <v>18.051762685158931</v>
      </c>
      <c r="E2246">
        <v>21.072311918816229</v>
      </c>
      <c r="F2246">
        <v>51.597364265659877</v>
      </c>
      <c r="G2246">
        <v>4.4516246627260063</v>
      </c>
      <c r="H2246">
        <v>56.390451691655137</v>
      </c>
      <c r="I2246">
        <v>28.365835471659519</v>
      </c>
      <c r="J2246">
        <v>32.314297412927303</v>
      </c>
      <c r="K2246">
        <v>14.12193582275631</v>
      </c>
      <c r="L2246">
        <v>-1</v>
      </c>
      <c r="M2246" t="s">
        <v>69</v>
      </c>
    </row>
    <row r="2247" spans="1:13" x14ac:dyDescent="0.3">
      <c r="A2247" t="s">
        <v>24</v>
      </c>
      <c r="B2247" t="s">
        <v>60</v>
      </c>
      <c r="C2247">
        <v>523.38562066913255</v>
      </c>
      <c r="D2247">
        <v>27.52215118023053</v>
      </c>
      <c r="E2247">
        <v>34.073931889779587</v>
      </c>
      <c r="F2247">
        <v>81.233371913615656</v>
      </c>
      <c r="G2247">
        <v>5.3751134675530086</v>
      </c>
      <c r="H2247">
        <v>67.309256422636423</v>
      </c>
      <c r="I2247">
        <v>30.44415280624828</v>
      </c>
      <c r="J2247">
        <v>31.565945723061802</v>
      </c>
      <c r="K2247">
        <v>11</v>
      </c>
      <c r="L2247">
        <v>-1</v>
      </c>
      <c r="M2247" t="s">
        <v>69</v>
      </c>
    </row>
    <row r="2248" spans="1:13" x14ac:dyDescent="0.3">
      <c r="A2248" t="s">
        <v>24</v>
      </c>
      <c r="B2248" t="s">
        <v>61</v>
      </c>
      <c r="C2248">
        <v>338.15500099221259</v>
      </c>
      <c r="D2248">
        <v>17.45320297313171</v>
      </c>
      <c r="E2248">
        <v>20.72546818468274</v>
      </c>
      <c r="F2248">
        <v>51.950795381631188</v>
      </c>
      <c r="G2248">
        <v>4.3900221958277168</v>
      </c>
      <c r="H2248">
        <v>55.613142291724117</v>
      </c>
      <c r="I2248">
        <v>30.608974147007121</v>
      </c>
      <c r="J2248">
        <v>30.974646228945449</v>
      </c>
      <c r="K2248">
        <v>14.38859718444132</v>
      </c>
      <c r="L2248">
        <v>-1</v>
      </c>
      <c r="M2248" t="s">
        <v>69</v>
      </c>
    </row>
    <row r="2249" spans="1:13" x14ac:dyDescent="0.3">
      <c r="A2249" t="s">
        <v>19</v>
      </c>
      <c r="B2249" t="s">
        <v>46</v>
      </c>
      <c r="C2249">
        <v>28.023118134764619</v>
      </c>
      <c r="D2249">
        <v>1.0627505567652791</v>
      </c>
      <c r="E2249">
        <v>0.90257250817964696</v>
      </c>
      <c r="F2249">
        <v>3.891290629303469</v>
      </c>
      <c r="G2249">
        <v>5.9491712511436141</v>
      </c>
      <c r="H2249">
        <v>18.925018708023991</v>
      </c>
      <c r="I2249">
        <v>30.7298975223413</v>
      </c>
      <c r="J2249">
        <v>26.47139539952483</v>
      </c>
      <c r="K2249">
        <v>728.41694716015354</v>
      </c>
      <c r="L2249">
        <v>-1</v>
      </c>
      <c r="M2249" t="s">
        <v>69</v>
      </c>
    </row>
    <row r="2250" spans="1:13" x14ac:dyDescent="0.3">
      <c r="A2250" t="s">
        <v>24</v>
      </c>
      <c r="B2250" t="s">
        <v>61</v>
      </c>
      <c r="C2250">
        <v>315.56934644694422</v>
      </c>
      <c r="D2250">
        <v>18.401649462265439</v>
      </c>
      <c r="E2250">
        <v>23.50276478581879</v>
      </c>
      <c r="F2250">
        <v>50.047259730165187</v>
      </c>
      <c r="G2250">
        <v>4.5477803150038731</v>
      </c>
      <c r="H2250">
        <v>52.630167814837513</v>
      </c>
      <c r="I2250">
        <v>29.36009633268641</v>
      </c>
      <c r="J2250">
        <v>31.139038112608031</v>
      </c>
      <c r="K2250">
        <v>13.996064538307341</v>
      </c>
      <c r="L2250">
        <v>-1</v>
      </c>
      <c r="M2250" t="s">
        <v>69</v>
      </c>
    </row>
    <row r="2251" spans="1:13" x14ac:dyDescent="0.3">
      <c r="A2251" t="s">
        <v>24</v>
      </c>
      <c r="B2251" t="s">
        <v>61</v>
      </c>
      <c r="C2251">
        <v>338.69399545626732</v>
      </c>
      <c r="D2251">
        <v>15.359908542177539</v>
      </c>
      <c r="E2251">
        <v>24.064330760992551</v>
      </c>
      <c r="F2251">
        <v>56.292792556313437</v>
      </c>
      <c r="G2251">
        <v>4.3440835554205677</v>
      </c>
      <c r="H2251">
        <v>57.630868475136978</v>
      </c>
      <c r="I2251">
        <v>30.283218208890599</v>
      </c>
      <c r="J2251">
        <v>30.136107750051838</v>
      </c>
      <c r="K2251">
        <v>13.98066804908899</v>
      </c>
      <c r="L2251">
        <v>-1</v>
      </c>
      <c r="M2251" t="s">
        <v>69</v>
      </c>
    </row>
    <row r="2252" spans="1:13" x14ac:dyDescent="0.3">
      <c r="A2252" t="s">
        <v>24</v>
      </c>
      <c r="B2252" t="s">
        <v>61</v>
      </c>
      <c r="C2252">
        <v>320.49658155961498</v>
      </c>
      <c r="D2252">
        <v>16.635334092921919</v>
      </c>
      <c r="E2252">
        <v>22.982572101433341</v>
      </c>
      <c r="F2252">
        <v>43.484304009553313</v>
      </c>
      <c r="G2252">
        <v>4.3</v>
      </c>
      <c r="H2252">
        <v>58.568724769449787</v>
      </c>
      <c r="I2252">
        <v>29.137705260982969</v>
      </c>
      <c r="J2252">
        <v>31.89972614350712</v>
      </c>
      <c r="K2252">
        <v>13.987073879555741</v>
      </c>
      <c r="L2252">
        <v>-1</v>
      </c>
      <c r="M2252" t="s">
        <v>69</v>
      </c>
    </row>
    <row r="2253" spans="1:13" x14ac:dyDescent="0.3">
      <c r="A2253" t="s">
        <v>25</v>
      </c>
      <c r="B2253" t="s">
        <v>62</v>
      </c>
      <c r="C2253">
        <v>91.779776062103281</v>
      </c>
      <c r="D2253">
        <v>4.5242285149164614</v>
      </c>
      <c r="E2253">
        <v>5.1680475439966296</v>
      </c>
      <c r="F2253">
        <v>12.423400592378099</v>
      </c>
      <c r="G2253">
        <v>6.7446835427160146</v>
      </c>
      <c r="H2253">
        <v>13.9</v>
      </c>
      <c r="I2253">
        <v>31.999945432668401</v>
      </c>
      <c r="J2253">
        <v>30.708195818170779</v>
      </c>
      <c r="K2253">
        <v>47.828697285355929</v>
      </c>
      <c r="L2253">
        <v>-1</v>
      </c>
      <c r="M2253" t="s">
        <v>69</v>
      </c>
    </row>
    <row r="2254" spans="1:13" x14ac:dyDescent="0.3">
      <c r="A2254" t="s">
        <v>24</v>
      </c>
      <c r="B2254" t="s">
        <v>59</v>
      </c>
      <c r="C2254">
        <v>342.80487539236418</v>
      </c>
      <c r="D2254">
        <v>17.72640110349111</v>
      </c>
      <c r="E2254">
        <v>23.8868123517119</v>
      </c>
      <c r="F2254">
        <v>55.046492625745017</v>
      </c>
      <c r="G2254">
        <v>5.2616054571619548</v>
      </c>
      <c r="H2254">
        <v>73.921080425597154</v>
      </c>
      <c r="I2254">
        <v>30.58701399761437</v>
      </c>
      <c r="J2254">
        <v>31.181106023193291</v>
      </c>
      <c r="K2254">
        <v>11</v>
      </c>
      <c r="L2254">
        <v>-1</v>
      </c>
      <c r="M2254" t="s">
        <v>69</v>
      </c>
    </row>
    <row r="2255" spans="1:13" x14ac:dyDescent="0.3">
      <c r="A2255" t="s">
        <v>25</v>
      </c>
      <c r="B2255" t="s">
        <v>62</v>
      </c>
      <c r="C2255">
        <v>91.273930927992524</v>
      </c>
      <c r="D2255">
        <v>3.5571573783363819</v>
      </c>
      <c r="E2255">
        <v>5.6184727018007772</v>
      </c>
      <c r="F2255">
        <v>15.39995959416783</v>
      </c>
      <c r="G2255">
        <v>6.9907889479854832</v>
      </c>
      <c r="H2255">
        <v>15.41063000771495</v>
      </c>
      <c r="I2255">
        <v>34.087617873202163</v>
      </c>
      <c r="J2255">
        <v>31.420085218863839</v>
      </c>
      <c r="K2255">
        <v>47.501972574970303</v>
      </c>
      <c r="L2255">
        <v>-1</v>
      </c>
      <c r="M2255" t="s">
        <v>69</v>
      </c>
    </row>
    <row r="2256" spans="1:13" x14ac:dyDescent="0.3">
      <c r="A2256" t="s">
        <v>24</v>
      </c>
      <c r="B2256" t="s">
        <v>61</v>
      </c>
      <c r="C2256">
        <v>78.09938923415784</v>
      </c>
      <c r="D2256">
        <v>4.2455261627498793</v>
      </c>
      <c r="E2256">
        <v>5.3103457123502498</v>
      </c>
      <c r="F2256">
        <v>11.026424052854001</v>
      </c>
      <c r="G2256">
        <v>6.1733641233461238</v>
      </c>
      <c r="H2256">
        <v>14.464934766550281</v>
      </c>
      <c r="I2256">
        <v>34.278058635597027</v>
      </c>
      <c r="J2256">
        <v>30.735963187752791</v>
      </c>
      <c r="K2256">
        <v>48.743004969501953</v>
      </c>
      <c r="L2256">
        <v>-1</v>
      </c>
      <c r="M2256" t="s">
        <v>69</v>
      </c>
    </row>
    <row r="2257" spans="1:13" x14ac:dyDescent="0.3">
      <c r="A2257" t="s">
        <v>24</v>
      </c>
      <c r="B2257" t="s">
        <v>61</v>
      </c>
      <c r="C2257">
        <v>324.45632821943889</v>
      </c>
      <c r="D2257">
        <v>16.873835014126339</v>
      </c>
      <c r="E2257">
        <v>22.794785151095539</v>
      </c>
      <c r="F2257">
        <v>65.968799959857364</v>
      </c>
      <c r="G2257">
        <v>4.4332488027534458</v>
      </c>
      <c r="H2257">
        <v>57.565199349499572</v>
      </c>
      <c r="I2257">
        <v>29.996292926353409</v>
      </c>
      <c r="J2257">
        <v>31.32552292665272</v>
      </c>
      <c r="K2257">
        <v>13.780794982069439</v>
      </c>
      <c r="L2257">
        <v>-1</v>
      </c>
      <c r="M2257" t="s">
        <v>69</v>
      </c>
    </row>
    <row r="2258" spans="1:13" x14ac:dyDescent="0.3">
      <c r="A2258" t="s">
        <v>24</v>
      </c>
      <c r="B2258" t="s">
        <v>60</v>
      </c>
      <c r="C2258">
        <v>618.89023245718545</v>
      </c>
      <c r="D2258">
        <v>38.290751588133332</v>
      </c>
      <c r="E2258">
        <v>50.929739456005073</v>
      </c>
      <c r="F2258">
        <v>103.201707823036</v>
      </c>
      <c r="G2258">
        <v>5.8612296504511097</v>
      </c>
      <c r="H2258">
        <v>79.299219815337693</v>
      </c>
      <c r="I2258">
        <v>29.993211985563502</v>
      </c>
      <c r="J2258">
        <v>32.486302927344212</v>
      </c>
      <c r="K2258">
        <v>11.347715418471349</v>
      </c>
      <c r="L2258">
        <v>-1</v>
      </c>
      <c r="M2258" t="s">
        <v>69</v>
      </c>
    </row>
    <row r="2259" spans="1:13" x14ac:dyDescent="0.3">
      <c r="A2259" t="s">
        <v>24</v>
      </c>
      <c r="B2259" t="s">
        <v>59</v>
      </c>
      <c r="C2259">
        <v>343.52833980126218</v>
      </c>
      <c r="D2259">
        <v>16.14708331442322</v>
      </c>
      <c r="E2259">
        <v>24.410114053228121</v>
      </c>
      <c r="F2259">
        <v>54.28413790722233</v>
      </c>
      <c r="G2259">
        <v>5.2282775887856756</v>
      </c>
      <c r="H2259">
        <v>74.697220373366619</v>
      </c>
      <c r="I2259">
        <v>29.4417202739128</v>
      </c>
      <c r="J2259">
        <v>30.798437868923148</v>
      </c>
      <c r="K2259">
        <v>11.40434078688827</v>
      </c>
      <c r="L2259">
        <v>-1</v>
      </c>
      <c r="M2259" t="s">
        <v>69</v>
      </c>
    </row>
    <row r="2260" spans="1:13" x14ac:dyDescent="0.3">
      <c r="A2260" t="s">
        <v>24</v>
      </c>
      <c r="B2260" t="s">
        <v>61</v>
      </c>
      <c r="C2260">
        <v>75.496792686930675</v>
      </c>
      <c r="D2260">
        <v>4.2161659610028774</v>
      </c>
      <c r="E2260">
        <v>4.9147503738366307</v>
      </c>
      <c r="F2260">
        <v>12.334995829939441</v>
      </c>
      <c r="G2260">
        <v>6.1204062981692138</v>
      </c>
      <c r="H2260">
        <v>14.79647739028368</v>
      </c>
      <c r="I2260">
        <v>34.151217636089633</v>
      </c>
      <c r="J2260">
        <v>31.342687169321191</v>
      </c>
      <c r="K2260">
        <v>46.439054066242988</v>
      </c>
      <c r="L2260">
        <v>-1</v>
      </c>
      <c r="M2260" t="s">
        <v>69</v>
      </c>
    </row>
    <row r="2261" spans="1:13" x14ac:dyDescent="0.3">
      <c r="A2261" t="s">
        <v>24</v>
      </c>
      <c r="B2261" t="s">
        <v>61</v>
      </c>
      <c r="C2261">
        <v>187.04704903536481</v>
      </c>
      <c r="D2261">
        <v>8.314246441847347</v>
      </c>
      <c r="E2261">
        <v>12.59913806257655</v>
      </c>
      <c r="F2261">
        <v>29.50163538210046</v>
      </c>
      <c r="G2261">
        <v>6.0708286694189946</v>
      </c>
      <c r="H2261">
        <v>23.792383216345868</v>
      </c>
      <c r="I2261">
        <v>29.2809742281034</v>
      </c>
      <c r="J2261">
        <v>32.349601112522997</v>
      </c>
      <c r="K2261">
        <v>13.966919433071549</v>
      </c>
      <c r="L2261">
        <v>-1</v>
      </c>
      <c r="M2261" t="s">
        <v>69</v>
      </c>
    </row>
    <row r="2262" spans="1:13" x14ac:dyDescent="0.3">
      <c r="A2262" t="s">
        <v>25</v>
      </c>
      <c r="B2262" t="s">
        <v>62</v>
      </c>
      <c r="C2262">
        <v>93.196952787206172</v>
      </c>
      <c r="D2262">
        <v>3.745299633892496</v>
      </c>
      <c r="E2262">
        <v>6.2197594042863029</v>
      </c>
      <c r="F2262">
        <v>14.740523474374131</v>
      </c>
      <c r="G2262">
        <v>6.7189793692853543</v>
      </c>
      <c r="H2262">
        <v>13.91907987846878</v>
      </c>
      <c r="I2262">
        <v>31.235943797900031</v>
      </c>
      <c r="J2262">
        <v>31.493143798041739</v>
      </c>
      <c r="K2262">
        <v>47.871679202248288</v>
      </c>
      <c r="L2262">
        <v>-1</v>
      </c>
      <c r="M2262" t="s">
        <v>69</v>
      </c>
    </row>
    <row r="2263" spans="1:13" x14ac:dyDescent="0.3">
      <c r="A2263" t="s">
        <v>19</v>
      </c>
      <c r="B2263" t="s">
        <v>47</v>
      </c>
      <c r="C2263">
        <v>32.798881480537247</v>
      </c>
      <c r="D2263">
        <v>1.2048124083242351</v>
      </c>
      <c r="E2263">
        <v>2.0169089802620479</v>
      </c>
      <c r="F2263">
        <v>3.5891689918297409</v>
      </c>
      <c r="G2263">
        <v>6.1363207033456533</v>
      </c>
      <c r="H2263">
        <v>22.572444885414001</v>
      </c>
      <c r="I2263">
        <v>29.282048385579259</v>
      </c>
      <c r="J2263">
        <v>25.764506634304571</v>
      </c>
      <c r="K2263">
        <v>734.21372815740176</v>
      </c>
      <c r="L2263">
        <v>-1</v>
      </c>
      <c r="M2263" t="s">
        <v>69</v>
      </c>
    </row>
    <row r="2264" spans="1:13" x14ac:dyDescent="0.3">
      <c r="A2264" t="s">
        <v>24</v>
      </c>
      <c r="B2264" t="s">
        <v>60</v>
      </c>
      <c r="C2264">
        <v>612.84816706423783</v>
      </c>
      <c r="D2264">
        <v>25.90069738074294</v>
      </c>
      <c r="E2264">
        <v>43.681379383921978</v>
      </c>
      <c r="F2264">
        <v>94.20883733331911</v>
      </c>
      <c r="G2264">
        <v>6.1189548388774311</v>
      </c>
      <c r="H2264">
        <v>77.082741750303455</v>
      </c>
      <c r="I2264">
        <v>30.358693404087731</v>
      </c>
      <c r="J2264">
        <v>32.472342848941182</v>
      </c>
      <c r="K2264">
        <v>11.11747398511989</v>
      </c>
      <c r="L2264">
        <v>-1</v>
      </c>
      <c r="M2264" t="s">
        <v>69</v>
      </c>
    </row>
    <row r="2265" spans="1:13" x14ac:dyDescent="0.3">
      <c r="A2265" t="s">
        <v>24</v>
      </c>
      <c r="B2265" t="s">
        <v>61</v>
      </c>
      <c r="C2265">
        <v>76.286627369482616</v>
      </c>
      <c r="D2265">
        <v>3.869914125838458</v>
      </c>
      <c r="E2265">
        <v>5.0012767017040742</v>
      </c>
      <c r="F2265">
        <v>12.64848894114221</v>
      </c>
      <c r="G2265">
        <v>6.0614785223012291</v>
      </c>
      <c r="H2265">
        <v>14.542427724995241</v>
      </c>
      <c r="I2265">
        <v>34.340903082851547</v>
      </c>
      <c r="J2265">
        <v>32.474498224794793</v>
      </c>
      <c r="K2265">
        <v>48.439392141394137</v>
      </c>
      <c r="L2265">
        <v>-1</v>
      </c>
      <c r="M2265" t="s">
        <v>69</v>
      </c>
    </row>
    <row r="2266" spans="1:13" x14ac:dyDescent="0.3">
      <c r="A2266" t="s">
        <v>19</v>
      </c>
      <c r="B2266" t="s">
        <v>47</v>
      </c>
      <c r="C2266">
        <v>31.896288130310129</v>
      </c>
      <c r="D2266">
        <v>0.86267629170710114</v>
      </c>
      <c r="E2266">
        <v>1.916399312759633</v>
      </c>
      <c r="F2266">
        <v>3.9172503991984668</v>
      </c>
      <c r="G2266">
        <v>5.9330684148151329</v>
      </c>
      <c r="H2266">
        <v>20.542066177359679</v>
      </c>
      <c r="I2266">
        <v>29.065489260019689</v>
      </c>
      <c r="J2266">
        <v>26.01032704453252</v>
      </c>
      <c r="K2266">
        <v>726.44457041115959</v>
      </c>
      <c r="L2266">
        <v>-1</v>
      </c>
      <c r="M2266" t="s">
        <v>69</v>
      </c>
    </row>
    <row r="2267" spans="1:13" x14ac:dyDescent="0.3">
      <c r="A2267" t="s">
        <v>24</v>
      </c>
      <c r="B2267" t="s">
        <v>60</v>
      </c>
      <c r="C2267">
        <v>513.88442248533488</v>
      </c>
      <c r="D2267">
        <v>22.925237754935271</v>
      </c>
      <c r="E2267">
        <v>38.021707774448267</v>
      </c>
      <c r="F2267">
        <v>83.761971904052416</v>
      </c>
      <c r="G2267">
        <v>5.4802659366600324</v>
      </c>
      <c r="H2267">
        <v>65.428908791161518</v>
      </c>
      <c r="I2267">
        <v>30.55199682535946</v>
      </c>
      <c r="J2267">
        <v>31.30793753379514</v>
      </c>
      <c r="K2267">
        <v>11.092653531321959</v>
      </c>
      <c r="L2267">
        <v>-1</v>
      </c>
      <c r="M2267" t="s">
        <v>69</v>
      </c>
    </row>
    <row r="2268" spans="1:13" x14ac:dyDescent="0.3">
      <c r="A2268" t="s">
        <v>24</v>
      </c>
      <c r="B2268" t="s">
        <v>61</v>
      </c>
      <c r="C2268">
        <v>346.61783567330201</v>
      </c>
      <c r="D2268">
        <v>15.507555587000221</v>
      </c>
      <c r="E2268">
        <v>22.675105037082041</v>
      </c>
      <c r="F2268">
        <v>53.639589870802041</v>
      </c>
      <c r="G2268">
        <v>4.3342393287606074</v>
      </c>
      <c r="H2268">
        <v>53.89808946011108</v>
      </c>
      <c r="I2268">
        <v>30.1312394744991</v>
      </c>
      <c r="J2268">
        <v>31.11134856496059</v>
      </c>
      <c r="K2268">
        <v>13.97520651745117</v>
      </c>
      <c r="L2268">
        <v>-1</v>
      </c>
      <c r="M2268" t="s">
        <v>69</v>
      </c>
    </row>
    <row r="2269" spans="1:13" x14ac:dyDescent="0.3">
      <c r="A2269" t="s">
        <v>24</v>
      </c>
      <c r="B2269" t="s">
        <v>61</v>
      </c>
      <c r="C2269">
        <v>120.35024722621399</v>
      </c>
      <c r="D2269">
        <v>5.8059382668799397</v>
      </c>
      <c r="E2269">
        <v>8.8765586864114674</v>
      </c>
      <c r="F2269">
        <v>21.716498979862411</v>
      </c>
      <c r="G2269">
        <v>6.3550845056069454</v>
      </c>
      <c r="H2269">
        <v>21.239131301581569</v>
      </c>
      <c r="I2269">
        <v>29.94356557847982</v>
      </c>
      <c r="J2269">
        <v>30.87878690194384</v>
      </c>
      <c r="K2269">
        <v>48.398466595997427</v>
      </c>
      <c r="L2269">
        <v>-1</v>
      </c>
      <c r="M2269" t="s">
        <v>69</v>
      </c>
    </row>
    <row r="2270" spans="1:13" x14ac:dyDescent="0.3">
      <c r="A2270" t="s">
        <v>24</v>
      </c>
      <c r="B2270" t="s">
        <v>61</v>
      </c>
      <c r="C2270">
        <v>705.62641389737121</v>
      </c>
      <c r="D2270">
        <v>38.236639961264437</v>
      </c>
      <c r="E2270">
        <v>48.000547275172579</v>
      </c>
      <c r="F2270">
        <v>114.9182546422513</v>
      </c>
      <c r="G2270">
        <v>6.022916928103843</v>
      </c>
      <c r="H2270">
        <v>69.852260046422771</v>
      </c>
      <c r="I2270">
        <v>29.407652818638731</v>
      </c>
      <c r="J2270">
        <v>31.089803507863031</v>
      </c>
      <c r="K2270">
        <v>11.091531450285171</v>
      </c>
      <c r="L2270">
        <v>-1</v>
      </c>
      <c r="M2270" t="s">
        <v>69</v>
      </c>
    </row>
    <row r="2271" spans="1:13" x14ac:dyDescent="0.3">
      <c r="A2271" t="s">
        <v>24</v>
      </c>
      <c r="B2271" t="s">
        <v>61</v>
      </c>
      <c r="C2271">
        <v>179.69606337462449</v>
      </c>
      <c r="D2271">
        <v>8.5382209604605919</v>
      </c>
      <c r="E2271">
        <v>11.65166449098972</v>
      </c>
      <c r="F2271">
        <v>30.753257434580959</v>
      </c>
      <c r="G2271">
        <v>6.330239085753897</v>
      </c>
      <c r="H2271">
        <v>26.481916637371739</v>
      </c>
      <c r="I2271">
        <v>29.66643507342636</v>
      </c>
      <c r="J2271">
        <v>31.572018434213899</v>
      </c>
      <c r="K2271">
        <v>14.04039805389584</v>
      </c>
      <c r="L2271">
        <v>-1</v>
      </c>
      <c r="M2271" t="s">
        <v>69</v>
      </c>
    </row>
    <row r="2272" spans="1:13" x14ac:dyDescent="0.3">
      <c r="A2272" t="s">
        <v>19</v>
      </c>
      <c r="B2272" t="s">
        <v>47</v>
      </c>
      <c r="C2272">
        <v>31.1975979867597</v>
      </c>
      <c r="D2272">
        <v>0.97808669524239189</v>
      </c>
      <c r="E2272">
        <v>2.0565646817048728</v>
      </c>
      <c r="F2272">
        <v>3.6276811570654162</v>
      </c>
      <c r="G2272">
        <v>5.8908088380861976</v>
      </c>
      <c r="H2272">
        <v>21.463725598624759</v>
      </c>
      <c r="I2272">
        <v>29.42684193190707</v>
      </c>
      <c r="J2272">
        <v>25.785903816956861</v>
      </c>
      <c r="K2272">
        <v>734.14434052794104</v>
      </c>
      <c r="L2272">
        <v>-1</v>
      </c>
      <c r="M2272" t="s">
        <v>69</v>
      </c>
    </row>
    <row r="2273" spans="1:13" x14ac:dyDescent="0.3">
      <c r="A2273" t="s">
        <v>24</v>
      </c>
      <c r="B2273" t="s">
        <v>59</v>
      </c>
      <c r="C2273">
        <v>342.34812729993718</v>
      </c>
      <c r="D2273">
        <v>17.28196259890213</v>
      </c>
      <c r="E2273">
        <v>22.0031223403968</v>
      </c>
      <c r="F2273">
        <v>54.043379457353183</v>
      </c>
      <c r="G2273">
        <v>5.291445314835646</v>
      </c>
      <c r="H2273">
        <v>73.791657427117741</v>
      </c>
      <c r="I2273">
        <v>31.08018079868986</v>
      </c>
      <c r="J2273">
        <v>31.697991193794191</v>
      </c>
      <c r="K2273">
        <v>11</v>
      </c>
      <c r="L2273">
        <v>-1</v>
      </c>
      <c r="M2273" t="s">
        <v>69</v>
      </c>
    </row>
    <row r="2274" spans="1:13" x14ac:dyDescent="0.3">
      <c r="A2274" t="s">
        <v>24</v>
      </c>
      <c r="B2274" t="s">
        <v>61</v>
      </c>
      <c r="C2274">
        <v>328.1016082145938</v>
      </c>
      <c r="D2274">
        <v>16.70856435380745</v>
      </c>
      <c r="E2274">
        <v>20.377260935538651</v>
      </c>
      <c r="F2274">
        <v>54.818898181358342</v>
      </c>
      <c r="G2274">
        <v>5.1287209047320719</v>
      </c>
      <c r="H2274">
        <v>71.292796665749862</v>
      </c>
      <c r="I2274">
        <v>31.37416665169993</v>
      </c>
      <c r="J2274">
        <v>31.45514150721905</v>
      </c>
      <c r="K2274">
        <v>11</v>
      </c>
      <c r="L2274">
        <v>-1</v>
      </c>
      <c r="M2274" t="s">
        <v>69</v>
      </c>
    </row>
    <row r="2275" spans="1:13" x14ac:dyDescent="0.3">
      <c r="A2275" t="s">
        <v>25</v>
      </c>
      <c r="B2275" t="s">
        <v>62</v>
      </c>
      <c r="C2275">
        <v>87.75183964909013</v>
      </c>
      <c r="D2275">
        <v>4.2970354363611092</v>
      </c>
      <c r="E2275">
        <v>5.6121394761324961</v>
      </c>
      <c r="F2275">
        <v>12.455103169646</v>
      </c>
      <c r="G2275">
        <v>6.8167331354529868</v>
      </c>
      <c r="H2275">
        <v>13.970628385074709</v>
      </c>
      <c r="I2275">
        <v>30.08273278482211</v>
      </c>
      <c r="J2275">
        <v>32.220635769060877</v>
      </c>
      <c r="K2275">
        <v>47.145867895576878</v>
      </c>
      <c r="L2275">
        <v>-1</v>
      </c>
      <c r="M2275" t="s">
        <v>69</v>
      </c>
    </row>
    <row r="2276" spans="1:13" x14ac:dyDescent="0.3">
      <c r="A2276" t="s">
        <v>25</v>
      </c>
      <c r="B2276" t="s">
        <v>62</v>
      </c>
      <c r="C2276">
        <v>92.789750330602274</v>
      </c>
      <c r="D2276">
        <v>3.5980519948830678</v>
      </c>
      <c r="E2276">
        <v>6.2944321946769248</v>
      </c>
      <c r="F2276">
        <v>14.71908914585832</v>
      </c>
      <c r="G2276">
        <v>6.7631724917482856</v>
      </c>
      <c r="H2276">
        <v>13.91743261262847</v>
      </c>
      <c r="I2276">
        <v>31.185295399350899</v>
      </c>
      <c r="J2276">
        <v>31.712532023904259</v>
      </c>
      <c r="K2276">
        <v>47.907687848265368</v>
      </c>
      <c r="L2276">
        <v>-1</v>
      </c>
      <c r="M2276" t="s">
        <v>69</v>
      </c>
    </row>
    <row r="2277" spans="1:13" x14ac:dyDescent="0.3">
      <c r="A2277" t="s">
        <v>24</v>
      </c>
      <c r="B2277" t="s">
        <v>61</v>
      </c>
      <c r="C2277">
        <v>176.47662223256211</v>
      </c>
      <c r="D2277">
        <v>8.1395634600799358</v>
      </c>
      <c r="E2277">
        <v>12.920253833758411</v>
      </c>
      <c r="F2277">
        <v>30.769890467843911</v>
      </c>
      <c r="G2277">
        <v>6.1497018432798116</v>
      </c>
      <c r="H2277">
        <v>24.898010315205571</v>
      </c>
      <c r="I2277">
        <v>29.45958035630251</v>
      </c>
      <c r="J2277">
        <v>31.190275946213891</v>
      </c>
      <c r="K2277">
        <v>14.051776436463109</v>
      </c>
      <c r="L2277">
        <v>-1</v>
      </c>
      <c r="M2277" t="s">
        <v>69</v>
      </c>
    </row>
    <row r="2278" spans="1:13" x14ac:dyDescent="0.3">
      <c r="A2278" t="s">
        <v>24</v>
      </c>
      <c r="B2278" t="s">
        <v>61</v>
      </c>
      <c r="C2278">
        <v>176.55305764006761</v>
      </c>
      <c r="D2278">
        <v>8.4825661742966183</v>
      </c>
      <c r="E2278">
        <v>11.958166238303541</v>
      </c>
      <c r="F2278">
        <v>29.71497327022718</v>
      </c>
      <c r="G2278">
        <v>6.2996955171681002</v>
      </c>
      <c r="H2278">
        <v>26.55992227284046</v>
      </c>
      <c r="I2278">
        <v>29.73879080280577</v>
      </c>
      <c r="J2278">
        <v>31.5549831119983</v>
      </c>
      <c r="K2278">
        <v>14.035328006263629</v>
      </c>
      <c r="L2278">
        <v>-1</v>
      </c>
      <c r="M2278" t="s">
        <v>69</v>
      </c>
    </row>
    <row r="2279" spans="1:13" x14ac:dyDescent="0.3">
      <c r="A2279" t="s">
        <v>19</v>
      </c>
      <c r="B2279" t="s">
        <v>46</v>
      </c>
      <c r="C2279">
        <v>28.1243643514929</v>
      </c>
      <c r="D2279">
        <v>1.052909286662242</v>
      </c>
      <c r="E2279">
        <v>0.979628849355759</v>
      </c>
      <c r="F2279">
        <v>4.268184667929626</v>
      </c>
      <c r="G2279">
        <v>6.0557126849099614</v>
      </c>
      <c r="H2279">
        <v>19.297245049616809</v>
      </c>
      <c r="I2279">
        <v>30.678503852510811</v>
      </c>
      <c r="J2279">
        <v>26.247619813013412</v>
      </c>
      <c r="K2279">
        <v>733.51988007199395</v>
      </c>
      <c r="L2279">
        <v>-1</v>
      </c>
      <c r="M2279" t="s">
        <v>69</v>
      </c>
    </row>
    <row r="2280" spans="1:13" x14ac:dyDescent="0.3">
      <c r="A2280" t="s">
        <v>19</v>
      </c>
      <c r="B2280" t="s">
        <v>46</v>
      </c>
      <c r="C2280">
        <v>27.315915885709959</v>
      </c>
      <c r="D2280">
        <v>1.0258150556308481</v>
      </c>
      <c r="E2280">
        <v>0.96546505807049599</v>
      </c>
      <c r="F2280">
        <v>3.9476421751944368</v>
      </c>
      <c r="G2280">
        <v>5.9727354175807879</v>
      </c>
      <c r="H2280">
        <v>19.397244631389508</v>
      </c>
      <c r="I2280">
        <v>30.595104185028951</v>
      </c>
      <c r="J2280">
        <v>26.095421767593312</v>
      </c>
      <c r="K2280">
        <v>728.47379047924881</v>
      </c>
      <c r="L2280">
        <v>-1</v>
      </c>
      <c r="M2280" t="s">
        <v>69</v>
      </c>
    </row>
    <row r="2281" spans="1:13" x14ac:dyDescent="0.3">
      <c r="A2281" t="s">
        <v>19</v>
      </c>
      <c r="B2281" t="s">
        <v>46</v>
      </c>
      <c r="C2281">
        <v>27.83406844442835</v>
      </c>
      <c r="D2281">
        <v>1.009637444061559</v>
      </c>
      <c r="E2281">
        <v>0.93798910763528642</v>
      </c>
      <c r="F2281">
        <v>4.0978597292724892</v>
      </c>
      <c r="G2281">
        <v>6.0364199502517666</v>
      </c>
      <c r="H2281">
        <v>19.02375798124444</v>
      </c>
      <c r="I2281">
        <v>31.080069544400668</v>
      </c>
      <c r="J2281">
        <v>26.962640776406609</v>
      </c>
      <c r="K2281">
        <v>719.2783475696657</v>
      </c>
      <c r="L2281">
        <v>-1</v>
      </c>
      <c r="M2281" t="s">
        <v>69</v>
      </c>
    </row>
    <row r="2282" spans="1:13" x14ac:dyDescent="0.3">
      <c r="A2282" t="s">
        <v>24</v>
      </c>
      <c r="B2282" t="s">
        <v>60</v>
      </c>
      <c r="C2282">
        <v>514.29968564961109</v>
      </c>
      <c r="D2282">
        <v>30.549692386050388</v>
      </c>
      <c r="E2282">
        <v>36.663804950871103</v>
      </c>
      <c r="F2282">
        <v>77.204541026418752</v>
      </c>
      <c r="G2282">
        <v>5.3734520821495968</v>
      </c>
      <c r="H2282">
        <v>66.945981130711715</v>
      </c>
      <c r="I2282">
        <v>30.51280850710987</v>
      </c>
      <c r="J2282">
        <v>29.751141673697941</v>
      </c>
      <c r="K2282">
        <v>11.086830589801821</v>
      </c>
      <c r="L2282">
        <v>-1</v>
      </c>
      <c r="M2282" t="s">
        <v>69</v>
      </c>
    </row>
    <row r="2283" spans="1:13" x14ac:dyDescent="0.3">
      <c r="A2283" t="s">
        <v>24</v>
      </c>
      <c r="B2283" t="s">
        <v>61</v>
      </c>
      <c r="C2283">
        <v>124.4926417161716</v>
      </c>
      <c r="D2283">
        <v>6.4250354145152748</v>
      </c>
      <c r="E2283">
        <v>8.1269133953866124</v>
      </c>
      <c r="F2283">
        <v>21.80190299181967</v>
      </c>
      <c r="G2283">
        <v>6.1812088787632256</v>
      </c>
      <c r="H2283">
        <v>20.791618551579059</v>
      </c>
      <c r="I2283">
        <v>31.276984550727001</v>
      </c>
      <c r="J2283">
        <v>30.990295265940031</v>
      </c>
      <c r="K2283">
        <v>48.354646992809649</v>
      </c>
      <c r="L2283">
        <v>-1</v>
      </c>
      <c r="M2283" t="s">
        <v>69</v>
      </c>
    </row>
    <row r="2284" spans="1:13" x14ac:dyDescent="0.3">
      <c r="A2284" t="s">
        <v>24</v>
      </c>
      <c r="B2284" t="s">
        <v>60</v>
      </c>
      <c r="C2284">
        <v>504.00140626344631</v>
      </c>
      <c r="D2284">
        <v>22.010861095692661</v>
      </c>
      <c r="E2284">
        <v>35.899557117713833</v>
      </c>
      <c r="F2284">
        <v>81.391172026522923</v>
      </c>
      <c r="G2284">
        <v>5.5007461335052303</v>
      </c>
      <c r="H2284">
        <v>63.212480993128423</v>
      </c>
      <c r="I2284">
        <v>30.220929961528562</v>
      </c>
      <c r="J2284">
        <v>31.105484143146711</v>
      </c>
      <c r="K2284">
        <v>11.153821133772681</v>
      </c>
      <c r="L2284">
        <v>-1</v>
      </c>
      <c r="M2284" t="s">
        <v>69</v>
      </c>
    </row>
    <row r="2285" spans="1:13" x14ac:dyDescent="0.3">
      <c r="A2285" t="s">
        <v>24</v>
      </c>
      <c r="B2285" t="s">
        <v>61</v>
      </c>
      <c r="C2285">
        <v>678.17813734951426</v>
      </c>
      <c r="D2285">
        <v>36.198021958407949</v>
      </c>
      <c r="E2285">
        <v>47.653300471937371</v>
      </c>
      <c r="F2285">
        <v>88.162490292541008</v>
      </c>
      <c r="G2285">
        <v>5.8612880454579166</v>
      </c>
      <c r="H2285">
        <v>65.745142265280833</v>
      </c>
      <c r="I2285">
        <v>29.950767652518479</v>
      </c>
      <c r="J2285">
        <v>30.73979327147682</v>
      </c>
      <c r="K2285">
        <v>11.14856679731292</v>
      </c>
      <c r="L2285">
        <v>-1</v>
      </c>
      <c r="M2285" t="s">
        <v>69</v>
      </c>
    </row>
    <row r="2286" spans="1:13" x14ac:dyDescent="0.3">
      <c r="A2286" t="s">
        <v>25</v>
      </c>
      <c r="B2286" t="s">
        <v>62</v>
      </c>
      <c r="C2286">
        <v>100.4571636461127</v>
      </c>
      <c r="D2286">
        <v>4.6675612173765968</v>
      </c>
      <c r="E2286">
        <v>7.2154194104151532</v>
      </c>
      <c r="F2286">
        <v>14.25851799736013</v>
      </c>
      <c r="G2286">
        <v>6.789999734279685</v>
      </c>
      <c r="H2286">
        <v>14.05328344171823</v>
      </c>
      <c r="I2286">
        <v>33.64254835987505</v>
      </c>
      <c r="J2286">
        <v>30.740401228978239</v>
      </c>
      <c r="K2286">
        <v>46.769744202970969</v>
      </c>
      <c r="L2286">
        <v>-1</v>
      </c>
      <c r="M2286" t="s">
        <v>69</v>
      </c>
    </row>
    <row r="2287" spans="1:13" x14ac:dyDescent="0.3">
      <c r="A2287" t="s">
        <v>19</v>
      </c>
      <c r="B2287" t="s">
        <v>46</v>
      </c>
      <c r="C2287">
        <v>27.9183738018579</v>
      </c>
      <c r="D2287">
        <v>1.032046227133991</v>
      </c>
      <c r="E2287">
        <v>0.91769687659320276</v>
      </c>
      <c r="F2287">
        <v>3.9931310623180161</v>
      </c>
      <c r="G2287">
        <v>6.1052531858074479</v>
      </c>
      <c r="H2287">
        <v>19.421558920845779</v>
      </c>
      <c r="I2287">
        <v>30.787006441212661</v>
      </c>
      <c r="J2287">
        <v>26.040729725263851</v>
      </c>
      <c r="K2287">
        <v>723.67141998021964</v>
      </c>
      <c r="L2287">
        <v>-1</v>
      </c>
      <c r="M2287" t="s">
        <v>69</v>
      </c>
    </row>
    <row r="2288" spans="1:13" x14ac:dyDescent="0.3">
      <c r="A2288" t="s">
        <v>19</v>
      </c>
      <c r="B2288" t="s">
        <v>46</v>
      </c>
      <c r="C2288">
        <v>27.497401760444461</v>
      </c>
      <c r="D2288">
        <v>1.0576676039526181</v>
      </c>
      <c r="E2288">
        <v>0.92969711673782474</v>
      </c>
      <c r="F2288">
        <v>4.0431416357911409</v>
      </c>
      <c r="G2288">
        <v>6.046736383746941</v>
      </c>
      <c r="H2288">
        <v>19.51773177540273</v>
      </c>
      <c r="I2288">
        <v>30.278126824319969</v>
      </c>
      <c r="J2288">
        <v>26.17529522191165</v>
      </c>
      <c r="K2288">
        <v>732.54018816860992</v>
      </c>
      <c r="L2288">
        <v>-1</v>
      </c>
      <c r="M2288" t="s">
        <v>69</v>
      </c>
    </row>
    <row r="2289" spans="1:13" x14ac:dyDescent="0.3">
      <c r="A2289" t="s">
        <v>24</v>
      </c>
      <c r="B2289" t="s">
        <v>61</v>
      </c>
      <c r="C2289">
        <v>682.98142032823512</v>
      </c>
      <c r="D2289">
        <v>34.027058775863964</v>
      </c>
      <c r="E2289">
        <v>46.324428266537304</v>
      </c>
      <c r="F2289">
        <v>112.1220224777759</v>
      </c>
      <c r="G2289">
        <v>6.0981621408896736</v>
      </c>
      <c r="H2289">
        <v>72.582472625151837</v>
      </c>
      <c r="I2289">
        <v>30.150209489427588</v>
      </c>
      <c r="J2289">
        <v>30.550932013181608</v>
      </c>
      <c r="K2289">
        <v>11</v>
      </c>
      <c r="L2289">
        <v>-1</v>
      </c>
      <c r="M2289" t="s">
        <v>69</v>
      </c>
    </row>
    <row r="2290" spans="1:13" x14ac:dyDescent="0.3">
      <c r="A2290" t="s">
        <v>24</v>
      </c>
      <c r="B2290" t="s">
        <v>61</v>
      </c>
      <c r="C2290">
        <v>338.27852535900189</v>
      </c>
      <c r="D2290">
        <v>16.447180327913991</v>
      </c>
      <c r="E2290">
        <v>21.735373321223019</v>
      </c>
      <c r="F2290">
        <v>56.635896564106162</v>
      </c>
      <c r="G2290">
        <v>4.3</v>
      </c>
      <c r="H2290">
        <v>60.154364306799742</v>
      </c>
      <c r="I2290">
        <v>29.871245822724401</v>
      </c>
      <c r="J2290">
        <v>28.487248858167479</v>
      </c>
      <c r="K2290">
        <v>14.16491272972371</v>
      </c>
      <c r="L2290">
        <v>-1</v>
      </c>
      <c r="M2290" t="s">
        <v>69</v>
      </c>
    </row>
    <row r="2291" spans="1:13" x14ac:dyDescent="0.3">
      <c r="A2291" t="s">
        <v>24</v>
      </c>
      <c r="B2291" t="s">
        <v>61</v>
      </c>
      <c r="C2291">
        <v>82.343185405321222</v>
      </c>
      <c r="D2291">
        <v>4.2181420105854741</v>
      </c>
      <c r="E2291">
        <v>5.4856240889856807</v>
      </c>
      <c r="F2291">
        <v>14.36597868814764</v>
      </c>
      <c r="G2291">
        <v>6.5802976936739794</v>
      </c>
      <c r="H2291">
        <v>13.904284060396471</v>
      </c>
      <c r="I2291">
        <v>32.233212493834799</v>
      </c>
      <c r="J2291">
        <v>31.250461677920441</v>
      </c>
      <c r="K2291">
        <v>48.107371735037297</v>
      </c>
      <c r="L2291">
        <v>-1</v>
      </c>
      <c r="M2291" t="s">
        <v>69</v>
      </c>
    </row>
    <row r="2292" spans="1:13" x14ac:dyDescent="0.3">
      <c r="A2292" t="s">
        <v>25</v>
      </c>
      <c r="B2292" t="s">
        <v>62</v>
      </c>
      <c r="C2292">
        <v>89.945447747110407</v>
      </c>
      <c r="D2292">
        <v>4.3790180117036792</v>
      </c>
      <c r="E2292">
        <v>5.4534432046199246</v>
      </c>
      <c r="F2292">
        <v>13.866908851116319</v>
      </c>
      <c r="G2292">
        <v>6.7699195897549993</v>
      </c>
      <c r="H2292">
        <v>13.9</v>
      </c>
      <c r="I2292">
        <v>32.183909019464082</v>
      </c>
      <c r="J2292">
        <v>30.44781977815456</v>
      </c>
      <c r="K2292">
        <v>47.619571949948977</v>
      </c>
      <c r="L2292">
        <v>-1</v>
      </c>
      <c r="M2292" t="s">
        <v>69</v>
      </c>
    </row>
    <row r="2293" spans="1:13" x14ac:dyDescent="0.3">
      <c r="A2293" t="s">
        <v>24</v>
      </c>
      <c r="B2293" t="s">
        <v>61</v>
      </c>
      <c r="C2293">
        <v>124.46323214351141</v>
      </c>
      <c r="D2293">
        <v>6.3996617819218304</v>
      </c>
      <c r="E2293">
        <v>8.1193369587986197</v>
      </c>
      <c r="F2293">
        <v>21.694333544846401</v>
      </c>
      <c r="G2293">
        <v>6.1883004343435122</v>
      </c>
      <c r="H2293">
        <v>20.756300290439921</v>
      </c>
      <c r="I2293">
        <v>31.248509674682381</v>
      </c>
      <c r="J2293">
        <v>30.990874616149561</v>
      </c>
      <c r="K2293">
        <v>48.333475386424197</v>
      </c>
      <c r="L2293">
        <v>-1</v>
      </c>
      <c r="M2293" t="s">
        <v>69</v>
      </c>
    </row>
    <row r="2294" spans="1:13" x14ac:dyDescent="0.3">
      <c r="A2294" t="s">
        <v>19</v>
      </c>
      <c r="B2294" t="s">
        <v>46</v>
      </c>
      <c r="C2294">
        <v>46.78347085146455</v>
      </c>
      <c r="D2294">
        <v>1.9350609603653131</v>
      </c>
      <c r="E2294">
        <v>2.8621248893346372</v>
      </c>
      <c r="F2294">
        <v>2.058499374523048</v>
      </c>
      <c r="G2294">
        <v>6.1776254493279348</v>
      </c>
      <c r="H2294">
        <v>20.461440826770001</v>
      </c>
      <c r="I2294">
        <v>29.421241272306979</v>
      </c>
      <c r="J2294">
        <v>26.091949336330789</v>
      </c>
      <c r="K2294">
        <v>735.60137089048987</v>
      </c>
      <c r="L2294">
        <v>-1</v>
      </c>
      <c r="M2294" t="s">
        <v>69</v>
      </c>
    </row>
    <row r="2295" spans="1:13" x14ac:dyDescent="0.3">
      <c r="A2295" t="s">
        <v>24</v>
      </c>
      <c r="B2295" t="s">
        <v>61</v>
      </c>
      <c r="C2295">
        <v>124.3026353344964</v>
      </c>
      <c r="D2295">
        <v>6.1780706035771207</v>
      </c>
      <c r="E2295">
        <v>8.2229588647763556</v>
      </c>
      <c r="F2295">
        <v>22.07495260669981</v>
      </c>
      <c r="G2295">
        <v>6.1959766701643151</v>
      </c>
      <c r="H2295">
        <v>20.818389290655531</v>
      </c>
      <c r="I2295">
        <v>31.289527861142549</v>
      </c>
      <c r="J2295">
        <v>31.073549433659629</v>
      </c>
      <c r="K2295">
        <v>47.969950394556463</v>
      </c>
      <c r="L2295">
        <v>-1</v>
      </c>
      <c r="M2295" t="s">
        <v>69</v>
      </c>
    </row>
    <row r="2296" spans="1:13" x14ac:dyDescent="0.3">
      <c r="A2296" t="s">
        <v>24</v>
      </c>
      <c r="B2296" t="s">
        <v>58</v>
      </c>
      <c r="C2296">
        <v>30.61860705807003</v>
      </c>
      <c r="D2296">
        <v>1.035538850884101</v>
      </c>
      <c r="E2296">
        <v>2.0704263021492002</v>
      </c>
      <c r="F2296">
        <v>4.5680568024018964</v>
      </c>
      <c r="G2296">
        <v>6.1829720087083873</v>
      </c>
      <c r="H2296">
        <v>21.91105871297481</v>
      </c>
      <c r="I2296">
        <v>30.16035189994361</v>
      </c>
      <c r="J2296">
        <v>25.977953792493519</v>
      </c>
      <c r="K2296">
        <v>759.15680639195705</v>
      </c>
      <c r="L2296">
        <v>-1</v>
      </c>
      <c r="M2296" t="s">
        <v>69</v>
      </c>
    </row>
    <row r="2297" spans="1:13" x14ac:dyDescent="0.3">
      <c r="A2297" t="s">
        <v>24</v>
      </c>
      <c r="B2297" t="s">
        <v>59</v>
      </c>
      <c r="C2297">
        <v>360.29002394537321</v>
      </c>
      <c r="D2297">
        <v>17.296984707471189</v>
      </c>
      <c r="E2297">
        <v>24.111406665983871</v>
      </c>
      <c r="F2297">
        <v>54.232984006359651</v>
      </c>
      <c r="G2297">
        <v>5.1820498594788544</v>
      </c>
      <c r="H2297">
        <v>78.968833513796596</v>
      </c>
      <c r="I2297">
        <v>31.69389853301006</v>
      </c>
      <c r="J2297">
        <v>30.772638881629451</v>
      </c>
      <c r="K2297">
        <v>11</v>
      </c>
      <c r="L2297">
        <v>-1</v>
      </c>
      <c r="M2297" t="s">
        <v>69</v>
      </c>
    </row>
    <row r="2298" spans="1:13" x14ac:dyDescent="0.3">
      <c r="A2298" t="s">
        <v>24</v>
      </c>
      <c r="B2298" t="s">
        <v>58</v>
      </c>
      <c r="C2298">
        <v>31.8705625406492</v>
      </c>
      <c r="D2298">
        <v>1.0346773551832651</v>
      </c>
      <c r="E2298">
        <v>2.0028568862219021</v>
      </c>
      <c r="F2298">
        <v>3.7941677136623468</v>
      </c>
      <c r="G2298">
        <v>5.9861089780663246</v>
      </c>
      <c r="H2298">
        <v>22.04984535583214</v>
      </c>
      <c r="I2298">
        <v>30.184886249714619</v>
      </c>
      <c r="J2298">
        <v>25.960910456217238</v>
      </c>
      <c r="K2298">
        <v>747.82329454855949</v>
      </c>
      <c r="L2298">
        <v>-1</v>
      </c>
      <c r="M2298" t="s">
        <v>69</v>
      </c>
    </row>
    <row r="2299" spans="1:13" x14ac:dyDescent="0.3">
      <c r="A2299" t="s">
        <v>24</v>
      </c>
      <c r="B2299" t="s">
        <v>59</v>
      </c>
      <c r="C2299">
        <v>345.49675627794522</v>
      </c>
      <c r="D2299">
        <v>16.62812857825821</v>
      </c>
      <c r="E2299">
        <v>23.858336212786948</v>
      </c>
      <c r="F2299">
        <v>58.223060923630513</v>
      </c>
      <c r="G2299">
        <v>5.0443532178030122</v>
      </c>
      <c r="H2299">
        <v>74.480645533657878</v>
      </c>
      <c r="I2299">
        <v>30.858533488125101</v>
      </c>
      <c r="J2299">
        <v>31.280850223961341</v>
      </c>
      <c r="K2299">
        <v>11.101158603482419</v>
      </c>
      <c r="L2299">
        <v>-1</v>
      </c>
      <c r="M2299" t="s">
        <v>69</v>
      </c>
    </row>
    <row r="2300" spans="1:13" x14ac:dyDescent="0.3">
      <c r="A2300" t="s">
        <v>19</v>
      </c>
      <c r="B2300" t="s">
        <v>46</v>
      </c>
      <c r="C2300">
        <v>28.110705148257068</v>
      </c>
      <c r="D2300">
        <v>1.0296621616164561</v>
      </c>
      <c r="E2300">
        <v>0.97103726795686018</v>
      </c>
      <c r="F2300">
        <v>3.7422006208968881</v>
      </c>
      <c r="G2300">
        <v>6.0302624846341972</v>
      </c>
      <c r="H2300">
        <v>19.886188650335541</v>
      </c>
      <c r="I2300">
        <v>31.065706472620189</v>
      </c>
      <c r="J2300">
        <v>26.376326311406661</v>
      </c>
      <c r="K2300">
        <v>737.29539300196313</v>
      </c>
      <c r="L2300">
        <v>-1</v>
      </c>
      <c r="M2300" t="s">
        <v>69</v>
      </c>
    </row>
    <row r="2301" spans="1:13" x14ac:dyDescent="0.3">
      <c r="A2301" t="s">
        <v>25</v>
      </c>
      <c r="B2301" t="s">
        <v>62</v>
      </c>
      <c r="C2301">
        <v>91.787219699238875</v>
      </c>
      <c r="D2301">
        <v>4.5358023201203403</v>
      </c>
      <c r="E2301">
        <v>5.1173762599760444</v>
      </c>
      <c r="F2301">
        <v>12.344451519411921</v>
      </c>
      <c r="G2301">
        <v>6.7420970881149724</v>
      </c>
      <c r="H2301">
        <v>13.91424593392499</v>
      </c>
      <c r="I2301">
        <v>32.042568679925843</v>
      </c>
      <c r="J2301">
        <v>30.703442372959959</v>
      </c>
      <c r="K2301">
        <v>47.786114286493557</v>
      </c>
      <c r="L2301">
        <v>-1</v>
      </c>
      <c r="M2301" t="s">
        <v>69</v>
      </c>
    </row>
    <row r="2302" spans="1:13" x14ac:dyDescent="0.3">
      <c r="A2302" t="s">
        <v>24</v>
      </c>
      <c r="B2302" t="s">
        <v>60</v>
      </c>
      <c r="C2302">
        <v>521.77256089102195</v>
      </c>
      <c r="D2302">
        <v>31.80241743757739</v>
      </c>
      <c r="E2302">
        <v>35.653623111286137</v>
      </c>
      <c r="F2302">
        <v>77.190415921141451</v>
      </c>
      <c r="G2302">
        <v>5.3377737894708019</v>
      </c>
      <c r="H2302">
        <v>66.982242956135721</v>
      </c>
      <c r="I2302">
        <v>30.065727454966421</v>
      </c>
      <c r="J2302">
        <v>30.398830337512749</v>
      </c>
      <c r="K2302">
        <v>11.076403037338199</v>
      </c>
      <c r="L2302">
        <v>-1</v>
      </c>
      <c r="M2302" t="s">
        <v>69</v>
      </c>
    </row>
    <row r="2303" spans="1:13" x14ac:dyDescent="0.3">
      <c r="A2303" t="s">
        <v>24</v>
      </c>
      <c r="B2303" t="s">
        <v>61</v>
      </c>
      <c r="C2303">
        <v>182.17501539806781</v>
      </c>
      <c r="D2303">
        <v>9.1313086924076821</v>
      </c>
      <c r="E2303">
        <v>11.76325951882221</v>
      </c>
      <c r="F2303">
        <v>29.197292465412129</v>
      </c>
      <c r="G2303">
        <v>6.1644928783715214</v>
      </c>
      <c r="H2303">
        <v>25.84808053058175</v>
      </c>
      <c r="I2303">
        <v>29.6748300863213</v>
      </c>
      <c r="J2303">
        <v>31.071403913428789</v>
      </c>
      <c r="K2303">
        <v>14.04797575930661</v>
      </c>
      <c r="L2303">
        <v>-1</v>
      </c>
      <c r="M2303" t="s">
        <v>69</v>
      </c>
    </row>
    <row r="2304" spans="1:13" x14ac:dyDescent="0.3">
      <c r="A2304" t="s">
        <v>24</v>
      </c>
      <c r="B2304" t="s">
        <v>61</v>
      </c>
      <c r="C2304">
        <v>123.4093577152678</v>
      </c>
      <c r="D2304">
        <v>6.393341796135152</v>
      </c>
      <c r="E2304">
        <v>7.860882442451234</v>
      </c>
      <c r="F2304">
        <v>21.883895577557009</v>
      </c>
      <c r="G2304">
        <v>6.1424062952644194</v>
      </c>
      <c r="H2304">
        <v>20.49161943848641</v>
      </c>
      <c r="I2304">
        <v>31.30031387517052</v>
      </c>
      <c r="J2304">
        <v>31.063954128242671</v>
      </c>
      <c r="K2304">
        <v>48.007638050805333</v>
      </c>
      <c r="L2304">
        <v>-1</v>
      </c>
      <c r="M2304" t="s">
        <v>69</v>
      </c>
    </row>
    <row r="2305" spans="1:13" x14ac:dyDescent="0.3">
      <c r="A2305" t="s">
        <v>25</v>
      </c>
      <c r="B2305" t="s">
        <v>62</v>
      </c>
      <c r="C2305">
        <v>93.045705712464425</v>
      </c>
      <c r="D2305">
        <v>3.5707186517753171</v>
      </c>
      <c r="E2305">
        <v>6.1769484657062748</v>
      </c>
      <c r="F2305">
        <v>15.77863155083781</v>
      </c>
      <c r="G2305">
        <v>6.7499697908066478</v>
      </c>
      <c r="H2305">
        <v>13.916908681967451</v>
      </c>
      <c r="I2305">
        <v>30.974073970973709</v>
      </c>
      <c r="J2305">
        <v>31.670734753051111</v>
      </c>
      <c r="K2305">
        <v>47.459074588681688</v>
      </c>
      <c r="L2305">
        <v>-1</v>
      </c>
      <c r="M2305" t="s">
        <v>69</v>
      </c>
    </row>
    <row r="2306" spans="1:13" x14ac:dyDescent="0.3">
      <c r="A2306" t="s">
        <v>24</v>
      </c>
      <c r="B2306" t="s">
        <v>61</v>
      </c>
      <c r="C2306">
        <v>683.99921382614752</v>
      </c>
      <c r="D2306">
        <v>31.948206493318938</v>
      </c>
      <c r="E2306">
        <v>50.115868882897963</v>
      </c>
      <c r="F2306">
        <v>90.52453681926707</v>
      </c>
      <c r="G2306">
        <v>5.9889108046679809</v>
      </c>
      <c r="H2306">
        <v>66.112801179336117</v>
      </c>
      <c r="I2306">
        <v>30.513906812066299</v>
      </c>
      <c r="J2306">
        <v>30.642130600770489</v>
      </c>
      <c r="K2306">
        <v>11.03553468469727</v>
      </c>
      <c r="L2306">
        <v>-1</v>
      </c>
      <c r="M2306" t="s">
        <v>69</v>
      </c>
    </row>
    <row r="2307" spans="1:13" x14ac:dyDescent="0.3">
      <c r="A2307" t="s">
        <v>24</v>
      </c>
      <c r="B2307" t="s">
        <v>61</v>
      </c>
      <c r="C2307">
        <v>85.619516240108496</v>
      </c>
      <c r="D2307">
        <v>4.1592576331877069</v>
      </c>
      <c r="E2307">
        <v>5.1072385826600986</v>
      </c>
      <c r="F2307">
        <v>10.840718507515721</v>
      </c>
      <c r="G2307">
        <v>6.1600444817513234</v>
      </c>
      <c r="H2307">
        <v>15.169398243863769</v>
      </c>
      <c r="I2307">
        <v>34.5272027189285</v>
      </c>
      <c r="J2307">
        <v>29.907560100318641</v>
      </c>
      <c r="K2307">
        <v>48.46796534025043</v>
      </c>
      <c r="L2307">
        <v>-1</v>
      </c>
      <c r="M2307" t="s">
        <v>69</v>
      </c>
    </row>
    <row r="2308" spans="1:13" x14ac:dyDescent="0.3">
      <c r="A2308" t="s">
        <v>24</v>
      </c>
      <c r="B2308" t="s">
        <v>59</v>
      </c>
      <c r="C2308">
        <v>357.92188150802588</v>
      </c>
      <c r="D2308">
        <v>18.418425820066311</v>
      </c>
      <c r="E2308">
        <v>22.83393604306497</v>
      </c>
      <c r="F2308">
        <v>51.762546070888391</v>
      </c>
      <c r="G2308">
        <v>5.3423105236430386</v>
      </c>
      <c r="H2308">
        <v>72.322935214209963</v>
      </c>
      <c r="I2308">
        <v>30.33571736536204</v>
      </c>
      <c r="J2308">
        <v>30.87389115093103</v>
      </c>
      <c r="K2308">
        <v>11.04472421913079</v>
      </c>
      <c r="L2308">
        <v>-1</v>
      </c>
      <c r="M2308" t="s">
        <v>69</v>
      </c>
    </row>
    <row r="2309" spans="1:13" x14ac:dyDescent="0.3">
      <c r="A2309" t="s">
        <v>24</v>
      </c>
      <c r="B2309" t="s">
        <v>61</v>
      </c>
      <c r="C2309">
        <v>685.96042053059466</v>
      </c>
      <c r="D2309">
        <v>31.42354872922234</v>
      </c>
      <c r="E2309">
        <v>47.969131075853277</v>
      </c>
      <c r="F2309">
        <v>125.15534009983161</v>
      </c>
      <c r="G2309">
        <v>6.2066262911179093</v>
      </c>
      <c r="H2309">
        <v>71.923597929936776</v>
      </c>
      <c r="I2309">
        <v>30.19060250468641</v>
      </c>
      <c r="J2309">
        <v>30.378599030784311</v>
      </c>
      <c r="K2309">
        <v>11</v>
      </c>
      <c r="L2309">
        <v>-1</v>
      </c>
      <c r="M2309" t="s">
        <v>69</v>
      </c>
    </row>
    <row r="2310" spans="1:13" x14ac:dyDescent="0.3">
      <c r="A2310" t="s">
        <v>19</v>
      </c>
      <c r="B2310" t="s">
        <v>46</v>
      </c>
      <c r="C2310">
        <v>27.354793487262921</v>
      </c>
      <c r="D2310">
        <v>0.98477956547488166</v>
      </c>
      <c r="E2310">
        <v>0.96053124720730843</v>
      </c>
      <c r="F2310">
        <v>4.2229862570647292</v>
      </c>
      <c r="G2310">
        <v>6.0558294438350533</v>
      </c>
      <c r="H2310">
        <v>19.41749051753742</v>
      </c>
      <c r="I2310">
        <v>30.287051148828521</v>
      </c>
      <c r="J2310">
        <v>27.153840863405179</v>
      </c>
      <c r="K2310">
        <v>716.10191766141611</v>
      </c>
      <c r="L2310">
        <v>-1</v>
      </c>
      <c r="M2310" t="s">
        <v>69</v>
      </c>
    </row>
    <row r="2311" spans="1:13" x14ac:dyDescent="0.3">
      <c r="A2311" t="s">
        <v>24</v>
      </c>
      <c r="B2311" t="s">
        <v>61</v>
      </c>
      <c r="C2311">
        <v>124.1614150230395</v>
      </c>
      <c r="D2311">
        <v>5.5376034645039853</v>
      </c>
      <c r="E2311">
        <v>8.2444857065479784</v>
      </c>
      <c r="F2311">
        <v>18.311778939318369</v>
      </c>
      <c r="G2311">
        <v>6.3624955268043877</v>
      </c>
      <c r="H2311">
        <v>19.74308993015654</v>
      </c>
      <c r="I2311">
        <v>29.551401215487161</v>
      </c>
      <c r="J2311">
        <v>30.586687293477478</v>
      </c>
      <c r="K2311">
        <v>49.316630434959279</v>
      </c>
      <c r="L2311">
        <v>-1</v>
      </c>
      <c r="M2311" t="s">
        <v>69</v>
      </c>
    </row>
    <row r="2312" spans="1:13" x14ac:dyDescent="0.3">
      <c r="A2312" t="s">
        <v>24</v>
      </c>
      <c r="B2312" t="s">
        <v>61</v>
      </c>
      <c r="C2312">
        <v>74.211534182302216</v>
      </c>
      <c r="D2312">
        <v>4.3352056386934006</v>
      </c>
      <c r="E2312">
        <v>4.8047338765594807</v>
      </c>
      <c r="F2312">
        <v>12.54387051547622</v>
      </c>
      <c r="G2312">
        <v>6.1451368321173918</v>
      </c>
      <c r="H2312">
        <v>14.98536812310696</v>
      </c>
      <c r="I2312">
        <v>35.341350236116376</v>
      </c>
      <c r="J2312">
        <v>31.670226931892699</v>
      </c>
      <c r="K2312">
        <v>49.807399931244163</v>
      </c>
      <c r="L2312">
        <v>-1</v>
      </c>
      <c r="M2312" t="s">
        <v>69</v>
      </c>
    </row>
    <row r="2313" spans="1:13" x14ac:dyDescent="0.3">
      <c r="A2313" t="s">
        <v>24</v>
      </c>
      <c r="B2313" t="s">
        <v>59</v>
      </c>
      <c r="C2313">
        <v>352.16395808322392</v>
      </c>
      <c r="D2313">
        <v>16.914034785514019</v>
      </c>
      <c r="E2313">
        <v>23.971355994303359</v>
      </c>
      <c r="F2313">
        <v>57.964141137834837</v>
      </c>
      <c r="G2313">
        <v>5.1927019738817766</v>
      </c>
      <c r="H2313">
        <v>76.577180527430073</v>
      </c>
      <c r="I2313">
        <v>30.824871092424839</v>
      </c>
      <c r="J2313">
        <v>31.16430279781731</v>
      </c>
      <c r="K2313">
        <v>11</v>
      </c>
      <c r="L2313">
        <v>-1</v>
      </c>
      <c r="M2313" t="s">
        <v>69</v>
      </c>
    </row>
    <row r="2314" spans="1:13" x14ac:dyDescent="0.3">
      <c r="A2314" t="s">
        <v>24</v>
      </c>
      <c r="B2314" t="s">
        <v>61</v>
      </c>
      <c r="C2314">
        <v>183.90232869253381</v>
      </c>
      <c r="D2314">
        <v>8.6918883468468398</v>
      </c>
      <c r="E2314">
        <v>11.427796098908169</v>
      </c>
      <c r="F2314">
        <v>31.38821939125328</v>
      </c>
      <c r="G2314">
        <v>6.3319851199859576</v>
      </c>
      <c r="H2314">
        <v>26.21601811891437</v>
      </c>
      <c r="I2314">
        <v>29.581584827487099</v>
      </c>
      <c r="J2314">
        <v>31.465496630480171</v>
      </c>
      <c r="K2314">
        <v>14.03664551109796</v>
      </c>
      <c r="L2314">
        <v>-1</v>
      </c>
      <c r="M2314" t="s">
        <v>69</v>
      </c>
    </row>
    <row r="2315" spans="1:13" x14ac:dyDescent="0.3">
      <c r="A2315" t="s">
        <v>25</v>
      </c>
      <c r="B2315" t="s">
        <v>62</v>
      </c>
      <c r="C2315">
        <v>89.037728073839773</v>
      </c>
      <c r="D2315">
        <v>3.4613578094102522</v>
      </c>
      <c r="E2315">
        <v>6.1160261564688989</v>
      </c>
      <c r="F2315">
        <v>13.878296359407321</v>
      </c>
      <c r="G2315">
        <v>6.6704255856198023</v>
      </c>
      <c r="H2315">
        <v>14.38605498562583</v>
      </c>
      <c r="I2315">
        <v>35.844351351640341</v>
      </c>
      <c r="J2315">
        <v>30.408228336012741</v>
      </c>
      <c r="K2315">
        <v>48.162777088681203</v>
      </c>
      <c r="L2315">
        <v>-1</v>
      </c>
      <c r="M2315" t="s">
        <v>69</v>
      </c>
    </row>
    <row r="2316" spans="1:13" x14ac:dyDescent="0.3">
      <c r="A2316" t="s">
        <v>19</v>
      </c>
      <c r="B2316" t="s">
        <v>46</v>
      </c>
      <c r="C2316">
        <v>27.617954588088541</v>
      </c>
      <c r="D2316">
        <v>1.0027540468465439</v>
      </c>
      <c r="E2316">
        <v>0.84869168753496105</v>
      </c>
      <c r="F2316">
        <v>3.6939988243241761</v>
      </c>
      <c r="G2316">
        <v>6.1591543074058954</v>
      </c>
      <c r="H2316">
        <v>19.564343936751829</v>
      </c>
      <c r="I2316">
        <v>30.862727733875321</v>
      </c>
      <c r="J2316">
        <v>25.90639526220361</v>
      </c>
      <c r="K2316">
        <v>711.22066247827433</v>
      </c>
      <c r="L2316">
        <v>-1</v>
      </c>
      <c r="M2316" t="s">
        <v>69</v>
      </c>
    </row>
    <row r="2317" spans="1:13" x14ac:dyDescent="0.3">
      <c r="A2317" t="s">
        <v>24</v>
      </c>
      <c r="B2317" t="s">
        <v>60</v>
      </c>
      <c r="C2317">
        <v>572.55730175802898</v>
      </c>
      <c r="D2317">
        <v>27.862853924121652</v>
      </c>
      <c r="E2317">
        <v>38.296744507228411</v>
      </c>
      <c r="F2317">
        <v>94.455473595971512</v>
      </c>
      <c r="G2317">
        <v>6.1844430059355613</v>
      </c>
      <c r="H2317">
        <v>79.515526285233676</v>
      </c>
      <c r="I2317">
        <v>30.924527413236628</v>
      </c>
      <c r="J2317">
        <v>30.27203505842138</v>
      </c>
      <c r="K2317">
        <v>11</v>
      </c>
      <c r="L2317">
        <v>-1</v>
      </c>
      <c r="M2317" t="s">
        <v>69</v>
      </c>
    </row>
    <row r="2318" spans="1:13" x14ac:dyDescent="0.3">
      <c r="A2318" t="s">
        <v>24</v>
      </c>
      <c r="B2318" t="s">
        <v>61</v>
      </c>
      <c r="C2318">
        <v>83.11969352878711</v>
      </c>
      <c r="D2318">
        <v>3.9750599956072672</v>
      </c>
      <c r="E2318">
        <v>4.5292712221091262</v>
      </c>
      <c r="F2318">
        <v>12.955842911748871</v>
      </c>
      <c r="G2318">
        <v>6.2355601320598062</v>
      </c>
      <c r="H2318">
        <v>15.59363874957789</v>
      </c>
      <c r="I2318">
        <v>33.759714248428978</v>
      </c>
      <c r="J2318">
        <v>31.23270010057972</v>
      </c>
      <c r="K2318">
        <v>48.87504616879346</v>
      </c>
      <c r="L2318">
        <v>-1</v>
      </c>
      <c r="M2318" t="s">
        <v>69</v>
      </c>
    </row>
    <row r="2319" spans="1:13" x14ac:dyDescent="0.3">
      <c r="A2319" t="s">
        <v>24</v>
      </c>
      <c r="B2319" t="s">
        <v>59</v>
      </c>
      <c r="C2319">
        <v>359.73698800341009</v>
      </c>
      <c r="D2319">
        <v>17.370028161625712</v>
      </c>
      <c r="E2319">
        <v>27.67519302928612</v>
      </c>
      <c r="F2319">
        <v>57.435585328145379</v>
      </c>
      <c r="G2319">
        <v>5.2227788031794891</v>
      </c>
      <c r="H2319">
        <v>75.862793505818175</v>
      </c>
      <c r="I2319">
        <v>31.613127188437058</v>
      </c>
      <c r="J2319">
        <v>30.031682530536091</v>
      </c>
      <c r="K2319">
        <v>11</v>
      </c>
      <c r="L2319">
        <v>-1</v>
      </c>
      <c r="M2319" t="s">
        <v>69</v>
      </c>
    </row>
    <row r="2320" spans="1:13" x14ac:dyDescent="0.3">
      <c r="A2320" t="s">
        <v>25</v>
      </c>
      <c r="B2320" t="s">
        <v>62</v>
      </c>
      <c r="C2320">
        <v>91.4969345615132</v>
      </c>
      <c r="D2320">
        <v>4.0260979358314737</v>
      </c>
      <c r="E2320">
        <v>6.1618168149899413</v>
      </c>
      <c r="F2320">
        <v>12.956995119193</v>
      </c>
      <c r="G2320">
        <v>6.8883853344243997</v>
      </c>
      <c r="H2320">
        <v>14.30672436260685</v>
      </c>
      <c r="I2320">
        <v>33.627441180029287</v>
      </c>
      <c r="J2320">
        <v>30.677476701957129</v>
      </c>
      <c r="K2320">
        <v>47.610966769502276</v>
      </c>
      <c r="L2320">
        <v>-1</v>
      </c>
      <c r="M2320" t="s">
        <v>69</v>
      </c>
    </row>
    <row r="2321" spans="1:13" x14ac:dyDescent="0.3">
      <c r="A2321" t="s">
        <v>24</v>
      </c>
      <c r="B2321" t="s">
        <v>61</v>
      </c>
      <c r="C2321">
        <v>338.71824602889387</v>
      </c>
      <c r="D2321">
        <v>15.95895764812691</v>
      </c>
      <c r="E2321">
        <v>22.972921911513531</v>
      </c>
      <c r="F2321">
        <v>53.969961930827772</v>
      </c>
      <c r="G2321">
        <v>4.302853647115886</v>
      </c>
      <c r="H2321">
        <v>56.924805134033193</v>
      </c>
      <c r="I2321">
        <v>29.64427569257705</v>
      </c>
      <c r="J2321">
        <v>31.009280249431271</v>
      </c>
      <c r="K2321">
        <v>13.997933608732181</v>
      </c>
      <c r="L2321">
        <v>-1</v>
      </c>
      <c r="M2321" t="s">
        <v>69</v>
      </c>
    </row>
    <row r="2322" spans="1:13" x14ac:dyDescent="0.3">
      <c r="A2322" t="s">
        <v>24</v>
      </c>
      <c r="B2322" t="s">
        <v>58</v>
      </c>
      <c r="C2322">
        <v>29.64496797363633</v>
      </c>
      <c r="D2322">
        <v>0.99560008727248617</v>
      </c>
      <c r="E2322">
        <v>1.455458078379005</v>
      </c>
      <c r="F2322">
        <v>4.1942024089150216</v>
      </c>
      <c r="G2322">
        <v>6.0364791071653334</v>
      </c>
      <c r="H2322">
        <v>20.53138851676124</v>
      </c>
      <c r="I2322">
        <v>30.572945052483028</v>
      </c>
      <c r="J2322">
        <v>25.994822778582829</v>
      </c>
      <c r="K2322">
        <v>745.86726819213925</v>
      </c>
      <c r="L2322">
        <v>-1</v>
      </c>
      <c r="M2322" t="s">
        <v>69</v>
      </c>
    </row>
    <row r="2323" spans="1:13" x14ac:dyDescent="0.3">
      <c r="A2323" t="s">
        <v>24</v>
      </c>
      <c r="B2323" t="s">
        <v>61</v>
      </c>
      <c r="C2323">
        <v>306.31781999352353</v>
      </c>
      <c r="D2323">
        <v>15.79835489152615</v>
      </c>
      <c r="E2323">
        <v>24.47565287355787</v>
      </c>
      <c r="F2323">
        <v>47.418598611597837</v>
      </c>
      <c r="G2323">
        <v>5.188193300844417</v>
      </c>
      <c r="H2323">
        <v>82.225391078496443</v>
      </c>
      <c r="I2323">
        <v>30.68407832490578</v>
      </c>
      <c r="J2323">
        <v>30.300229718467101</v>
      </c>
      <c r="K2323">
        <v>11</v>
      </c>
      <c r="L2323">
        <v>-1</v>
      </c>
      <c r="M2323" t="s">
        <v>69</v>
      </c>
    </row>
    <row r="2324" spans="1:13" x14ac:dyDescent="0.3">
      <c r="A2324" t="s">
        <v>24</v>
      </c>
      <c r="B2324" t="s">
        <v>60</v>
      </c>
      <c r="C2324">
        <v>572.33132928528357</v>
      </c>
      <c r="D2324">
        <v>28.05774949863363</v>
      </c>
      <c r="E2324">
        <v>40.735524721181022</v>
      </c>
      <c r="F2324">
        <v>92.946265761544936</v>
      </c>
      <c r="G2324">
        <v>6.2109732189051119</v>
      </c>
      <c r="H2324">
        <v>81.657859562743369</v>
      </c>
      <c r="I2324">
        <v>30.94540706082854</v>
      </c>
      <c r="J2324">
        <v>31.182318501068409</v>
      </c>
      <c r="K2324">
        <v>11.063933086007181</v>
      </c>
      <c r="L2324">
        <v>-1</v>
      </c>
      <c r="M2324" t="s">
        <v>69</v>
      </c>
    </row>
    <row r="2325" spans="1:13" x14ac:dyDescent="0.3">
      <c r="A2325" t="s">
        <v>24</v>
      </c>
      <c r="B2325" t="s">
        <v>61</v>
      </c>
      <c r="C2325">
        <v>126.6374491629734</v>
      </c>
      <c r="D2325">
        <v>6.5243008858257721</v>
      </c>
      <c r="E2325">
        <v>8.5445859624695846</v>
      </c>
      <c r="F2325">
        <v>18.418146259461491</v>
      </c>
      <c r="G2325">
        <v>6.4753973113351968</v>
      </c>
      <c r="H2325">
        <v>20.459978918050059</v>
      </c>
      <c r="I2325">
        <v>30.284329584162979</v>
      </c>
      <c r="J2325">
        <v>30.830974832850121</v>
      </c>
      <c r="K2325">
        <v>48.69593317639351</v>
      </c>
      <c r="L2325">
        <v>-1</v>
      </c>
      <c r="M2325" t="s">
        <v>69</v>
      </c>
    </row>
    <row r="2326" spans="1:13" x14ac:dyDescent="0.3">
      <c r="A2326" t="s">
        <v>24</v>
      </c>
      <c r="B2326" t="s">
        <v>59</v>
      </c>
      <c r="C2326">
        <v>356.17042088572691</v>
      </c>
      <c r="D2326">
        <v>17.80432131425205</v>
      </c>
      <c r="E2326">
        <v>26.709060091578881</v>
      </c>
      <c r="F2326">
        <v>55.802955922275082</v>
      </c>
      <c r="G2326">
        <v>5.2455008205822171</v>
      </c>
      <c r="H2326">
        <v>77.053919344283344</v>
      </c>
      <c r="I2326">
        <v>31.718074109726</v>
      </c>
      <c r="J2326">
        <v>30.456388191169498</v>
      </c>
      <c r="K2326">
        <v>11</v>
      </c>
      <c r="L2326">
        <v>-1</v>
      </c>
      <c r="M2326" t="s">
        <v>69</v>
      </c>
    </row>
    <row r="2327" spans="1:13" x14ac:dyDescent="0.3">
      <c r="A2327" t="s">
        <v>25</v>
      </c>
      <c r="B2327" t="s">
        <v>62</v>
      </c>
      <c r="C2327">
        <v>91.093417373380049</v>
      </c>
      <c r="D2327">
        <v>4.0606555095409389</v>
      </c>
      <c r="E2327">
        <v>6.3400813404430014</v>
      </c>
      <c r="F2327">
        <v>11.90763479833454</v>
      </c>
      <c r="G2327">
        <v>6.8753098012287062</v>
      </c>
      <c r="H2327">
        <v>13.901887670940759</v>
      </c>
      <c r="I2327">
        <v>33.144926980806318</v>
      </c>
      <c r="J2327">
        <v>30.348806751592129</v>
      </c>
      <c r="K2327">
        <v>47.203225054759059</v>
      </c>
      <c r="L2327">
        <v>-1</v>
      </c>
      <c r="M2327" t="s">
        <v>69</v>
      </c>
    </row>
    <row r="2328" spans="1:13" x14ac:dyDescent="0.3">
      <c r="A2328" t="s">
        <v>25</v>
      </c>
      <c r="B2328" t="s">
        <v>62</v>
      </c>
      <c r="C2328">
        <v>89.464401668836302</v>
      </c>
      <c r="D2328">
        <v>3.4064435122328001</v>
      </c>
      <c r="E2328">
        <v>6.0415542794989836</v>
      </c>
      <c r="F2328">
        <v>13.920973153706701</v>
      </c>
      <c r="G2328">
        <v>6.6528613544950881</v>
      </c>
      <c r="H2328">
        <v>14.39609831894025</v>
      </c>
      <c r="I2328">
        <v>35.91825669990785</v>
      </c>
      <c r="J2328">
        <v>30.316376541882889</v>
      </c>
      <c r="K2328">
        <v>48.081600315741753</v>
      </c>
      <c r="L2328">
        <v>-1</v>
      </c>
      <c r="M2328" t="s">
        <v>69</v>
      </c>
    </row>
    <row r="2329" spans="1:13" x14ac:dyDescent="0.3">
      <c r="A2329" t="s">
        <v>24</v>
      </c>
      <c r="B2329" t="s">
        <v>61</v>
      </c>
      <c r="C2329">
        <v>325.25745980534862</v>
      </c>
      <c r="D2329">
        <v>17.931130811785842</v>
      </c>
      <c r="E2329">
        <v>23.757985663770508</v>
      </c>
      <c r="F2329">
        <v>51.790277861024393</v>
      </c>
      <c r="G2329">
        <v>4.566340364136714</v>
      </c>
      <c r="H2329">
        <v>53.031402610135672</v>
      </c>
      <c r="I2329">
        <v>29.743030302444531</v>
      </c>
      <c r="J2329">
        <v>31.10613514410149</v>
      </c>
      <c r="K2329">
        <v>13.9823255582121</v>
      </c>
      <c r="L2329">
        <v>-1</v>
      </c>
      <c r="M2329" t="s">
        <v>69</v>
      </c>
    </row>
    <row r="2330" spans="1:13" x14ac:dyDescent="0.3">
      <c r="A2330" t="s">
        <v>24</v>
      </c>
      <c r="B2330" t="s">
        <v>61</v>
      </c>
      <c r="C2330">
        <v>341.80291525240767</v>
      </c>
      <c r="D2330">
        <v>17.50319570526359</v>
      </c>
      <c r="E2330">
        <v>25.275755384689081</v>
      </c>
      <c r="F2330">
        <v>55.791628655092417</v>
      </c>
      <c r="G2330">
        <v>4.6391884869669777</v>
      </c>
      <c r="H2330">
        <v>52.223484219211741</v>
      </c>
      <c r="I2330">
        <v>30.57935580946798</v>
      </c>
      <c r="J2330">
        <v>30.730939927280751</v>
      </c>
      <c r="K2330">
        <v>13.934678441652981</v>
      </c>
      <c r="L2330">
        <v>-1</v>
      </c>
      <c r="M2330" t="s">
        <v>69</v>
      </c>
    </row>
    <row r="2331" spans="1:13" x14ac:dyDescent="0.3">
      <c r="A2331" t="s">
        <v>24</v>
      </c>
      <c r="B2331" t="s">
        <v>61</v>
      </c>
      <c r="C2331">
        <v>695.292159802274</v>
      </c>
      <c r="D2331">
        <v>40.7028736189353</v>
      </c>
      <c r="E2331">
        <v>50.911250114862263</v>
      </c>
      <c r="F2331">
        <v>120.0939405133512</v>
      </c>
      <c r="G2331">
        <v>5.9685609398465802</v>
      </c>
      <c r="H2331">
        <v>70.584283855872485</v>
      </c>
      <c r="I2331">
        <v>29.71930593543809</v>
      </c>
      <c r="J2331">
        <v>31.33347254940697</v>
      </c>
      <c r="K2331">
        <v>11.09911752250423</v>
      </c>
      <c r="L2331">
        <v>-1</v>
      </c>
      <c r="M2331" t="s">
        <v>69</v>
      </c>
    </row>
    <row r="2332" spans="1:13" x14ac:dyDescent="0.3">
      <c r="A2332" t="s">
        <v>25</v>
      </c>
      <c r="B2332" t="s">
        <v>62</v>
      </c>
      <c r="C2332">
        <v>91.864967224322669</v>
      </c>
      <c r="D2332">
        <v>3.8975190205890118</v>
      </c>
      <c r="E2332">
        <v>5.7023653816253699</v>
      </c>
      <c r="F2332">
        <v>11.87109726439115</v>
      </c>
      <c r="G2332">
        <v>6.7691941432257332</v>
      </c>
      <c r="H2332">
        <v>14.431797773897429</v>
      </c>
      <c r="I2332">
        <v>31.678042872840479</v>
      </c>
      <c r="J2332">
        <v>29.435648070978861</v>
      </c>
      <c r="K2332">
        <v>47.215951955978433</v>
      </c>
      <c r="L2332">
        <v>-1</v>
      </c>
      <c r="M2332" t="s">
        <v>69</v>
      </c>
    </row>
    <row r="2333" spans="1:13" x14ac:dyDescent="0.3">
      <c r="A2333" t="s">
        <v>24</v>
      </c>
      <c r="B2333" t="s">
        <v>61</v>
      </c>
      <c r="C2333">
        <v>137.634015412953</v>
      </c>
      <c r="D2333">
        <v>6.8412061884045654</v>
      </c>
      <c r="E2333">
        <v>9.81871318917233</v>
      </c>
      <c r="F2333">
        <v>25.362860397480539</v>
      </c>
      <c r="G2333">
        <v>6.3995313211712386</v>
      </c>
      <c r="H2333">
        <v>23.065728144521501</v>
      </c>
      <c r="I2333">
        <v>30.04698592487058</v>
      </c>
      <c r="J2333">
        <v>30.527703035460149</v>
      </c>
      <c r="K2333">
        <v>37.531969565679219</v>
      </c>
      <c r="L2333">
        <v>-1</v>
      </c>
      <c r="M2333" t="s">
        <v>69</v>
      </c>
    </row>
    <row r="2334" spans="1:13" x14ac:dyDescent="0.3">
      <c r="A2334" t="s">
        <v>19</v>
      </c>
      <c r="B2334" t="s">
        <v>46</v>
      </c>
      <c r="C2334">
        <v>27.803043323429929</v>
      </c>
      <c r="D2334">
        <v>1.008261744051997</v>
      </c>
      <c r="E2334">
        <v>0.98268356101418153</v>
      </c>
      <c r="F2334">
        <v>3.3236328784342599</v>
      </c>
      <c r="G2334">
        <v>6.0073764885909968</v>
      </c>
      <c r="H2334">
        <v>20.47050866753872</v>
      </c>
      <c r="I2334">
        <v>31.550029460807071</v>
      </c>
      <c r="J2334">
        <v>26.357533190022981</v>
      </c>
      <c r="K2334">
        <v>741.02536813961683</v>
      </c>
      <c r="L2334">
        <v>-1</v>
      </c>
      <c r="M2334" t="s">
        <v>69</v>
      </c>
    </row>
    <row r="2335" spans="1:13" x14ac:dyDescent="0.3">
      <c r="A2335" t="s">
        <v>24</v>
      </c>
      <c r="B2335" t="s">
        <v>61</v>
      </c>
      <c r="C2335">
        <v>83.741377907893678</v>
      </c>
      <c r="D2335">
        <v>4.1979788864948162</v>
      </c>
      <c r="E2335">
        <v>5.4777031525429969</v>
      </c>
      <c r="F2335">
        <v>13.683253303906749</v>
      </c>
      <c r="G2335">
        <v>6.1709723319647001</v>
      </c>
      <c r="H2335">
        <v>14.3359636524109</v>
      </c>
      <c r="I2335">
        <v>33.589484119719003</v>
      </c>
      <c r="J2335">
        <v>29.076303914807749</v>
      </c>
      <c r="K2335">
        <v>48.018420746245063</v>
      </c>
      <c r="L2335">
        <v>-1</v>
      </c>
      <c r="M2335" t="s">
        <v>69</v>
      </c>
    </row>
    <row r="2336" spans="1:13" x14ac:dyDescent="0.3">
      <c r="A2336" t="s">
        <v>24</v>
      </c>
      <c r="B2336" t="s">
        <v>60</v>
      </c>
      <c r="C2336">
        <v>581.46318053980167</v>
      </c>
      <c r="D2336">
        <v>29.099362355186081</v>
      </c>
      <c r="E2336">
        <v>40.038416529164152</v>
      </c>
      <c r="F2336">
        <v>92.765688716528132</v>
      </c>
      <c r="G2336">
        <v>6.1904959473623267</v>
      </c>
      <c r="H2336">
        <v>80.044919102521177</v>
      </c>
      <c r="I2336">
        <v>31.095887223484429</v>
      </c>
      <c r="J2336">
        <v>30.971193870662979</v>
      </c>
      <c r="K2336">
        <v>11</v>
      </c>
      <c r="L2336">
        <v>-1</v>
      </c>
      <c r="M2336" t="s">
        <v>69</v>
      </c>
    </row>
    <row r="2337" spans="1:13" x14ac:dyDescent="0.3">
      <c r="A2337" t="s">
        <v>24</v>
      </c>
      <c r="B2337" t="s">
        <v>60</v>
      </c>
      <c r="C2337">
        <v>573.23894410733214</v>
      </c>
      <c r="D2337">
        <v>31.200490790822009</v>
      </c>
      <c r="E2337">
        <v>42.855759911737643</v>
      </c>
      <c r="F2337">
        <v>92.985291275107926</v>
      </c>
      <c r="G2337">
        <v>6.2567898901274699</v>
      </c>
      <c r="H2337">
        <v>79.230847545192304</v>
      </c>
      <c r="I2337">
        <v>31.55793937195385</v>
      </c>
      <c r="J2337">
        <v>30.832470126837009</v>
      </c>
      <c r="K2337">
        <v>11.07350486670407</v>
      </c>
      <c r="L2337">
        <v>-1</v>
      </c>
      <c r="M2337" t="s">
        <v>69</v>
      </c>
    </row>
    <row r="2338" spans="1:13" x14ac:dyDescent="0.3">
      <c r="A2338" t="s">
        <v>25</v>
      </c>
      <c r="B2338" t="s">
        <v>62</v>
      </c>
      <c r="C2338">
        <v>96.147968326048073</v>
      </c>
      <c r="D2338">
        <v>3.8379071502419668</v>
      </c>
      <c r="E2338">
        <v>6.2892130669113602</v>
      </c>
      <c r="F2338">
        <v>14.48422686129944</v>
      </c>
      <c r="G2338">
        <v>6.9557909504305506</v>
      </c>
      <c r="H2338">
        <v>14.628839211760051</v>
      </c>
      <c r="I2338">
        <v>33.314908778163407</v>
      </c>
      <c r="J2338">
        <v>30.671758382613419</v>
      </c>
      <c r="K2338">
        <v>48.157965576329389</v>
      </c>
      <c r="L2338">
        <v>-1</v>
      </c>
      <c r="M2338" t="s">
        <v>69</v>
      </c>
    </row>
    <row r="2339" spans="1:13" x14ac:dyDescent="0.3">
      <c r="A2339" t="s">
        <v>24</v>
      </c>
      <c r="B2339" t="s">
        <v>61</v>
      </c>
      <c r="C2339">
        <v>129.837360858967</v>
      </c>
      <c r="D2339">
        <v>5.1847051553958492</v>
      </c>
      <c r="E2339">
        <v>9.3631445022634665</v>
      </c>
      <c r="F2339">
        <v>21.315574088301471</v>
      </c>
      <c r="G2339">
        <v>6.2541724305617539</v>
      </c>
      <c r="H2339">
        <v>21.122363096999202</v>
      </c>
      <c r="I2339">
        <v>29.35789705029098</v>
      </c>
      <c r="J2339">
        <v>30.859465885296071</v>
      </c>
      <c r="K2339">
        <v>48.436854414729169</v>
      </c>
      <c r="L2339">
        <v>-1</v>
      </c>
      <c r="M2339" t="s">
        <v>69</v>
      </c>
    </row>
    <row r="2340" spans="1:13" x14ac:dyDescent="0.3">
      <c r="A2340" t="s">
        <v>24</v>
      </c>
      <c r="B2340" t="s">
        <v>59</v>
      </c>
      <c r="C2340">
        <v>361.62517571744888</v>
      </c>
      <c r="D2340">
        <v>18.333084481794248</v>
      </c>
      <c r="E2340">
        <v>22.31101748853845</v>
      </c>
      <c r="F2340">
        <v>49.666687881669262</v>
      </c>
      <c r="G2340">
        <v>5.3411267408477192</v>
      </c>
      <c r="H2340">
        <v>73.924927789530059</v>
      </c>
      <c r="I2340">
        <v>30.435016692771331</v>
      </c>
      <c r="J2340">
        <v>30.83743895669862</v>
      </c>
      <c r="K2340">
        <v>11</v>
      </c>
      <c r="L2340">
        <v>-1</v>
      </c>
      <c r="M2340" t="s">
        <v>69</v>
      </c>
    </row>
    <row r="2341" spans="1:13" x14ac:dyDescent="0.3">
      <c r="A2341" t="s">
        <v>19</v>
      </c>
      <c r="B2341" t="s">
        <v>47</v>
      </c>
      <c r="C2341">
        <v>31.175592893227591</v>
      </c>
      <c r="D2341">
        <v>1.1013721670890571</v>
      </c>
      <c r="E2341">
        <v>1.780558597705572</v>
      </c>
      <c r="F2341">
        <v>3.6247228427294811</v>
      </c>
      <c r="G2341">
        <v>5.9806048058122272</v>
      </c>
      <c r="H2341">
        <v>21.64131244652501</v>
      </c>
      <c r="I2341">
        <v>29.993942163598351</v>
      </c>
      <c r="J2341">
        <v>26.095475944516139</v>
      </c>
      <c r="K2341">
        <v>738.50288041541592</v>
      </c>
      <c r="L2341">
        <v>-1</v>
      </c>
      <c r="M2341" t="s">
        <v>69</v>
      </c>
    </row>
    <row r="2342" spans="1:13" x14ac:dyDescent="0.3">
      <c r="A2342" t="s">
        <v>24</v>
      </c>
      <c r="B2342" t="s">
        <v>59</v>
      </c>
      <c r="C2342">
        <v>362.59932144210222</v>
      </c>
      <c r="D2342">
        <v>17.014665848093269</v>
      </c>
      <c r="E2342">
        <v>24.007002090399709</v>
      </c>
      <c r="F2342">
        <v>54.610807316283001</v>
      </c>
      <c r="G2342">
        <v>5.1600243965299359</v>
      </c>
      <c r="H2342">
        <v>78.844439664351057</v>
      </c>
      <c r="I2342">
        <v>31.645022513294741</v>
      </c>
      <c r="J2342">
        <v>30.656238949889222</v>
      </c>
      <c r="K2342">
        <v>11</v>
      </c>
      <c r="L2342">
        <v>-1</v>
      </c>
      <c r="M2342" t="s">
        <v>69</v>
      </c>
    </row>
    <row r="2343" spans="1:13" x14ac:dyDescent="0.3">
      <c r="A2343" t="s">
        <v>24</v>
      </c>
      <c r="B2343" t="s">
        <v>61</v>
      </c>
      <c r="C2343">
        <v>334.59902211232992</v>
      </c>
      <c r="D2343">
        <v>15.51222816839311</v>
      </c>
      <c r="E2343">
        <v>24.17473541693618</v>
      </c>
      <c r="F2343">
        <v>56.48052649765603</v>
      </c>
      <c r="G2343">
        <v>4.355930533449544</v>
      </c>
      <c r="H2343">
        <v>57.947819150758818</v>
      </c>
      <c r="I2343">
        <v>30.25201089893417</v>
      </c>
      <c r="J2343">
        <v>30.159109052251779</v>
      </c>
      <c r="K2343">
        <v>13.94103140589732</v>
      </c>
      <c r="L2343">
        <v>-1</v>
      </c>
      <c r="M2343" t="s">
        <v>69</v>
      </c>
    </row>
    <row r="2344" spans="1:13" x14ac:dyDescent="0.3">
      <c r="A2344" t="s">
        <v>24</v>
      </c>
      <c r="B2344" t="s">
        <v>60</v>
      </c>
      <c r="C2344">
        <v>506.67588925560477</v>
      </c>
      <c r="D2344">
        <v>25.111613224096299</v>
      </c>
      <c r="E2344">
        <v>39.1954293087595</v>
      </c>
      <c r="F2344">
        <v>83.900828120646423</v>
      </c>
      <c r="G2344">
        <v>5.4490231492376466</v>
      </c>
      <c r="H2344">
        <v>66.19432729953057</v>
      </c>
      <c r="I2344">
        <v>31.973019392935871</v>
      </c>
      <c r="J2344">
        <v>29.166092723391198</v>
      </c>
      <c r="K2344">
        <v>11.04796280802816</v>
      </c>
      <c r="L2344">
        <v>-1</v>
      </c>
      <c r="M2344" t="s">
        <v>69</v>
      </c>
    </row>
    <row r="2345" spans="1:13" x14ac:dyDescent="0.3">
      <c r="A2345" t="s">
        <v>24</v>
      </c>
      <c r="B2345" t="s">
        <v>60</v>
      </c>
      <c r="C2345">
        <v>572.97821381181927</v>
      </c>
      <c r="D2345">
        <v>31.037155581515439</v>
      </c>
      <c r="E2345">
        <v>42.638727669820327</v>
      </c>
      <c r="F2345">
        <v>93.102993897435113</v>
      </c>
      <c r="G2345">
        <v>6.2345194739574508</v>
      </c>
      <c r="H2345">
        <v>79.178580517253806</v>
      </c>
      <c r="I2345">
        <v>31.507140171496872</v>
      </c>
      <c r="J2345">
        <v>30.719708346070771</v>
      </c>
      <c r="K2345">
        <v>11.08561146121929</v>
      </c>
      <c r="L2345">
        <v>-1</v>
      </c>
      <c r="M2345" t="s">
        <v>69</v>
      </c>
    </row>
    <row r="2346" spans="1:13" x14ac:dyDescent="0.3">
      <c r="A2346" t="s">
        <v>24</v>
      </c>
      <c r="B2346" t="s">
        <v>61</v>
      </c>
      <c r="C2346">
        <v>174.19252323898269</v>
      </c>
      <c r="D2346">
        <v>8.3332016574898535</v>
      </c>
      <c r="E2346">
        <v>11.96003241157551</v>
      </c>
      <c r="F2346">
        <v>29.929543514651819</v>
      </c>
      <c r="G2346">
        <v>6.3254304186261932</v>
      </c>
      <c r="H2346">
        <v>26.804645505798259</v>
      </c>
      <c r="I2346">
        <v>29.773625986790059</v>
      </c>
      <c r="J2346">
        <v>31.704867718864481</v>
      </c>
      <c r="K2346">
        <v>14.045427750886571</v>
      </c>
      <c r="L2346">
        <v>-1</v>
      </c>
      <c r="M2346" t="s">
        <v>69</v>
      </c>
    </row>
    <row r="2347" spans="1:13" x14ac:dyDescent="0.3">
      <c r="A2347" t="s">
        <v>24</v>
      </c>
      <c r="B2347" t="s">
        <v>61</v>
      </c>
      <c r="C2347">
        <v>333.49939856650241</v>
      </c>
      <c r="D2347">
        <v>16.64063438017693</v>
      </c>
      <c r="E2347">
        <v>23.74365408699288</v>
      </c>
      <c r="F2347">
        <v>65.493350603570462</v>
      </c>
      <c r="G2347">
        <v>4.3846367818494087</v>
      </c>
      <c r="H2347">
        <v>57.651249987157371</v>
      </c>
      <c r="I2347">
        <v>29.584413592218439</v>
      </c>
      <c r="J2347">
        <v>31.145619600054189</v>
      </c>
      <c r="K2347">
        <v>13.76783195399616</v>
      </c>
      <c r="L2347">
        <v>-1</v>
      </c>
      <c r="M2347" t="s">
        <v>69</v>
      </c>
    </row>
    <row r="2348" spans="1:13" x14ac:dyDescent="0.3">
      <c r="A2348" t="s">
        <v>24</v>
      </c>
      <c r="B2348" t="s">
        <v>60</v>
      </c>
      <c r="C2348">
        <v>500.33699992965012</v>
      </c>
      <c r="D2348">
        <v>24.922063124858969</v>
      </c>
      <c r="E2348">
        <v>36.436348562728142</v>
      </c>
      <c r="F2348">
        <v>80.715597933077106</v>
      </c>
      <c r="G2348">
        <v>5.4417010419160681</v>
      </c>
      <c r="H2348">
        <v>65.910645451115414</v>
      </c>
      <c r="I2348">
        <v>31.42904842755086</v>
      </c>
      <c r="J2348">
        <v>29.910119772953799</v>
      </c>
      <c r="K2348">
        <v>11.03292961903094</v>
      </c>
      <c r="L2348">
        <v>-1</v>
      </c>
      <c r="M2348" t="s">
        <v>69</v>
      </c>
    </row>
    <row r="2349" spans="1:13" x14ac:dyDescent="0.3">
      <c r="A2349" t="s">
        <v>24</v>
      </c>
      <c r="B2349" t="s">
        <v>60</v>
      </c>
      <c r="C2349">
        <v>498.52728597585701</v>
      </c>
      <c r="D2349">
        <v>22.019205866512589</v>
      </c>
      <c r="E2349">
        <v>35.913282378077398</v>
      </c>
      <c r="F2349">
        <v>94.343980389144662</v>
      </c>
      <c r="G2349">
        <v>5.4268628832055299</v>
      </c>
      <c r="H2349">
        <v>65.941201759831671</v>
      </c>
      <c r="I2349">
        <v>30.55981523326415</v>
      </c>
      <c r="J2349">
        <v>32.816464427861163</v>
      </c>
      <c r="K2349">
        <v>11.02011167402247</v>
      </c>
      <c r="L2349">
        <v>-1</v>
      </c>
      <c r="M2349" t="s">
        <v>69</v>
      </c>
    </row>
    <row r="2350" spans="1:13" x14ac:dyDescent="0.3">
      <c r="A2350" t="s">
        <v>24</v>
      </c>
      <c r="B2350" t="s">
        <v>59</v>
      </c>
      <c r="C2350">
        <v>350.57999792054488</v>
      </c>
      <c r="D2350">
        <v>17.06310514203442</v>
      </c>
      <c r="E2350">
        <v>24.503611309833559</v>
      </c>
      <c r="F2350">
        <v>57.079825902804217</v>
      </c>
      <c r="G2350">
        <v>5.1121987492670362</v>
      </c>
      <c r="H2350">
        <v>76.678105047561161</v>
      </c>
      <c r="I2350">
        <v>31.153601746223519</v>
      </c>
      <c r="J2350">
        <v>31.25240169122096</v>
      </c>
      <c r="K2350">
        <v>11.075998201891711</v>
      </c>
      <c r="L2350">
        <v>-1</v>
      </c>
      <c r="M2350" t="s">
        <v>69</v>
      </c>
    </row>
    <row r="2351" spans="1:13" x14ac:dyDescent="0.3">
      <c r="A2351" t="s">
        <v>24</v>
      </c>
      <c r="B2351" t="s">
        <v>59</v>
      </c>
      <c r="C2351">
        <v>357.15927843700138</v>
      </c>
      <c r="D2351">
        <v>21.21224077225666</v>
      </c>
      <c r="E2351">
        <v>21.855112966380581</v>
      </c>
      <c r="F2351">
        <v>57.929523534699882</v>
      </c>
      <c r="G2351">
        <v>5.26010822462107</v>
      </c>
      <c r="H2351">
        <v>74.59057653579363</v>
      </c>
      <c r="I2351">
        <v>29.561088277150809</v>
      </c>
      <c r="J2351">
        <v>31.76372828018069</v>
      </c>
      <c r="K2351">
        <v>11</v>
      </c>
      <c r="L2351">
        <v>-1</v>
      </c>
      <c r="M2351" t="s">
        <v>69</v>
      </c>
    </row>
    <row r="2352" spans="1:13" x14ac:dyDescent="0.3">
      <c r="A2352" t="s">
        <v>24</v>
      </c>
      <c r="B2352" t="s">
        <v>59</v>
      </c>
      <c r="C2352">
        <v>349.4519063206854</v>
      </c>
      <c r="D2352">
        <v>16.92831292979281</v>
      </c>
      <c r="E2352">
        <v>24.036759083803702</v>
      </c>
      <c r="F2352">
        <v>55.875168339667361</v>
      </c>
      <c r="G2352">
        <v>5.2019807039629304</v>
      </c>
      <c r="H2352">
        <v>75.34636956581366</v>
      </c>
      <c r="I2352">
        <v>30.506862409767781</v>
      </c>
      <c r="J2352">
        <v>30.984095331716109</v>
      </c>
      <c r="K2352">
        <v>11.032637751816541</v>
      </c>
      <c r="L2352">
        <v>-1</v>
      </c>
      <c r="M2352" t="s">
        <v>69</v>
      </c>
    </row>
    <row r="2353" spans="1:13" x14ac:dyDescent="0.3">
      <c r="A2353" t="s">
        <v>24</v>
      </c>
      <c r="B2353" t="s">
        <v>61</v>
      </c>
      <c r="C2353">
        <v>706.59301470247362</v>
      </c>
      <c r="D2353">
        <v>34.401334567767833</v>
      </c>
      <c r="E2353">
        <v>45.315267972093203</v>
      </c>
      <c r="F2353">
        <v>115.8333378617051</v>
      </c>
      <c r="G2353">
        <v>6.055236859998371</v>
      </c>
      <c r="H2353">
        <v>73.608110191771544</v>
      </c>
      <c r="I2353">
        <v>30.746793703629251</v>
      </c>
      <c r="J2353">
        <v>30.21021183760725</v>
      </c>
      <c r="K2353">
        <v>11.061086486347451</v>
      </c>
      <c r="L2353">
        <v>-1</v>
      </c>
      <c r="M2353" t="s">
        <v>69</v>
      </c>
    </row>
    <row r="2354" spans="1:13" x14ac:dyDescent="0.3">
      <c r="A2354" t="s">
        <v>24</v>
      </c>
      <c r="B2354" t="s">
        <v>61</v>
      </c>
      <c r="C2354">
        <v>119.548125901859</v>
      </c>
      <c r="D2354">
        <v>5.9239773302903052</v>
      </c>
      <c r="E2354">
        <v>8.9571743280837808</v>
      </c>
      <c r="F2354">
        <v>22.90656843283649</v>
      </c>
      <c r="G2354">
        <v>6.3454554914567511</v>
      </c>
      <c r="H2354">
        <v>21.67013780082646</v>
      </c>
      <c r="I2354">
        <v>30.255434320814661</v>
      </c>
      <c r="J2354">
        <v>31.00111222193631</v>
      </c>
      <c r="K2354">
        <v>47.943131427435219</v>
      </c>
      <c r="L2354">
        <v>-1</v>
      </c>
      <c r="M2354" t="s">
        <v>69</v>
      </c>
    </row>
    <row r="2355" spans="1:13" x14ac:dyDescent="0.3">
      <c r="A2355" t="s">
        <v>24</v>
      </c>
      <c r="B2355" t="s">
        <v>61</v>
      </c>
      <c r="C2355">
        <v>128.0394579887635</v>
      </c>
      <c r="D2355">
        <v>5.5469303999614574</v>
      </c>
      <c r="E2355">
        <v>8.6253414736895522</v>
      </c>
      <c r="F2355">
        <v>20.287789454290898</v>
      </c>
      <c r="G2355">
        <v>6.2666145313853203</v>
      </c>
      <c r="H2355">
        <v>20.49216769699748</v>
      </c>
      <c r="I2355">
        <v>30.06390654702161</v>
      </c>
      <c r="J2355">
        <v>30.919639685733351</v>
      </c>
      <c r="K2355">
        <v>48.258307282021178</v>
      </c>
      <c r="L2355">
        <v>-1</v>
      </c>
      <c r="M2355" t="s">
        <v>69</v>
      </c>
    </row>
    <row r="2356" spans="1:13" x14ac:dyDescent="0.3">
      <c r="A2356" t="s">
        <v>24</v>
      </c>
      <c r="B2356" t="s">
        <v>60</v>
      </c>
      <c r="C2356">
        <v>491.63874295086788</v>
      </c>
      <c r="D2356">
        <v>24.296775459017361</v>
      </c>
      <c r="E2356">
        <v>38.001834953303543</v>
      </c>
      <c r="F2356">
        <v>77.74812913558651</v>
      </c>
      <c r="G2356">
        <v>5.4339221333503991</v>
      </c>
      <c r="H2356">
        <v>68.25394670007725</v>
      </c>
      <c r="I2356">
        <v>31.49921199511143</v>
      </c>
      <c r="J2356">
        <v>29.985007905089699</v>
      </c>
      <c r="K2356">
        <v>11</v>
      </c>
      <c r="L2356">
        <v>-1</v>
      </c>
      <c r="M2356" t="s">
        <v>69</v>
      </c>
    </row>
    <row r="2357" spans="1:13" x14ac:dyDescent="0.3">
      <c r="A2357" t="s">
        <v>24</v>
      </c>
      <c r="B2357" t="s">
        <v>58</v>
      </c>
      <c r="C2357">
        <v>30.29346225006131</v>
      </c>
      <c r="D2357">
        <v>1.0197920337485751</v>
      </c>
      <c r="E2357">
        <v>2.0291748855089251</v>
      </c>
      <c r="F2357">
        <v>4.498486150934113</v>
      </c>
      <c r="G2357">
        <v>6.1634947277055021</v>
      </c>
      <c r="H2357">
        <v>22.183204131519389</v>
      </c>
      <c r="I2357">
        <v>29.959102341595749</v>
      </c>
      <c r="J2357">
        <v>25.923210043978649</v>
      </c>
      <c r="K2357">
        <v>755.96276945083116</v>
      </c>
      <c r="L2357">
        <v>-1</v>
      </c>
      <c r="M2357" t="s">
        <v>69</v>
      </c>
    </row>
    <row r="2358" spans="1:13" x14ac:dyDescent="0.3">
      <c r="A2358" t="s">
        <v>24</v>
      </c>
      <c r="B2358" t="s">
        <v>61</v>
      </c>
      <c r="C2358">
        <v>711.95142083156588</v>
      </c>
      <c r="D2358">
        <v>34.223959452078631</v>
      </c>
      <c r="E2358">
        <v>44.550583597867558</v>
      </c>
      <c r="F2358">
        <v>97.257075171448093</v>
      </c>
      <c r="G2358">
        <v>6.011927470931874</v>
      </c>
      <c r="H2358">
        <v>68.325036697344274</v>
      </c>
      <c r="I2358">
        <v>30.376051649757109</v>
      </c>
      <c r="J2358">
        <v>31.338169381465409</v>
      </c>
      <c r="K2358">
        <v>11.251079141538179</v>
      </c>
      <c r="L2358">
        <v>-1</v>
      </c>
      <c r="M2358" t="s">
        <v>69</v>
      </c>
    </row>
    <row r="2359" spans="1:13" x14ac:dyDescent="0.3">
      <c r="A2359" t="s">
        <v>25</v>
      </c>
      <c r="B2359" t="s">
        <v>62</v>
      </c>
      <c r="C2359">
        <v>91.148056579187369</v>
      </c>
      <c r="D2359">
        <v>4.0441969633121548</v>
      </c>
      <c r="E2359">
        <v>6.274037451911247</v>
      </c>
      <c r="F2359">
        <v>12.23366687890185</v>
      </c>
      <c r="G2359">
        <v>6.8803305153464009</v>
      </c>
      <c r="H2359">
        <v>14.033986065807261</v>
      </c>
      <c r="I2359">
        <v>33.299719665035987</v>
      </c>
      <c r="J2359">
        <v>30.453805447949438</v>
      </c>
      <c r="K2359">
        <v>47.341170599600673</v>
      </c>
      <c r="L2359">
        <v>-1</v>
      </c>
      <c r="M2359" t="s">
        <v>69</v>
      </c>
    </row>
    <row r="2360" spans="1:13" x14ac:dyDescent="0.3">
      <c r="A2360" t="s">
        <v>24</v>
      </c>
      <c r="B2360" t="s">
        <v>61</v>
      </c>
      <c r="C2360">
        <v>665.40657806312208</v>
      </c>
      <c r="D2360">
        <v>42.707218518166762</v>
      </c>
      <c r="E2360">
        <v>44.033301568453957</v>
      </c>
      <c r="F2360">
        <v>118.4055516439268</v>
      </c>
      <c r="G2360">
        <v>6.1176472770777286</v>
      </c>
      <c r="H2360">
        <v>72.33621099529023</v>
      </c>
      <c r="I2360">
        <v>28.469778735665031</v>
      </c>
      <c r="J2360">
        <v>29.749391373028121</v>
      </c>
      <c r="K2360">
        <v>11.03009237648166</v>
      </c>
      <c r="L2360">
        <v>-1</v>
      </c>
      <c r="M2360" t="s">
        <v>69</v>
      </c>
    </row>
    <row r="2361" spans="1:13" x14ac:dyDescent="0.3">
      <c r="A2361" t="s">
        <v>24</v>
      </c>
      <c r="B2361" t="s">
        <v>59</v>
      </c>
      <c r="C2361">
        <v>350.66858957081422</v>
      </c>
      <c r="D2361">
        <v>17.080596062766151</v>
      </c>
      <c r="E2361">
        <v>24.500538633787301</v>
      </c>
      <c r="F2361">
        <v>57.005915361473477</v>
      </c>
      <c r="G2361">
        <v>5.114591871932376</v>
      </c>
      <c r="H2361">
        <v>76.729414963441826</v>
      </c>
      <c r="I2361">
        <v>31.16659161000517</v>
      </c>
      <c r="J2361">
        <v>31.248128975803301</v>
      </c>
      <c r="K2361">
        <v>11.074483462464739</v>
      </c>
      <c r="L2361">
        <v>-1</v>
      </c>
      <c r="M2361" t="s">
        <v>69</v>
      </c>
    </row>
    <row r="2362" spans="1:13" x14ac:dyDescent="0.3">
      <c r="A2362" t="s">
        <v>24</v>
      </c>
      <c r="B2362" t="s">
        <v>61</v>
      </c>
      <c r="C2362">
        <v>312.94448005010889</v>
      </c>
      <c r="D2362">
        <v>16.889937621861851</v>
      </c>
      <c r="E2362">
        <v>24.662243436227961</v>
      </c>
      <c r="F2362">
        <v>56.939187635062943</v>
      </c>
      <c r="G2362">
        <v>4.492192340641644</v>
      </c>
      <c r="H2362">
        <v>59.258608173453617</v>
      </c>
      <c r="I2362">
        <v>30.402241666515678</v>
      </c>
      <c r="J2362">
        <v>30.481691573797931</v>
      </c>
      <c r="K2362">
        <v>13.787988852574699</v>
      </c>
      <c r="L2362">
        <v>-1</v>
      </c>
      <c r="M2362" t="s">
        <v>69</v>
      </c>
    </row>
    <row r="2363" spans="1:13" x14ac:dyDescent="0.3">
      <c r="A2363" t="s">
        <v>24</v>
      </c>
      <c r="B2363" t="s">
        <v>60</v>
      </c>
      <c r="C2363">
        <v>587.66572970825541</v>
      </c>
      <c r="D2363">
        <v>30.11431846622181</v>
      </c>
      <c r="E2363">
        <v>38.458876795135147</v>
      </c>
      <c r="F2363">
        <v>106.694039324803</v>
      </c>
      <c r="G2363">
        <v>6.0567587023261247</v>
      </c>
      <c r="H2363">
        <v>83.309947339418216</v>
      </c>
      <c r="I2363">
        <v>31.528327553520029</v>
      </c>
      <c r="J2363">
        <v>30.617018609588321</v>
      </c>
      <c r="K2363">
        <v>11</v>
      </c>
      <c r="L2363">
        <v>-1</v>
      </c>
      <c r="M2363" t="s">
        <v>69</v>
      </c>
    </row>
    <row r="2364" spans="1:13" x14ac:dyDescent="0.3">
      <c r="A2364" t="s">
        <v>24</v>
      </c>
      <c r="B2364" t="s">
        <v>61</v>
      </c>
      <c r="C2364">
        <v>353.6776005559787</v>
      </c>
      <c r="D2364">
        <v>16.218041821444569</v>
      </c>
      <c r="E2364">
        <v>25.58107876812586</v>
      </c>
      <c r="F2364">
        <v>62.716167354138413</v>
      </c>
      <c r="G2364">
        <v>4.3016233120161811</v>
      </c>
      <c r="H2364">
        <v>57.856689692043162</v>
      </c>
      <c r="I2364">
        <v>28.76520891018054</v>
      </c>
      <c r="J2364">
        <v>30.735345835488008</v>
      </c>
      <c r="K2364">
        <v>13.80533234597601</v>
      </c>
      <c r="L2364">
        <v>-1</v>
      </c>
      <c r="M2364" t="s">
        <v>69</v>
      </c>
    </row>
    <row r="2365" spans="1:13" x14ac:dyDescent="0.3">
      <c r="A2365" t="s">
        <v>24</v>
      </c>
      <c r="B2365" t="s">
        <v>61</v>
      </c>
      <c r="C2365">
        <v>323.11955621530262</v>
      </c>
      <c r="D2365">
        <v>17.592138336203568</v>
      </c>
      <c r="E2365">
        <v>25.07388090288385</v>
      </c>
      <c r="F2365">
        <v>46.097199249437047</v>
      </c>
      <c r="G2365">
        <v>4.3013225988419368</v>
      </c>
      <c r="H2365">
        <v>59.474142229561238</v>
      </c>
      <c r="I2365">
        <v>29.699570533571709</v>
      </c>
      <c r="J2365">
        <v>31.8118884260189</v>
      </c>
      <c r="K2365">
        <v>14.05908359787327</v>
      </c>
      <c r="L2365">
        <v>-1</v>
      </c>
      <c r="M2365" t="s">
        <v>69</v>
      </c>
    </row>
    <row r="2366" spans="1:13" x14ac:dyDescent="0.3">
      <c r="A2366" t="s">
        <v>24</v>
      </c>
      <c r="B2366" t="s">
        <v>61</v>
      </c>
      <c r="C2366">
        <v>333.65866801313172</v>
      </c>
      <c r="D2366">
        <v>18.0110842988603</v>
      </c>
      <c r="E2366">
        <v>24.499704054302839</v>
      </c>
      <c r="F2366">
        <v>43.010022635302931</v>
      </c>
      <c r="G2366">
        <v>4.3917335852328048</v>
      </c>
      <c r="H2366">
        <v>57.294930494203392</v>
      </c>
      <c r="I2366">
        <v>29.821188900927051</v>
      </c>
      <c r="J2366">
        <v>32.0908836800931</v>
      </c>
      <c r="K2366">
        <v>14.080213464930241</v>
      </c>
      <c r="L2366">
        <v>-1</v>
      </c>
      <c r="M2366" t="s">
        <v>69</v>
      </c>
    </row>
    <row r="2367" spans="1:13" x14ac:dyDescent="0.3">
      <c r="A2367" t="s">
        <v>24</v>
      </c>
      <c r="B2367" t="s">
        <v>60</v>
      </c>
      <c r="C2367">
        <v>625.60131462100514</v>
      </c>
      <c r="D2367">
        <v>38.476669312156297</v>
      </c>
      <c r="E2367">
        <v>51.515126938460703</v>
      </c>
      <c r="F2367">
        <v>106.4663561495169</v>
      </c>
      <c r="G2367">
        <v>5.8608800662916902</v>
      </c>
      <c r="H2367">
        <v>77.912505855628908</v>
      </c>
      <c r="I2367">
        <v>30.005078719329919</v>
      </c>
      <c r="J2367">
        <v>32.319320685513439</v>
      </c>
      <c r="K2367">
        <v>11.28289255657592</v>
      </c>
      <c r="L2367">
        <v>-1</v>
      </c>
      <c r="M2367" t="s">
        <v>69</v>
      </c>
    </row>
    <row r="2368" spans="1:13" x14ac:dyDescent="0.3">
      <c r="A2368" t="s">
        <v>19</v>
      </c>
      <c r="B2368" t="s">
        <v>47</v>
      </c>
      <c r="C2368">
        <v>30.805571259316761</v>
      </c>
      <c r="D2368">
        <v>1.0156061445089291</v>
      </c>
      <c r="E2368">
        <v>1.9543075442212039</v>
      </c>
      <c r="F2368">
        <v>4.0017422036843797</v>
      </c>
      <c r="G2368">
        <v>5.8778170525652316</v>
      </c>
      <c r="H2368">
        <v>21.196525833515949</v>
      </c>
      <c r="I2368">
        <v>30.005580789552479</v>
      </c>
      <c r="J2368">
        <v>26.01778645051818</v>
      </c>
      <c r="K2368">
        <v>729.21515415107456</v>
      </c>
      <c r="L2368">
        <v>-1</v>
      </c>
      <c r="M2368" t="s">
        <v>69</v>
      </c>
    </row>
    <row r="2369" spans="1:13" x14ac:dyDescent="0.3">
      <c r="A2369" t="s">
        <v>19</v>
      </c>
      <c r="B2369" t="s">
        <v>46</v>
      </c>
      <c r="C2369">
        <v>26.7573746816559</v>
      </c>
      <c r="D2369">
        <v>1.0625214648955119</v>
      </c>
      <c r="E2369">
        <v>0.85375031455890493</v>
      </c>
      <c r="F2369">
        <v>3.6990289530993472</v>
      </c>
      <c r="G2369">
        <v>5.9978704569262176</v>
      </c>
      <c r="H2369">
        <v>19.647239745282061</v>
      </c>
      <c r="I2369">
        <v>29.75107041034337</v>
      </c>
      <c r="J2369">
        <v>26.22402393505433</v>
      </c>
      <c r="K2369">
        <v>728.97699985206998</v>
      </c>
      <c r="L2369">
        <v>-1</v>
      </c>
      <c r="M2369" t="s">
        <v>69</v>
      </c>
    </row>
    <row r="2370" spans="1:13" x14ac:dyDescent="0.3">
      <c r="A2370" t="s">
        <v>25</v>
      </c>
      <c r="B2370" t="s">
        <v>62</v>
      </c>
      <c r="C2370">
        <v>84.130245643158077</v>
      </c>
      <c r="D2370">
        <v>3.6836099044376329</v>
      </c>
      <c r="E2370">
        <v>5.9271395563039402</v>
      </c>
      <c r="F2370">
        <v>14.907425173437529</v>
      </c>
      <c r="G2370">
        <v>6.6600830118498591</v>
      </c>
      <c r="H2370">
        <v>14.11436625039881</v>
      </c>
      <c r="I2370">
        <v>31.99720656552805</v>
      </c>
      <c r="J2370">
        <v>30.59010025056039</v>
      </c>
      <c r="K2370">
        <v>47.883083533264433</v>
      </c>
      <c r="L2370">
        <v>-1</v>
      </c>
      <c r="M2370" t="s">
        <v>69</v>
      </c>
    </row>
    <row r="2371" spans="1:13" x14ac:dyDescent="0.3">
      <c r="A2371" t="s">
        <v>25</v>
      </c>
      <c r="B2371" t="s">
        <v>62</v>
      </c>
      <c r="C2371">
        <v>97.613201847620743</v>
      </c>
      <c r="D2371">
        <v>4.4832315059450192</v>
      </c>
      <c r="E2371">
        <v>6.9495612849108657</v>
      </c>
      <c r="F2371">
        <v>13.544506551939561</v>
      </c>
      <c r="G2371">
        <v>6.8159101513673743</v>
      </c>
      <c r="H2371">
        <v>14.00730144092458</v>
      </c>
      <c r="I2371">
        <v>33.491410540570243</v>
      </c>
      <c r="J2371">
        <v>30.621465954383119</v>
      </c>
      <c r="K2371">
        <v>46.901401228584056</v>
      </c>
      <c r="L2371">
        <v>-1</v>
      </c>
      <c r="M2371" t="s">
        <v>69</v>
      </c>
    </row>
    <row r="2372" spans="1:13" x14ac:dyDescent="0.3">
      <c r="A2372" t="s">
        <v>24</v>
      </c>
      <c r="B2372" t="s">
        <v>60</v>
      </c>
      <c r="C2372">
        <v>517.65062830406941</v>
      </c>
      <c r="D2372">
        <v>24.436857865695451</v>
      </c>
      <c r="E2372">
        <v>39.969248454797381</v>
      </c>
      <c r="F2372">
        <v>84.668553351648711</v>
      </c>
      <c r="G2372">
        <v>5.438542863153482</v>
      </c>
      <c r="H2372">
        <v>67.825292601546067</v>
      </c>
      <c r="I2372">
        <v>31.009928704079389</v>
      </c>
      <c r="J2372">
        <v>31.262055280691971</v>
      </c>
      <c r="K2372">
        <v>11</v>
      </c>
      <c r="L2372">
        <v>-1</v>
      </c>
      <c r="M2372" t="s">
        <v>69</v>
      </c>
    </row>
    <row r="2373" spans="1:13" x14ac:dyDescent="0.3">
      <c r="A2373" t="s">
        <v>24</v>
      </c>
      <c r="B2373" t="s">
        <v>61</v>
      </c>
      <c r="C2373">
        <v>184.39911058723411</v>
      </c>
      <c r="D2373">
        <v>8.9241179932977488</v>
      </c>
      <c r="E2373">
        <v>12.10818135226495</v>
      </c>
      <c r="F2373">
        <v>29.171948438518228</v>
      </c>
      <c r="G2373">
        <v>6.1896647513963483</v>
      </c>
      <c r="H2373">
        <v>25.475344944955111</v>
      </c>
      <c r="I2373">
        <v>29.57748148996189</v>
      </c>
      <c r="J2373">
        <v>30.996778975008169</v>
      </c>
      <c r="K2373">
        <v>14.00437586936914</v>
      </c>
      <c r="L2373">
        <v>-1</v>
      </c>
      <c r="M2373" t="s">
        <v>69</v>
      </c>
    </row>
    <row r="2374" spans="1:13" x14ac:dyDescent="0.3">
      <c r="A2374" t="s">
        <v>24</v>
      </c>
      <c r="B2374" t="s">
        <v>61</v>
      </c>
      <c r="C2374">
        <v>82.712165691169233</v>
      </c>
      <c r="D2374">
        <v>4.1762029062549741</v>
      </c>
      <c r="E2374">
        <v>5.4692193605414632</v>
      </c>
      <c r="F2374">
        <v>14.24530372776699</v>
      </c>
      <c r="G2374">
        <v>6.5771900482645904</v>
      </c>
      <c r="H2374">
        <v>13.94711086010004</v>
      </c>
      <c r="I2374">
        <v>32.192196323079799</v>
      </c>
      <c r="J2374">
        <v>31.25135239829633</v>
      </c>
      <c r="K2374">
        <v>47.982495294445933</v>
      </c>
      <c r="L2374">
        <v>-1</v>
      </c>
      <c r="M2374" t="s">
        <v>69</v>
      </c>
    </row>
    <row r="2375" spans="1:13" x14ac:dyDescent="0.3">
      <c r="A2375" t="s">
        <v>24</v>
      </c>
      <c r="B2375" t="s">
        <v>61</v>
      </c>
      <c r="C2375">
        <v>82.411654902176664</v>
      </c>
      <c r="D2375">
        <v>3.9799984342769732</v>
      </c>
      <c r="E2375">
        <v>4.6903726559865451</v>
      </c>
      <c r="F2375">
        <v>13.010618430007669</v>
      </c>
      <c r="G2375">
        <v>6.23779351943619</v>
      </c>
      <c r="H2375">
        <v>15.423889317768371</v>
      </c>
      <c r="I2375">
        <v>33.985851480021239</v>
      </c>
      <c r="J2375">
        <v>31.24614988804122</v>
      </c>
      <c r="K2375">
        <v>48.57448554129428</v>
      </c>
      <c r="L2375">
        <v>-1</v>
      </c>
      <c r="M2375" t="s">
        <v>69</v>
      </c>
    </row>
    <row r="2376" spans="1:13" x14ac:dyDescent="0.3">
      <c r="A2376" t="s">
        <v>24</v>
      </c>
      <c r="B2376" t="s">
        <v>59</v>
      </c>
      <c r="C2376">
        <v>339.12331224579469</v>
      </c>
      <c r="D2376">
        <v>16.41372574400971</v>
      </c>
      <c r="E2376">
        <v>24.1771163209119</v>
      </c>
      <c r="F2376">
        <v>56.116415715372433</v>
      </c>
      <c r="G2376">
        <v>5.2166668459654728</v>
      </c>
      <c r="H2376">
        <v>75.359852673858853</v>
      </c>
      <c r="I2376">
        <v>29.423847882392081</v>
      </c>
      <c r="J2376">
        <v>30.609761290071869</v>
      </c>
      <c r="K2376">
        <v>11.384087781202419</v>
      </c>
      <c r="L2376">
        <v>-1</v>
      </c>
      <c r="M2376" t="s">
        <v>69</v>
      </c>
    </row>
    <row r="2377" spans="1:13" x14ac:dyDescent="0.3">
      <c r="A2377" t="s">
        <v>19</v>
      </c>
      <c r="B2377" t="s">
        <v>47</v>
      </c>
      <c r="C2377">
        <v>31.448573121096299</v>
      </c>
      <c r="D2377">
        <v>1.049322686109285</v>
      </c>
      <c r="E2377">
        <v>1.971553522430491</v>
      </c>
      <c r="F2377">
        <v>3.8287960623939572</v>
      </c>
      <c r="G2377">
        <v>5.9326572210736108</v>
      </c>
      <c r="H2377">
        <v>21.58374417347801</v>
      </c>
      <c r="I2377">
        <v>30.034192499598301</v>
      </c>
      <c r="J2377">
        <v>26.03576948382559</v>
      </c>
      <c r="K2377">
        <v>732.99828877767209</v>
      </c>
      <c r="L2377">
        <v>-1</v>
      </c>
      <c r="M2377" t="s">
        <v>69</v>
      </c>
    </row>
    <row r="2378" spans="1:13" x14ac:dyDescent="0.3">
      <c r="A2378" t="s">
        <v>24</v>
      </c>
      <c r="B2378" t="s">
        <v>60</v>
      </c>
      <c r="C2378">
        <v>498.30416729855938</v>
      </c>
      <c r="D2378">
        <v>24.301354706999831</v>
      </c>
      <c r="E2378">
        <v>35.847077893256113</v>
      </c>
      <c r="F2378">
        <v>79.037917639884512</v>
      </c>
      <c r="G2378">
        <v>5.4556745270972717</v>
      </c>
      <c r="H2378">
        <v>69.909963401855904</v>
      </c>
      <c r="I2378">
        <v>32.548714570146799</v>
      </c>
      <c r="J2378">
        <v>29.21365558892661</v>
      </c>
      <c r="K2378">
        <v>11.0243357538086</v>
      </c>
      <c r="L2378">
        <v>-1</v>
      </c>
      <c r="M2378" t="s">
        <v>69</v>
      </c>
    </row>
    <row r="2379" spans="1:13" x14ac:dyDescent="0.3">
      <c r="A2379" t="s">
        <v>24</v>
      </c>
      <c r="B2379" t="s">
        <v>61</v>
      </c>
      <c r="C2379">
        <v>351.43360005646201</v>
      </c>
      <c r="D2379">
        <v>15.09194589864625</v>
      </c>
      <c r="E2379">
        <v>23.087505114737869</v>
      </c>
      <c r="F2379">
        <v>54.508757698982663</v>
      </c>
      <c r="G2379">
        <v>4.323394989912658</v>
      </c>
      <c r="H2379">
        <v>54.589374211427511</v>
      </c>
      <c r="I2379">
        <v>30.341551169195089</v>
      </c>
      <c r="J2379">
        <v>30.626409936373559</v>
      </c>
      <c r="K2379">
        <v>14.04375499711205</v>
      </c>
      <c r="L2379">
        <v>-1</v>
      </c>
      <c r="M2379" t="s">
        <v>69</v>
      </c>
    </row>
    <row r="2380" spans="1:13" x14ac:dyDescent="0.3">
      <c r="A2380" t="s">
        <v>24</v>
      </c>
      <c r="B2380" t="s">
        <v>61</v>
      </c>
      <c r="C2380">
        <v>183.76392072562939</v>
      </c>
      <c r="D2380">
        <v>8.9886228703335398</v>
      </c>
      <c r="E2380">
        <v>11.85183488440409</v>
      </c>
      <c r="F2380">
        <v>29.25393954294562</v>
      </c>
      <c r="G2380">
        <v>6.2823735671322529</v>
      </c>
      <c r="H2380">
        <v>25.63569480897192</v>
      </c>
      <c r="I2380">
        <v>29.64345800888989</v>
      </c>
      <c r="J2380">
        <v>30.583602837475851</v>
      </c>
      <c r="K2380">
        <v>13.954378205104151</v>
      </c>
      <c r="L2380">
        <v>-1</v>
      </c>
      <c r="M2380" t="s">
        <v>69</v>
      </c>
    </row>
    <row r="2381" spans="1:13" x14ac:dyDescent="0.3">
      <c r="A2381" t="s">
        <v>19</v>
      </c>
      <c r="B2381" t="s">
        <v>47</v>
      </c>
      <c r="C2381">
        <v>28.867977531588579</v>
      </c>
      <c r="D2381">
        <v>0.96418031629120593</v>
      </c>
      <c r="E2381">
        <v>1.7225661729752919</v>
      </c>
      <c r="F2381">
        <v>4.0570838287413942</v>
      </c>
      <c r="G2381">
        <v>6.0750015805619091</v>
      </c>
      <c r="H2381">
        <v>22.892328239321291</v>
      </c>
      <c r="I2381">
        <v>29.312291689743699</v>
      </c>
      <c r="J2381">
        <v>25.721237677197848</v>
      </c>
      <c r="K2381">
        <v>736.8194150778869</v>
      </c>
      <c r="L2381">
        <v>-1</v>
      </c>
      <c r="M2381" t="s">
        <v>69</v>
      </c>
    </row>
    <row r="2382" spans="1:13" x14ac:dyDescent="0.3">
      <c r="A2382" t="s">
        <v>24</v>
      </c>
      <c r="B2382" t="s">
        <v>58</v>
      </c>
      <c r="C2382">
        <v>31.84971935852295</v>
      </c>
      <c r="D2382">
        <v>1.095521507886567</v>
      </c>
      <c r="E2382">
        <v>2.1745784147919398</v>
      </c>
      <c r="F2382">
        <v>4.4524711728941639</v>
      </c>
      <c r="G2382">
        <v>6.1781048285620548</v>
      </c>
      <c r="H2382">
        <v>21.919369077312901</v>
      </c>
      <c r="I2382">
        <v>30.138146977712761</v>
      </c>
      <c r="J2382">
        <v>26.010019337015269</v>
      </c>
      <c r="K2382">
        <v>758.72984027586938</v>
      </c>
      <c r="L2382">
        <v>-1</v>
      </c>
      <c r="M2382" t="s">
        <v>69</v>
      </c>
    </row>
    <row r="2383" spans="1:13" x14ac:dyDescent="0.3">
      <c r="A2383" t="s">
        <v>24</v>
      </c>
      <c r="B2383" t="s">
        <v>61</v>
      </c>
      <c r="C2383">
        <v>685.39826530696178</v>
      </c>
      <c r="D2383">
        <v>33.265493626676033</v>
      </c>
      <c r="E2383">
        <v>47.317518035278781</v>
      </c>
      <c r="F2383">
        <v>113.4016545856923</v>
      </c>
      <c r="G2383">
        <v>6.052688471901968</v>
      </c>
      <c r="H2383">
        <v>70.387102858930717</v>
      </c>
      <c r="I2383">
        <v>29.500630743226459</v>
      </c>
      <c r="J2383">
        <v>30.851080912201219</v>
      </c>
      <c r="K2383">
        <v>11</v>
      </c>
      <c r="L2383">
        <v>-1</v>
      </c>
      <c r="M2383" t="s">
        <v>69</v>
      </c>
    </row>
    <row r="2384" spans="1:13" x14ac:dyDescent="0.3">
      <c r="A2384" t="s">
        <v>19</v>
      </c>
      <c r="B2384" t="s">
        <v>46</v>
      </c>
      <c r="C2384">
        <v>27.854208439794998</v>
      </c>
      <c r="D2384">
        <v>0.99742229437247287</v>
      </c>
      <c r="E2384">
        <v>0.96601826469255769</v>
      </c>
      <c r="F2384">
        <v>3.290428540540141</v>
      </c>
      <c r="G2384">
        <v>6.0017840823122519</v>
      </c>
      <c r="H2384">
        <v>20.398456811102928</v>
      </c>
      <c r="I2384">
        <v>31.333458150918521</v>
      </c>
      <c r="J2384">
        <v>26.514355434436411</v>
      </c>
      <c r="K2384">
        <v>737.65562044089108</v>
      </c>
      <c r="L2384">
        <v>-1</v>
      </c>
      <c r="M2384" t="s">
        <v>69</v>
      </c>
    </row>
    <row r="2385" spans="1:13" x14ac:dyDescent="0.3">
      <c r="A2385" t="s">
        <v>19</v>
      </c>
      <c r="B2385" t="s">
        <v>46</v>
      </c>
      <c r="C2385">
        <v>28.026550148797511</v>
      </c>
      <c r="D2385">
        <v>1.0193488130579369</v>
      </c>
      <c r="E2385">
        <v>0.91371760387873024</v>
      </c>
      <c r="F2385">
        <v>3.9614357582584669</v>
      </c>
      <c r="G2385">
        <v>6.0442948861563739</v>
      </c>
      <c r="H2385">
        <v>18.934440618983839</v>
      </c>
      <c r="I2385">
        <v>31.437852187832011</v>
      </c>
      <c r="J2385">
        <v>26.726105869762119</v>
      </c>
      <c r="K2385">
        <v>719.632557321852</v>
      </c>
      <c r="L2385">
        <v>-1</v>
      </c>
      <c r="M2385" t="s">
        <v>69</v>
      </c>
    </row>
    <row r="2386" spans="1:13" x14ac:dyDescent="0.3">
      <c r="A2386" t="s">
        <v>25</v>
      </c>
      <c r="B2386" t="s">
        <v>62</v>
      </c>
      <c r="C2386">
        <v>92.040172417176265</v>
      </c>
      <c r="D2386">
        <v>3.764651574457722</v>
      </c>
      <c r="E2386">
        <v>6.0024455408262911</v>
      </c>
      <c r="F2386">
        <v>13.52262059937193</v>
      </c>
      <c r="G2386">
        <v>6.8632639016486374</v>
      </c>
      <c r="H2386">
        <v>13.9</v>
      </c>
      <c r="I2386">
        <v>33.480036647109763</v>
      </c>
      <c r="J2386">
        <v>30.577555827029339</v>
      </c>
      <c r="K2386">
        <v>47.400009630562181</v>
      </c>
      <c r="L2386">
        <v>-1</v>
      </c>
      <c r="M2386" t="s">
        <v>69</v>
      </c>
    </row>
    <row r="2387" spans="1:13" x14ac:dyDescent="0.3">
      <c r="A2387" t="s">
        <v>24</v>
      </c>
      <c r="B2387" t="s">
        <v>60</v>
      </c>
      <c r="C2387">
        <v>503.92966814839519</v>
      </c>
      <c r="D2387">
        <v>26.296428425409719</v>
      </c>
      <c r="E2387">
        <v>31.134291449314951</v>
      </c>
      <c r="F2387">
        <v>78.190017024774704</v>
      </c>
      <c r="G2387">
        <v>5.4584500569884273</v>
      </c>
      <c r="H2387">
        <v>63.38100717568598</v>
      </c>
      <c r="I2387">
        <v>31.6256454213176</v>
      </c>
      <c r="J2387">
        <v>32.380513084219253</v>
      </c>
      <c r="K2387">
        <v>11.406609527672799</v>
      </c>
      <c r="L2387">
        <v>-1</v>
      </c>
      <c r="M2387" t="s">
        <v>69</v>
      </c>
    </row>
    <row r="2388" spans="1:13" x14ac:dyDescent="0.3">
      <c r="A2388" t="s">
        <v>24</v>
      </c>
      <c r="B2388" t="s">
        <v>60</v>
      </c>
      <c r="C2388">
        <v>515.8960308599992</v>
      </c>
      <c r="D2388">
        <v>30.104030960863231</v>
      </c>
      <c r="E2388">
        <v>35.775556878130502</v>
      </c>
      <c r="F2388">
        <v>78.288456289935795</v>
      </c>
      <c r="G2388">
        <v>5.3542182555158373</v>
      </c>
      <c r="H2388">
        <v>66.244346793662629</v>
      </c>
      <c r="I2388">
        <v>30.333660876397229</v>
      </c>
      <c r="J2388">
        <v>30.423939324340051</v>
      </c>
      <c r="K2388">
        <v>11.062203514728941</v>
      </c>
      <c r="L2388">
        <v>-1</v>
      </c>
      <c r="M2388" t="s">
        <v>69</v>
      </c>
    </row>
    <row r="2389" spans="1:13" x14ac:dyDescent="0.3">
      <c r="A2389" t="s">
        <v>25</v>
      </c>
      <c r="B2389" t="s">
        <v>62</v>
      </c>
      <c r="C2389">
        <v>99.380284787689007</v>
      </c>
      <c r="D2389">
        <v>4.5760163130277629</v>
      </c>
      <c r="E2389">
        <v>7.0373818615713937</v>
      </c>
      <c r="F2389">
        <v>14.327759941408489</v>
      </c>
      <c r="G2389">
        <v>6.8058115749165982</v>
      </c>
      <c r="H2389">
        <v>14.17855324063366</v>
      </c>
      <c r="I2389">
        <v>33.750481017080872</v>
      </c>
      <c r="J2389">
        <v>30.807055077754239</v>
      </c>
      <c r="K2389">
        <v>46.972347007145572</v>
      </c>
      <c r="L2389">
        <v>-1</v>
      </c>
      <c r="M2389" t="s">
        <v>69</v>
      </c>
    </row>
    <row r="2390" spans="1:13" x14ac:dyDescent="0.3">
      <c r="A2390" t="s">
        <v>24</v>
      </c>
      <c r="B2390" t="s">
        <v>58</v>
      </c>
      <c r="C2390">
        <v>31.566125678225461</v>
      </c>
      <c r="D2390">
        <v>0.92205963531500901</v>
      </c>
      <c r="E2390">
        <v>2.103367146642396</v>
      </c>
      <c r="F2390">
        <v>3.9925721760467621</v>
      </c>
      <c r="G2390">
        <v>5.9849874050715677</v>
      </c>
      <c r="H2390">
        <v>22.092977475717451</v>
      </c>
      <c r="I2390">
        <v>30.172984226666859</v>
      </c>
      <c r="J2390">
        <v>25.763990515317239</v>
      </c>
      <c r="K2390">
        <v>755.17319184284099</v>
      </c>
      <c r="L2390">
        <v>-1</v>
      </c>
      <c r="M2390" t="s">
        <v>69</v>
      </c>
    </row>
    <row r="2391" spans="1:13" x14ac:dyDescent="0.3">
      <c r="A2391" t="s">
        <v>25</v>
      </c>
      <c r="B2391" t="s">
        <v>62</v>
      </c>
      <c r="C2391">
        <v>86.357445574290153</v>
      </c>
      <c r="D2391">
        <v>3.6172107886794391</v>
      </c>
      <c r="E2391">
        <v>6.1451916604854331</v>
      </c>
      <c r="F2391">
        <v>15.51294636978705</v>
      </c>
      <c r="G2391">
        <v>6.6945741530899507</v>
      </c>
      <c r="H2391">
        <v>14.08361103156658</v>
      </c>
      <c r="I2391">
        <v>31.652205836703299</v>
      </c>
      <c r="J2391">
        <v>31.095120032171678</v>
      </c>
      <c r="K2391">
        <v>47.774401125278928</v>
      </c>
      <c r="L2391">
        <v>-1</v>
      </c>
      <c r="M2391" t="s">
        <v>69</v>
      </c>
    </row>
    <row r="2392" spans="1:13" x14ac:dyDescent="0.3">
      <c r="A2392" t="s">
        <v>24</v>
      </c>
      <c r="B2392" t="s">
        <v>61</v>
      </c>
      <c r="C2392">
        <v>78.62402403764824</v>
      </c>
      <c r="D2392">
        <v>3.9088896379516891</v>
      </c>
      <c r="E2392">
        <v>4.9214383119770693</v>
      </c>
      <c r="F2392">
        <v>12.82758072051689</v>
      </c>
      <c r="G2392">
        <v>6.1124435341482153</v>
      </c>
      <c r="H2392">
        <v>14.77948876994766</v>
      </c>
      <c r="I2392">
        <v>34.317597981160588</v>
      </c>
      <c r="J2392">
        <v>32.322478710595007</v>
      </c>
      <c r="K2392">
        <v>48.110916408031017</v>
      </c>
      <c r="L2392">
        <v>-1</v>
      </c>
      <c r="M2392" t="s">
        <v>69</v>
      </c>
    </row>
    <row r="2393" spans="1:13" x14ac:dyDescent="0.3">
      <c r="A2393" t="s">
        <v>19</v>
      </c>
      <c r="B2393" t="s">
        <v>47</v>
      </c>
      <c r="C2393">
        <v>29.445114873216539</v>
      </c>
      <c r="D2393">
        <v>1.0851047432208289</v>
      </c>
      <c r="E2393">
        <v>1.4486151494290831</v>
      </c>
      <c r="F2393">
        <v>3.6315632847366679</v>
      </c>
      <c r="G2393">
        <v>5.9984267099056714</v>
      </c>
      <c r="H2393">
        <v>21.03489473689714</v>
      </c>
      <c r="I2393">
        <v>29.82081164499311</v>
      </c>
      <c r="J2393">
        <v>26.13024041952675</v>
      </c>
      <c r="K2393">
        <v>734.77459555519818</v>
      </c>
      <c r="L2393">
        <v>-1</v>
      </c>
      <c r="M2393" t="s">
        <v>69</v>
      </c>
    </row>
    <row r="2394" spans="1:13" x14ac:dyDescent="0.3">
      <c r="A2394" t="s">
        <v>19</v>
      </c>
      <c r="B2394" t="s">
        <v>47</v>
      </c>
      <c r="C2394">
        <v>31.9878663167549</v>
      </c>
      <c r="D2394">
        <v>0.83266642065741792</v>
      </c>
      <c r="E2394">
        <v>1.9005377000974151</v>
      </c>
      <c r="F2394">
        <v>3.7383229566787382</v>
      </c>
      <c r="G2394">
        <v>5.9492756733017114</v>
      </c>
      <c r="H2394">
        <v>20.611661836031129</v>
      </c>
      <c r="I2394">
        <v>28.75682024622763</v>
      </c>
      <c r="J2394">
        <v>26.207985506519108</v>
      </c>
      <c r="K2394">
        <v>735.06196972857811</v>
      </c>
      <c r="L2394">
        <v>-1</v>
      </c>
      <c r="M2394" t="s">
        <v>69</v>
      </c>
    </row>
    <row r="2395" spans="1:13" x14ac:dyDescent="0.3">
      <c r="A2395" t="s">
        <v>24</v>
      </c>
      <c r="B2395" t="s">
        <v>61</v>
      </c>
      <c r="C2395">
        <v>122.2845904614325</v>
      </c>
      <c r="D2395">
        <v>5.6108165236543304</v>
      </c>
      <c r="E2395">
        <v>7.7577348981756211</v>
      </c>
      <c r="F2395">
        <v>19.987605826694342</v>
      </c>
      <c r="G2395">
        <v>6.4587886967970611</v>
      </c>
      <c r="H2395">
        <v>19.375156218536429</v>
      </c>
      <c r="I2395">
        <v>29.346615843653211</v>
      </c>
      <c r="J2395">
        <v>30.50647700517241</v>
      </c>
      <c r="K2395">
        <v>49.136029149395199</v>
      </c>
      <c r="L2395">
        <v>-1</v>
      </c>
      <c r="M2395" t="s">
        <v>69</v>
      </c>
    </row>
    <row r="2396" spans="1:13" x14ac:dyDescent="0.3">
      <c r="A2396" t="s">
        <v>25</v>
      </c>
      <c r="B2396" t="s">
        <v>62</v>
      </c>
      <c r="C2396">
        <v>88.975573095459183</v>
      </c>
      <c r="D2396">
        <v>4.0008357839147202</v>
      </c>
      <c r="E2396">
        <v>5.9980823299878088</v>
      </c>
      <c r="F2396">
        <v>14.001260592403</v>
      </c>
      <c r="G2396">
        <v>6.6995549605137352</v>
      </c>
      <c r="H2396">
        <v>13.9</v>
      </c>
      <c r="I2396">
        <v>31.30343927660946</v>
      </c>
      <c r="J2396">
        <v>31.00094352558618</v>
      </c>
      <c r="K2396">
        <v>48.000416775533267</v>
      </c>
      <c r="L2396">
        <v>-1</v>
      </c>
      <c r="M2396" t="s">
        <v>69</v>
      </c>
    </row>
    <row r="2397" spans="1:13" x14ac:dyDescent="0.3">
      <c r="A2397" t="s">
        <v>19</v>
      </c>
      <c r="B2397" t="s">
        <v>46</v>
      </c>
      <c r="C2397">
        <v>26.948758992517782</v>
      </c>
      <c r="D2397">
        <v>0.99490140831372109</v>
      </c>
      <c r="E2397">
        <v>0.99855729980191121</v>
      </c>
      <c r="F2397">
        <v>4.0134821658416264</v>
      </c>
      <c r="G2397">
        <v>5.9929966520525113</v>
      </c>
      <c r="H2397">
        <v>19.554165639542632</v>
      </c>
      <c r="I2397">
        <v>30.705031087872861</v>
      </c>
      <c r="J2397">
        <v>26.016180149839421</v>
      </c>
      <c r="K2397">
        <v>726.83611259215115</v>
      </c>
      <c r="L2397">
        <v>-1</v>
      </c>
      <c r="M2397" t="s">
        <v>69</v>
      </c>
    </row>
    <row r="2398" spans="1:13" x14ac:dyDescent="0.3">
      <c r="A2398" t="s">
        <v>24</v>
      </c>
      <c r="B2398" t="s">
        <v>61</v>
      </c>
      <c r="C2398">
        <v>352.27228988284332</v>
      </c>
      <c r="D2398">
        <v>14.99161986423946</v>
      </c>
      <c r="E2398">
        <v>23.277527773213951</v>
      </c>
      <c r="F2398">
        <v>54.873178103739527</v>
      </c>
      <c r="G2398">
        <v>4.31554062630702</v>
      </c>
      <c r="H2398">
        <v>55.214532599175229</v>
      </c>
      <c r="I2398">
        <v>30.360953568402941</v>
      </c>
      <c r="J2398">
        <v>30.433066651624792</v>
      </c>
      <c r="K2398">
        <v>14.072091881396091</v>
      </c>
      <c r="L2398">
        <v>-1</v>
      </c>
      <c r="M2398" t="s">
        <v>69</v>
      </c>
    </row>
    <row r="2399" spans="1:13" x14ac:dyDescent="0.3">
      <c r="A2399" t="s">
        <v>24</v>
      </c>
      <c r="B2399" t="s">
        <v>60</v>
      </c>
      <c r="C2399">
        <v>593.23052244400037</v>
      </c>
      <c r="D2399">
        <v>30.180487447834789</v>
      </c>
      <c r="E2399">
        <v>38.991162710067137</v>
      </c>
      <c r="F2399">
        <v>105.25557321381871</v>
      </c>
      <c r="G2399">
        <v>6.0977716528344654</v>
      </c>
      <c r="H2399">
        <v>84.217409594769293</v>
      </c>
      <c r="I2399">
        <v>31.509456918625329</v>
      </c>
      <c r="J2399">
        <v>30.6838841628492</v>
      </c>
      <c r="K2399">
        <v>11</v>
      </c>
      <c r="L2399">
        <v>-1</v>
      </c>
      <c r="M2399" t="s">
        <v>69</v>
      </c>
    </row>
    <row r="2400" spans="1:13" x14ac:dyDescent="0.3">
      <c r="A2400" t="s">
        <v>25</v>
      </c>
      <c r="B2400" t="s">
        <v>62</v>
      </c>
      <c r="C2400">
        <v>98.010836195968437</v>
      </c>
      <c r="D2400">
        <v>4.1272475624033707</v>
      </c>
      <c r="E2400">
        <v>6.6325046260297409</v>
      </c>
      <c r="F2400">
        <v>14.497399053456791</v>
      </c>
      <c r="G2400">
        <v>6.9087972146255074</v>
      </c>
      <c r="H2400">
        <v>14.505842150743261</v>
      </c>
      <c r="I2400">
        <v>33.408495821253652</v>
      </c>
      <c r="J2400">
        <v>30.70356538308198</v>
      </c>
      <c r="K2400">
        <v>47.761823288782807</v>
      </c>
      <c r="L2400">
        <v>-1</v>
      </c>
      <c r="M2400" t="s">
        <v>69</v>
      </c>
    </row>
    <row r="2401" spans="1:13" x14ac:dyDescent="0.3">
      <c r="A2401" t="s">
        <v>19</v>
      </c>
      <c r="B2401" t="s">
        <v>46</v>
      </c>
      <c r="C2401">
        <v>28.014372375437929</v>
      </c>
      <c r="D2401">
        <v>1.0029878960181009</v>
      </c>
      <c r="E2401">
        <v>0.95468268270541756</v>
      </c>
      <c r="F2401">
        <v>3.2048532438737118</v>
      </c>
      <c r="G2401">
        <v>5.9958084481579466</v>
      </c>
      <c r="H2401">
        <v>20.435621128325369</v>
      </c>
      <c r="I2401">
        <v>31.375588178636569</v>
      </c>
      <c r="J2401">
        <v>26.589373724168119</v>
      </c>
      <c r="K2401">
        <v>739.09606683574702</v>
      </c>
      <c r="L2401">
        <v>-1</v>
      </c>
      <c r="M2401" t="s">
        <v>69</v>
      </c>
    </row>
    <row r="2402" spans="1:13" x14ac:dyDescent="0.3">
      <c r="A2402" t="s">
        <v>24</v>
      </c>
      <c r="B2402" t="s">
        <v>60</v>
      </c>
      <c r="C2402">
        <v>510.08669335263198</v>
      </c>
      <c r="D2402">
        <v>21.725898897073741</v>
      </c>
      <c r="E2402">
        <v>38.23520173084146</v>
      </c>
      <c r="F2402">
        <v>83.390797363672675</v>
      </c>
      <c r="G2402">
        <v>5.2558194725058467</v>
      </c>
      <c r="H2402">
        <v>67.621735859630633</v>
      </c>
      <c r="I2402">
        <v>31.782780965365149</v>
      </c>
      <c r="J2402">
        <v>31.62042204778005</v>
      </c>
      <c r="K2402">
        <v>11</v>
      </c>
      <c r="L2402">
        <v>-1</v>
      </c>
      <c r="M2402" t="s">
        <v>69</v>
      </c>
    </row>
    <row r="2403" spans="1:13" x14ac:dyDescent="0.3">
      <c r="A2403" t="s">
        <v>24</v>
      </c>
      <c r="B2403" t="s">
        <v>60</v>
      </c>
      <c r="C2403">
        <v>576.67161894519609</v>
      </c>
      <c r="D2403">
        <v>31.3696069948389</v>
      </c>
      <c r="E2403">
        <v>43.098034779130629</v>
      </c>
      <c r="F2403">
        <v>92.458600615256643</v>
      </c>
      <c r="G2403">
        <v>6.3425279510030217</v>
      </c>
      <c r="H2403">
        <v>79.664610302795239</v>
      </c>
      <c r="I2403">
        <v>31.668886125469431</v>
      </c>
      <c r="J2403">
        <v>31.383852386642729</v>
      </c>
      <c r="K2403">
        <v>11</v>
      </c>
      <c r="L2403">
        <v>-1</v>
      </c>
      <c r="M2403" t="s">
        <v>69</v>
      </c>
    </row>
    <row r="2404" spans="1:13" x14ac:dyDescent="0.3">
      <c r="A2404" t="s">
        <v>24</v>
      </c>
      <c r="B2404" t="s">
        <v>58</v>
      </c>
      <c r="C2404">
        <v>30.942855141065369</v>
      </c>
      <c r="D2404">
        <v>1.043208189748255</v>
      </c>
      <c r="E2404">
        <v>1.7786261582041549</v>
      </c>
      <c r="F2404">
        <v>3.9907835143528332</v>
      </c>
      <c r="G2404">
        <v>5.6995683404520276</v>
      </c>
      <c r="H2404">
        <v>21.024127509168899</v>
      </c>
      <c r="I2404">
        <v>29.58953268068667</v>
      </c>
      <c r="J2404">
        <v>26.171288599085869</v>
      </c>
      <c r="K2404">
        <v>747.39682364200075</v>
      </c>
      <c r="L2404">
        <v>-1</v>
      </c>
      <c r="M2404" t="s">
        <v>69</v>
      </c>
    </row>
    <row r="2405" spans="1:13" x14ac:dyDescent="0.3">
      <c r="A2405" t="s">
        <v>25</v>
      </c>
      <c r="B2405" t="s">
        <v>62</v>
      </c>
      <c r="C2405">
        <v>87.769055822347909</v>
      </c>
      <c r="D2405">
        <v>4.168106538807832</v>
      </c>
      <c r="E2405">
        <v>5.7360066765779791</v>
      </c>
      <c r="F2405">
        <v>15.04873484550961</v>
      </c>
      <c r="G2405">
        <v>6.7718674486765558</v>
      </c>
      <c r="H2405">
        <v>13.935221329633251</v>
      </c>
      <c r="I2405">
        <v>32.230872445343742</v>
      </c>
      <c r="J2405">
        <v>30.353702081038389</v>
      </c>
      <c r="K2405">
        <v>47.514372302172887</v>
      </c>
      <c r="L2405">
        <v>-1</v>
      </c>
      <c r="M2405" t="s">
        <v>69</v>
      </c>
    </row>
    <row r="2406" spans="1:13" x14ac:dyDescent="0.3">
      <c r="A2406" t="s">
        <v>24</v>
      </c>
      <c r="B2406" t="s">
        <v>61</v>
      </c>
      <c r="C2406">
        <v>186.42838662085359</v>
      </c>
      <c r="D2406">
        <v>8.8367231257107104</v>
      </c>
      <c r="E2406">
        <v>12.09502049415806</v>
      </c>
      <c r="F2406">
        <v>28.987014325485841</v>
      </c>
      <c r="G2406">
        <v>6.1647429482619183</v>
      </c>
      <c r="H2406">
        <v>25.08389662691793</v>
      </c>
      <c r="I2406">
        <v>29.50950236968821</v>
      </c>
      <c r="J2406">
        <v>31.49484177686659</v>
      </c>
      <c r="K2406">
        <v>13.982983975955451</v>
      </c>
      <c r="L2406">
        <v>-1</v>
      </c>
      <c r="M2406" t="s">
        <v>69</v>
      </c>
    </row>
    <row r="2407" spans="1:13" x14ac:dyDescent="0.3">
      <c r="A2407" t="s">
        <v>24</v>
      </c>
      <c r="B2407" t="s">
        <v>61</v>
      </c>
      <c r="C2407">
        <v>81.313060604578681</v>
      </c>
      <c r="D2407">
        <v>3.9967482775223711</v>
      </c>
      <c r="E2407">
        <v>5.1131082868854536</v>
      </c>
      <c r="F2407">
        <v>11.49276051477986</v>
      </c>
      <c r="G2407">
        <v>6.1920645878825198</v>
      </c>
      <c r="H2407">
        <v>14.90418686427191</v>
      </c>
      <c r="I2407">
        <v>34.75431419692282</v>
      </c>
      <c r="J2407">
        <v>30.853620130808491</v>
      </c>
      <c r="K2407">
        <v>47.883491733230578</v>
      </c>
      <c r="L2407">
        <v>-1</v>
      </c>
      <c r="M2407" t="s">
        <v>69</v>
      </c>
    </row>
    <row r="2408" spans="1:13" x14ac:dyDescent="0.3">
      <c r="A2408" t="s">
        <v>24</v>
      </c>
      <c r="B2408" t="s">
        <v>61</v>
      </c>
      <c r="C2408">
        <v>121.24989436603791</v>
      </c>
      <c r="D2408">
        <v>6.5958012572689544</v>
      </c>
      <c r="E2408">
        <v>6.7231250252801162</v>
      </c>
      <c r="F2408">
        <v>20.181153286517041</v>
      </c>
      <c r="G2408">
        <v>6.097972425563019</v>
      </c>
      <c r="H2408">
        <v>20.47029579004078</v>
      </c>
      <c r="I2408">
        <v>31.142960468375779</v>
      </c>
      <c r="J2408">
        <v>30.91574557053567</v>
      </c>
      <c r="K2408">
        <v>46.570726786874047</v>
      </c>
      <c r="L2408">
        <v>-1</v>
      </c>
      <c r="M2408" t="s">
        <v>69</v>
      </c>
    </row>
    <row r="2409" spans="1:13" x14ac:dyDescent="0.3">
      <c r="A2409" t="s">
        <v>24</v>
      </c>
      <c r="B2409" t="s">
        <v>59</v>
      </c>
      <c r="C2409">
        <v>357.44302764504249</v>
      </c>
      <c r="D2409">
        <v>18.074522489453781</v>
      </c>
      <c r="E2409">
        <v>23.637651965061679</v>
      </c>
      <c r="F2409">
        <v>52.070965352216597</v>
      </c>
      <c r="G2409">
        <v>5.2698962550711874</v>
      </c>
      <c r="H2409">
        <v>77.419127351380354</v>
      </c>
      <c r="I2409">
        <v>31.330667881786759</v>
      </c>
      <c r="J2409">
        <v>30.96585084983435</v>
      </c>
      <c r="K2409">
        <v>11</v>
      </c>
      <c r="L2409">
        <v>-1</v>
      </c>
      <c r="M2409" t="s">
        <v>69</v>
      </c>
    </row>
    <row r="2410" spans="1:13" x14ac:dyDescent="0.3">
      <c r="A2410" t="s">
        <v>19</v>
      </c>
      <c r="B2410" t="s">
        <v>47</v>
      </c>
      <c r="C2410">
        <v>30.139598430494971</v>
      </c>
      <c r="D2410">
        <v>1.0685845757954611</v>
      </c>
      <c r="E2410">
        <v>1.58940561361206</v>
      </c>
      <c r="F2410">
        <v>3.761936132002095</v>
      </c>
      <c r="G2410">
        <v>5.982514656421615</v>
      </c>
      <c r="H2410">
        <v>21.063788319403852</v>
      </c>
      <c r="I2410">
        <v>30.307272761980212</v>
      </c>
      <c r="J2410">
        <v>26.049738468605799</v>
      </c>
      <c r="K2410">
        <v>735.34078846403042</v>
      </c>
      <c r="L2410">
        <v>-1</v>
      </c>
      <c r="M2410" t="s">
        <v>69</v>
      </c>
    </row>
    <row r="2411" spans="1:13" x14ac:dyDescent="0.3">
      <c r="A2411" t="s">
        <v>24</v>
      </c>
      <c r="B2411" t="s">
        <v>61</v>
      </c>
      <c r="C2411">
        <v>338.04046923298432</v>
      </c>
      <c r="D2411">
        <v>16.01973223480881</v>
      </c>
      <c r="E2411">
        <v>22.974235796461571</v>
      </c>
      <c r="F2411">
        <v>53.975848323577168</v>
      </c>
      <c r="G2411">
        <v>4.3010183033610847</v>
      </c>
      <c r="H2411">
        <v>57.176784003838378</v>
      </c>
      <c r="I2411">
        <v>29.61291107950424</v>
      </c>
      <c r="J2411">
        <v>31.001407092288549</v>
      </c>
      <c r="K2411">
        <v>14.00457259655923</v>
      </c>
      <c r="L2411">
        <v>-1</v>
      </c>
      <c r="M2411" t="s">
        <v>69</v>
      </c>
    </row>
    <row r="2412" spans="1:13" x14ac:dyDescent="0.3">
      <c r="A2412" t="s">
        <v>24</v>
      </c>
      <c r="B2412" t="s">
        <v>58</v>
      </c>
      <c r="C2412">
        <v>31.978533684840929</v>
      </c>
      <c r="D2412">
        <v>1.1009503591989991</v>
      </c>
      <c r="E2412">
        <v>1.944265318253849</v>
      </c>
      <c r="F2412">
        <v>3.640289694154927</v>
      </c>
      <c r="G2412">
        <v>5.9737134938853558</v>
      </c>
      <c r="H2412">
        <v>21.94064711306563</v>
      </c>
      <c r="I2412">
        <v>30.087488911733558</v>
      </c>
      <c r="J2412">
        <v>26.0662191199064</v>
      </c>
      <c r="K2412">
        <v>741.08424434280425</v>
      </c>
      <c r="L2412">
        <v>-1</v>
      </c>
      <c r="M2412" t="s">
        <v>69</v>
      </c>
    </row>
    <row r="2413" spans="1:13" x14ac:dyDescent="0.3">
      <c r="A2413" t="s">
        <v>24</v>
      </c>
      <c r="B2413" t="s">
        <v>61</v>
      </c>
      <c r="C2413">
        <v>679.23717307850063</v>
      </c>
      <c r="D2413">
        <v>35.331238831405507</v>
      </c>
      <c r="E2413">
        <v>45.604531531110538</v>
      </c>
      <c r="F2413">
        <v>114.8096865821865</v>
      </c>
      <c r="G2413">
        <v>6.1562229153711154</v>
      </c>
      <c r="H2413">
        <v>73.997257933072319</v>
      </c>
      <c r="I2413">
        <v>30.378490746265548</v>
      </c>
      <c r="J2413">
        <v>30.179529046303671</v>
      </c>
      <c r="K2413">
        <v>11.00446861131309</v>
      </c>
      <c r="L2413">
        <v>-1</v>
      </c>
      <c r="M2413" t="s">
        <v>69</v>
      </c>
    </row>
    <row r="2414" spans="1:13" x14ac:dyDescent="0.3">
      <c r="A2414" t="s">
        <v>24</v>
      </c>
      <c r="B2414" t="s">
        <v>61</v>
      </c>
      <c r="C2414">
        <v>658.52118108799004</v>
      </c>
      <c r="D2414">
        <v>41.154820397972721</v>
      </c>
      <c r="E2414">
        <v>49.750391756475651</v>
      </c>
      <c r="F2414">
        <v>119.9489187833889</v>
      </c>
      <c r="G2414">
        <v>5.9659505762426406</v>
      </c>
      <c r="H2414">
        <v>71.965103693840547</v>
      </c>
      <c r="I2414">
        <v>29.277897186582969</v>
      </c>
      <c r="J2414">
        <v>30.789996691117341</v>
      </c>
      <c r="K2414">
        <v>11.01415926163622</v>
      </c>
      <c r="L2414">
        <v>-1</v>
      </c>
      <c r="M2414" t="s">
        <v>69</v>
      </c>
    </row>
    <row r="2415" spans="1:13" x14ac:dyDescent="0.3">
      <c r="A2415" t="s">
        <v>24</v>
      </c>
      <c r="B2415" t="s">
        <v>60</v>
      </c>
      <c r="C2415">
        <v>620.33536850656731</v>
      </c>
      <c r="D2415">
        <v>28.287510911797199</v>
      </c>
      <c r="E2415">
        <v>50.171971584553212</v>
      </c>
      <c r="F2415">
        <v>95.106629908107237</v>
      </c>
      <c r="G2415">
        <v>6.0453048903238562</v>
      </c>
      <c r="H2415">
        <v>75.48883749865702</v>
      </c>
      <c r="I2415">
        <v>29.307903253496121</v>
      </c>
      <c r="J2415">
        <v>30.140080512118761</v>
      </c>
      <c r="K2415">
        <v>11.135760872880841</v>
      </c>
      <c r="L2415">
        <v>-1</v>
      </c>
      <c r="M2415" t="s">
        <v>69</v>
      </c>
    </row>
    <row r="2416" spans="1:13" x14ac:dyDescent="0.3">
      <c r="A2416" t="s">
        <v>24</v>
      </c>
      <c r="B2416" t="s">
        <v>61</v>
      </c>
      <c r="C2416">
        <v>123.96503561753811</v>
      </c>
      <c r="D2416">
        <v>6.5670324197854084</v>
      </c>
      <c r="E2416">
        <v>7.707291985297136</v>
      </c>
      <c r="F2416">
        <v>21.085538053593169</v>
      </c>
      <c r="G2416">
        <v>6.1679514125597876</v>
      </c>
      <c r="H2416">
        <v>20.95499847875206</v>
      </c>
      <c r="I2416">
        <v>31.226953638704899</v>
      </c>
      <c r="J2416">
        <v>30.886835249325401</v>
      </c>
      <c r="K2416">
        <v>47.843853607072113</v>
      </c>
      <c r="L2416">
        <v>-1</v>
      </c>
      <c r="M2416" t="s">
        <v>69</v>
      </c>
    </row>
    <row r="2417" spans="1:13" x14ac:dyDescent="0.3">
      <c r="A2417" t="s">
        <v>24</v>
      </c>
      <c r="B2417" t="s">
        <v>61</v>
      </c>
      <c r="C2417">
        <v>340.18105679725898</v>
      </c>
      <c r="D2417">
        <v>17.19658924162427</v>
      </c>
      <c r="E2417">
        <v>23.90494854276772</v>
      </c>
      <c r="F2417">
        <v>54.800324510425639</v>
      </c>
      <c r="G2417">
        <v>4.6010847119351759</v>
      </c>
      <c r="H2417">
        <v>55.257122871196572</v>
      </c>
      <c r="I2417">
        <v>30.856444396907978</v>
      </c>
      <c r="J2417">
        <v>30.919695533670701</v>
      </c>
      <c r="K2417">
        <v>14.072397691045129</v>
      </c>
      <c r="L2417">
        <v>-1</v>
      </c>
      <c r="M2417" t="s">
        <v>69</v>
      </c>
    </row>
    <row r="2418" spans="1:13" x14ac:dyDescent="0.3">
      <c r="A2418" t="s">
        <v>25</v>
      </c>
      <c r="B2418" t="s">
        <v>62</v>
      </c>
      <c r="C2418">
        <v>99.924348478348406</v>
      </c>
      <c r="D2418">
        <v>4.5750926806672902</v>
      </c>
      <c r="E2418">
        <v>7.0965275053574208</v>
      </c>
      <c r="F2418">
        <v>14.348027170791029</v>
      </c>
      <c r="G2418">
        <v>6.7942995574938747</v>
      </c>
      <c r="H2418">
        <v>14.04188115858204</v>
      </c>
      <c r="I2418">
        <v>33.660402298048467</v>
      </c>
      <c r="J2418">
        <v>30.748783608863871</v>
      </c>
      <c r="K2418">
        <v>46.833416995294783</v>
      </c>
      <c r="L2418">
        <v>-1</v>
      </c>
      <c r="M2418" t="s">
        <v>69</v>
      </c>
    </row>
    <row r="2419" spans="1:13" x14ac:dyDescent="0.3">
      <c r="A2419" t="s">
        <v>24</v>
      </c>
      <c r="B2419" t="s">
        <v>59</v>
      </c>
      <c r="C2419">
        <v>352.31564798008787</v>
      </c>
      <c r="D2419">
        <v>17.798143624476349</v>
      </c>
      <c r="E2419">
        <v>24.09516840051867</v>
      </c>
      <c r="F2419">
        <v>53.765082382289542</v>
      </c>
      <c r="G2419">
        <v>5.2344861358549286</v>
      </c>
      <c r="H2419">
        <v>78.698316433185084</v>
      </c>
      <c r="I2419">
        <v>31.781042889145311</v>
      </c>
      <c r="J2419">
        <v>31.167621784316161</v>
      </c>
      <c r="K2419">
        <v>11</v>
      </c>
      <c r="L2419">
        <v>-1</v>
      </c>
      <c r="M2419" t="s">
        <v>69</v>
      </c>
    </row>
    <row r="2420" spans="1:13" x14ac:dyDescent="0.3">
      <c r="A2420" t="s">
        <v>24</v>
      </c>
      <c r="B2420" t="s">
        <v>61</v>
      </c>
      <c r="C2420">
        <v>332.73163422026789</v>
      </c>
      <c r="D2420">
        <v>17.977831019560242</v>
      </c>
      <c r="E2420">
        <v>24.54738139196192</v>
      </c>
      <c r="F2420">
        <v>43.229004140972727</v>
      </c>
      <c r="G2420">
        <v>4.3843376139477659</v>
      </c>
      <c r="H2420">
        <v>57.464102031102676</v>
      </c>
      <c r="I2420">
        <v>29.81310896485795</v>
      </c>
      <c r="J2420">
        <v>32.071344104743417</v>
      </c>
      <c r="K2420">
        <v>14.079062700688381</v>
      </c>
      <c r="L2420">
        <v>-1</v>
      </c>
      <c r="M2420" t="s">
        <v>69</v>
      </c>
    </row>
    <row r="2421" spans="1:13" x14ac:dyDescent="0.3">
      <c r="A2421" t="s">
        <v>25</v>
      </c>
      <c r="B2421" t="s">
        <v>62</v>
      </c>
      <c r="C2421">
        <v>95.770299350747749</v>
      </c>
      <c r="D2421">
        <v>3.8768735133996288</v>
      </c>
      <c r="E2421">
        <v>6.4548572826524184</v>
      </c>
      <c r="F2421">
        <v>14.21367354455626</v>
      </c>
      <c r="G2421">
        <v>6.960209098042105</v>
      </c>
      <c r="H2421">
        <v>14.498586477973261</v>
      </c>
      <c r="I2421">
        <v>33.42464341569724</v>
      </c>
      <c r="J2421">
        <v>30.99101472382285</v>
      </c>
      <c r="K2421">
        <v>47.804957604617812</v>
      </c>
      <c r="L2421">
        <v>-1</v>
      </c>
      <c r="M2421" t="s">
        <v>69</v>
      </c>
    </row>
    <row r="2422" spans="1:13" x14ac:dyDescent="0.3">
      <c r="A2422" t="s">
        <v>24</v>
      </c>
      <c r="B2422" t="s">
        <v>60</v>
      </c>
      <c r="C2422">
        <v>496.7568490196395</v>
      </c>
      <c r="D2422">
        <v>23.291918035083778</v>
      </c>
      <c r="E2422">
        <v>38.963010506141117</v>
      </c>
      <c r="F2422">
        <v>79.710194594100045</v>
      </c>
      <c r="G2422">
        <v>5.3576894933967258</v>
      </c>
      <c r="H2422">
        <v>67.118104791639695</v>
      </c>
      <c r="I2422">
        <v>31.246950937378671</v>
      </c>
      <c r="J2422">
        <v>30.789070070819498</v>
      </c>
      <c r="K2422">
        <v>11</v>
      </c>
      <c r="L2422">
        <v>-1</v>
      </c>
      <c r="M2422" t="s">
        <v>69</v>
      </c>
    </row>
    <row r="2423" spans="1:13" x14ac:dyDescent="0.3">
      <c r="A2423" t="s">
        <v>24</v>
      </c>
      <c r="B2423" t="s">
        <v>59</v>
      </c>
      <c r="C2423">
        <v>350.62464400751679</v>
      </c>
      <c r="D2423">
        <v>17.060503451604141</v>
      </c>
      <c r="E2423">
        <v>24.410206270162391</v>
      </c>
      <c r="F2423">
        <v>56.160782254237859</v>
      </c>
      <c r="G2423">
        <v>5.2049566023037031</v>
      </c>
      <c r="H2423">
        <v>75.383946619516053</v>
      </c>
      <c r="I2423">
        <v>30.691594189247041</v>
      </c>
      <c r="J2423">
        <v>30.909766394602489</v>
      </c>
      <c r="K2423">
        <v>11</v>
      </c>
      <c r="L2423">
        <v>-1</v>
      </c>
      <c r="M2423" t="s">
        <v>69</v>
      </c>
    </row>
    <row r="2424" spans="1:13" x14ac:dyDescent="0.3">
      <c r="A2424" t="s">
        <v>24</v>
      </c>
      <c r="B2424" t="s">
        <v>61</v>
      </c>
      <c r="C2424">
        <v>191.94895586056009</v>
      </c>
      <c r="D2424">
        <v>8.5031375938312301</v>
      </c>
      <c r="E2424">
        <v>10.9281076245401</v>
      </c>
      <c r="F2424">
        <v>26.57125430779892</v>
      </c>
      <c r="G2424">
        <v>6.1424995172403989</v>
      </c>
      <c r="H2424">
        <v>25.01349898328586</v>
      </c>
      <c r="I2424">
        <v>30.608638688487069</v>
      </c>
      <c r="J2424">
        <v>31.91322958441139</v>
      </c>
      <c r="K2424">
        <v>14.137664701452421</v>
      </c>
      <c r="L2424">
        <v>-1</v>
      </c>
      <c r="M2424" t="s">
        <v>69</v>
      </c>
    </row>
    <row r="2425" spans="1:13" x14ac:dyDescent="0.3">
      <c r="A2425" t="s">
        <v>25</v>
      </c>
      <c r="B2425" t="s">
        <v>62</v>
      </c>
      <c r="C2425">
        <v>88.816545442723239</v>
      </c>
      <c r="D2425">
        <v>4.0666790568278044</v>
      </c>
      <c r="E2425">
        <v>5.5767310032063362</v>
      </c>
      <c r="F2425">
        <v>13.88239412830359</v>
      </c>
      <c r="G2425">
        <v>6.8300241187242738</v>
      </c>
      <c r="H2425">
        <v>13.9526068590515</v>
      </c>
      <c r="I2425">
        <v>30.189895847183021</v>
      </c>
      <c r="J2425">
        <v>32.129319644652099</v>
      </c>
      <c r="K2425">
        <v>46.864376391083617</v>
      </c>
      <c r="L2425">
        <v>-1</v>
      </c>
      <c r="M2425" t="s">
        <v>69</v>
      </c>
    </row>
    <row r="2426" spans="1:13" x14ac:dyDescent="0.3">
      <c r="A2426" t="s">
        <v>25</v>
      </c>
      <c r="B2426" t="s">
        <v>62</v>
      </c>
      <c r="C2426">
        <v>91.76551244612277</v>
      </c>
      <c r="D2426">
        <v>3.7620016648273369</v>
      </c>
      <c r="E2426">
        <v>6.2437921846332181</v>
      </c>
      <c r="F2426">
        <v>14.69727390397447</v>
      </c>
      <c r="G2426">
        <v>6.7092542867197116</v>
      </c>
      <c r="H2426">
        <v>13.9138520538483</v>
      </c>
      <c r="I2426">
        <v>31.182616296267351</v>
      </c>
      <c r="J2426">
        <v>31.387573018072711</v>
      </c>
      <c r="K2426">
        <v>47.924185339047433</v>
      </c>
      <c r="L2426">
        <v>-1</v>
      </c>
      <c r="M2426" t="s">
        <v>69</v>
      </c>
    </row>
    <row r="2427" spans="1:13" x14ac:dyDescent="0.3">
      <c r="A2427" t="s">
        <v>24</v>
      </c>
      <c r="B2427" t="s">
        <v>61</v>
      </c>
      <c r="C2427">
        <v>338.98318407761712</v>
      </c>
      <c r="D2427">
        <v>17.697282027660599</v>
      </c>
      <c r="E2427">
        <v>21.195276299005041</v>
      </c>
      <c r="F2427">
        <v>51.520131215645549</v>
      </c>
      <c r="G2427">
        <v>4.3604457558281071</v>
      </c>
      <c r="H2427">
        <v>55.533141149247371</v>
      </c>
      <c r="I2427">
        <v>30.46028054247757</v>
      </c>
      <c r="J2427">
        <v>31.212280990621831</v>
      </c>
      <c r="K2427">
        <v>14.230619372223151</v>
      </c>
      <c r="L2427">
        <v>-1</v>
      </c>
      <c r="M2427" t="s">
        <v>69</v>
      </c>
    </row>
    <row r="2428" spans="1:13" x14ac:dyDescent="0.3">
      <c r="A2428" t="s">
        <v>19</v>
      </c>
      <c r="B2428" t="s">
        <v>46</v>
      </c>
      <c r="C2428">
        <v>28.01273473707613</v>
      </c>
      <c r="D2428">
        <v>1.0079669095279</v>
      </c>
      <c r="E2428">
        <v>0.95066588699472376</v>
      </c>
      <c r="F2428">
        <v>3.2452478853545621</v>
      </c>
      <c r="G2428">
        <v>5.9906161462294394</v>
      </c>
      <c r="H2428">
        <v>20.341542817885191</v>
      </c>
      <c r="I2428">
        <v>31.311349434850982</v>
      </c>
      <c r="J2428">
        <v>26.570771124971429</v>
      </c>
      <c r="K2428">
        <v>738.61721815257658</v>
      </c>
      <c r="L2428">
        <v>-1</v>
      </c>
      <c r="M2428" t="s">
        <v>69</v>
      </c>
    </row>
    <row r="2429" spans="1:13" x14ac:dyDescent="0.3">
      <c r="A2429" t="s">
        <v>24</v>
      </c>
      <c r="B2429" t="s">
        <v>61</v>
      </c>
      <c r="C2429">
        <v>338.69443566303681</v>
      </c>
      <c r="D2429">
        <v>17.149749259773539</v>
      </c>
      <c r="E2429">
        <v>22.558423496105689</v>
      </c>
      <c r="F2429">
        <v>53.206117283109698</v>
      </c>
      <c r="G2429">
        <v>4.5782184911539527</v>
      </c>
      <c r="H2429">
        <v>54.775095983424343</v>
      </c>
      <c r="I2429">
        <v>29.75666667978264</v>
      </c>
      <c r="J2429">
        <v>30.798332139500591</v>
      </c>
      <c r="K2429">
        <v>14.236376466775029</v>
      </c>
      <c r="L2429">
        <v>-1</v>
      </c>
      <c r="M2429" t="s">
        <v>69</v>
      </c>
    </row>
    <row r="2430" spans="1:13" x14ac:dyDescent="0.3">
      <c r="A2430" t="s">
        <v>24</v>
      </c>
      <c r="B2430" t="s">
        <v>59</v>
      </c>
      <c r="C2430">
        <v>341.08229348820322</v>
      </c>
      <c r="D2430">
        <v>16.25002888016984</v>
      </c>
      <c r="E2430">
        <v>24.323068935633721</v>
      </c>
      <c r="F2430">
        <v>55.260315805209338</v>
      </c>
      <c r="G2430">
        <v>5.2209547007555122</v>
      </c>
      <c r="H2430">
        <v>75.037323636437463</v>
      </c>
      <c r="I2430">
        <v>29.4192643329018</v>
      </c>
      <c r="J2430">
        <v>30.704072635175489</v>
      </c>
      <c r="K2430">
        <v>11.39978564016906</v>
      </c>
      <c r="L2430">
        <v>-1</v>
      </c>
      <c r="M2430" t="s">
        <v>69</v>
      </c>
    </row>
    <row r="2431" spans="1:13" x14ac:dyDescent="0.3">
      <c r="A2431" t="s">
        <v>24</v>
      </c>
      <c r="B2431" t="s">
        <v>60</v>
      </c>
      <c r="C2431">
        <v>558.49594938043595</v>
      </c>
      <c r="D2431">
        <v>26.225399015862109</v>
      </c>
      <c r="E2431">
        <v>35.264812338970792</v>
      </c>
      <c r="F2431">
        <v>99.372633767389118</v>
      </c>
      <c r="G2431">
        <v>6.1342423063982476</v>
      </c>
      <c r="H2431">
        <v>79.343570042002014</v>
      </c>
      <c r="I2431">
        <v>30.722298040354332</v>
      </c>
      <c r="J2431">
        <v>29.034041006628101</v>
      </c>
      <c r="K2431">
        <v>11</v>
      </c>
      <c r="L2431">
        <v>-1</v>
      </c>
      <c r="M2431" t="s">
        <v>69</v>
      </c>
    </row>
    <row r="2432" spans="1:13" x14ac:dyDescent="0.3">
      <c r="A2432" t="s">
        <v>24</v>
      </c>
      <c r="B2432" t="s">
        <v>59</v>
      </c>
      <c r="C2432">
        <v>351.19362168246289</v>
      </c>
      <c r="D2432">
        <v>17.22344932036383</v>
      </c>
      <c r="E2432">
        <v>24.083008944006821</v>
      </c>
      <c r="F2432">
        <v>55.375629792489953</v>
      </c>
      <c r="G2432">
        <v>5.2076649525679226</v>
      </c>
      <c r="H2432">
        <v>76.315123711176795</v>
      </c>
      <c r="I2432">
        <v>30.886319320364869</v>
      </c>
      <c r="J2432">
        <v>31.00903354742168</v>
      </c>
      <c r="K2432">
        <v>11</v>
      </c>
      <c r="L2432">
        <v>-1</v>
      </c>
      <c r="M2432" t="s">
        <v>69</v>
      </c>
    </row>
    <row r="2433" spans="1:13" x14ac:dyDescent="0.3">
      <c r="A2433" t="s">
        <v>24</v>
      </c>
      <c r="B2433" t="s">
        <v>61</v>
      </c>
      <c r="C2433">
        <v>337.00746476699578</v>
      </c>
      <c r="D2433">
        <v>16.019347728580691</v>
      </c>
      <c r="E2433">
        <v>23.0577400644307</v>
      </c>
      <c r="F2433">
        <v>54.111997965648889</v>
      </c>
      <c r="G2433">
        <v>4.3041898957070046</v>
      </c>
      <c r="H2433">
        <v>57.290683634297473</v>
      </c>
      <c r="I2433">
        <v>29.611828111128268</v>
      </c>
      <c r="J2433">
        <v>30.980974980376999</v>
      </c>
      <c r="K2433">
        <v>13.989647773305251</v>
      </c>
      <c r="L2433">
        <v>-1</v>
      </c>
      <c r="M2433" t="s">
        <v>69</v>
      </c>
    </row>
    <row r="2434" spans="1:13" x14ac:dyDescent="0.3">
      <c r="A2434" t="s">
        <v>24</v>
      </c>
      <c r="B2434" t="s">
        <v>61</v>
      </c>
      <c r="C2434">
        <v>667.07535607651403</v>
      </c>
      <c r="D2434">
        <v>39.714772395342223</v>
      </c>
      <c r="E2434">
        <v>53.117130581604833</v>
      </c>
      <c r="F2434">
        <v>120.5266736363476</v>
      </c>
      <c r="G2434">
        <v>5.89229308548963</v>
      </c>
      <c r="H2434">
        <v>71.475756530832825</v>
      </c>
      <c r="I2434">
        <v>29.955051951295189</v>
      </c>
      <c r="J2434">
        <v>31.513042811339819</v>
      </c>
      <c r="K2434">
        <v>11.029895621473541</v>
      </c>
      <c r="L2434">
        <v>-1</v>
      </c>
      <c r="M2434" t="s">
        <v>69</v>
      </c>
    </row>
    <row r="2435" spans="1:13" x14ac:dyDescent="0.3">
      <c r="A2435" t="s">
        <v>24</v>
      </c>
      <c r="B2435" t="s">
        <v>59</v>
      </c>
      <c r="C2435">
        <v>345.87473643661349</v>
      </c>
      <c r="D2435">
        <v>17.126999463435642</v>
      </c>
      <c r="E2435">
        <v>23.836441284377901</v>
      </c>
      <c r="F2435">
        <v>57.12760057325643</v>
      </c>
      <c r="G2435">
        <v>5.1968641554582877</v>
      </c>
      <c r="H2435">
        <v>75.812582284988139</v>
      </c>
      <c r="I2435">
        <v>30.434681120171021</v>
      </c>
      <c r="J2435">
        <v>30.820821981129811</v>
      </c>
      <c r="K2435">
        <v>11.03556351843349</v>
      </c>
      <c r="L2435">
        <v>-1</v>
      </c>
      <c r="M2435" t="s">
        <v>69</v>
      </c>
    </row>
    <row r="2436" spans="1:13" x14ac:dyDescent="0.3">
      <c r="A2436" t="s">
        <v>24</v>
      </c>
      <c r="B2436" t="s">
        <v>61</v>
      </c>
      <c r="C2436">
        <v>333.48390648578982</v>
      </c>
      <c r="D2436">
        <v>16.942589968864318</v>
      </c>
      <c r="E2436">
        <v>23.403917329910261</v>
      </c>
      <c r="F2436">
        <v>60.845999155882517</v>
      </c>
      <c r="G2436">
        <v>4.5114836535319043</v>
      </c>
      <c r="H2436">
        <v>55.855141512376413</v>
      </c>
      <c r="I2436">
        <v>30.196628204364039</v>
      </c>
      <c r="J2436">
        <v>31.18174212276892</v>
      </c>
      <c r="K2436">
        <v>13.87505215051215</v>
      </c>
      <c r="L2436">
        <v>-1</v>
      </c>
      <c r="M2436" t="s">
        <v>69</v>
      </c>
    </row>
    <row r="2437" spans="1:13" x14ac:dyDescent="0.3">
      <c r="A2437" t="s">
        <v>25</v>
      </c>
      <c r="B2437" t="s">
        <v>62</v>
      </c>
      <c r="C2437">
        <v>90.973682052275279</v>
      </c>
      <c r="D2437">
        <v>4.215781280417656</v>
      </c>
      <c r="E2437">
        <v>6.4036983913904511</v>
      </c>
      <c r="F2437">
        <v>13.635134873866971</v>
      </c>
      <c r="G2437">
        <v>6.7338165890015702</v>
      </c>
      <c r="H2437">
        <v>14.59815628900628</v>
      </c>
      <c r="I2437">
        <v>33.953155221128547</v>
      </c>
      <c r="J2437">
        <v>31.793832059594639</v>
      </c>
      <c r="K2437">
        <v>49.590960108833997</v>
      </c>
      <c r="L2437">
        <v>-1</v>
      </c>
      <c r="M2437" t="s">
        <v>69</v>
      </c>
    </row>
    <row r="2438" spans="1:13" x14ac:dyDescent="0.3">
      <c r="A2438" t="s">
        <v>24</v>
      </c>
      <c r="B2438" t="s">
        <v>61</v>
      </c>
      <c r="C2438">
        <v>73.919471510456589</v>
      </c>
      <c r="D2438">
        <v>4.4898090450142254</v>
      </c>
      <c r="E2438">
        <v>4.9654306460579489</v>
      </c>
      <c r="F2438">
        <v>12.85950172666657</v>
      </c>
      <c r="G2438">
        <v>6.1509303454256727</v>
      </c>
      <c r="H2438">
        <v>14.869407563497591</v>
      </c>
      <c r="I2438">
        <v>35.120078514450512</v>
      </c>
      <c r="J2438">
        <v>31.796835965548841</v>
      </c>
      <c r="K2438">
        <v>50.337905588137353</v>
      </c>
      <c r="L2438">
        <v>-1</v>
      </c>
      <c r="M2438" t="s">
        <v>69</v>
      </c>
    </row>
    <row r="2439" spans="1:13" x14ac:dyDescent="0.3">
      <c r="A2439" t="s">
        <v>24</v>
      </c>
      <c r="B2439" t="s">
        <v>59</v>
      </c>
      <c r="C2439">
        <v>374.15920240897498</v>
      </c>
      <c r="D2439">
        <v>17.65323756591134</v>
      </c>
      <c r="E2439">
        <v>23.793690139033359</v>
      </c>
      <c r="F2439">
        <v>49.415409482324698</v>
      </c>
      <c r="G2439">
        <v>5.3239173856592998</v>
      </c>
      <c r="H2439">
        <v>75.208193514408322</v>
      </c>
      <c r="I2439">
        <v>30.149803138718429</v>
      </c>
      <c r="J2439">
        <v>31.28026614307575</v>
      </c>
      <c r="K2439">
        <v>11</v>
      </c>
      <c r="L2439">
        <v>-1</v>
      </c>
      <c r="M2439" t="s">
        <v>69</v>
      </c>
    </row>
    <row r="2440" spans="1:13" x14ac:dyDescent="0.3">
      <c r="A2440" t="s">
        <v>24</v>
      </c>
      <c r="B2440" t="s">
        <v>60</v>
      </c>
      <c r="C2440">
        <v>574.80705941843087</v>
      </c>
      <c r="D2440">
        <v>27.58000201894755</v>
      </c>
      <c r="E2440">
        <v>42.511821820874268</v>
      </c>
      <c r="F2440">
        <v>94.88914356029278</v>
      </c>
      <c r="G2440">
        <v>6.2518590500052964</v>
      </c>
      <c r="H2440">
        <v>87.872008980679681</v>
      </c>
      <c r="I2440">
        <v>30.865473375760441</v>
      </c>
      <c r="J2440">
        <v>31.389124910040898</v>
      </c>
      <c r="K2440">
        <v>11.153226072093499</v>
      </c>
      <c r="L2440">
        <v>-1</v>
      </c>
      <c r="M2440" t="s">
        <v>69</v>
      </c>
    </row>
    <row r="2441" spans="1:13" x14ac:dyDescent="0.3">
      <c r="A2441" t="s">
        <v>24</v>
      </c>
      <c r="B2441" t="s">
        <v>61</v>
      </c>
      <c r="C2441">
        <v>189.74569087027109</v>
      </c>
      <c r="D2441">
        <v>8.6990004818977305</v>
      </c>
      <c r="E2441">
        <v>11.07030296702883</v>
      </c>
      <c r="F2441">
        <v>27.036538469217142</v>
      </c>
      <c r="G2441">
        <v>6.1754215750245791</v>
      </c>
      <c r="H2441">
        <v>25.447386028698549</v>
      </c>
      <c r="I2441">
        <v>30.475514179179761</v>
      </c>
      <c r="J2441">
        <v>31.431171651451411</v>
      </c>
      <c r="K2441">
        <v>14.122418767424509</v>
      </c>
      <c r="L2441">
        <v>-1</v>
      </c>
      <c r="M2441" t="s">
        <v>69</v>
      </c>
    </row>
    <row r="2442" spans="1:13" x14ac:dyDescent="0.3">
      <c r="A2442" t="s">
        <v>24</v>
      </c>
      <c r="B2442" t="s">
        <v>60</v>
      </c>
      <c r="C2442">
        <v>574.5195183711362</v>
      </c>
      <c r="D2442">
        <v>26.635918252913541</v>
      </c>
      <c r="E2442">
        <v>34.566746072096819</v>
      </c>
      <c r="F2442">
        <v>98.840284143841757</v>
      </c>
      <c r="G2442">
        <v>6.0867675633701142</v>
      </c>
      <c r="H2442">
        <v>77.86076720300693</v>
      </c>
      <c r="I2442">
        <v>30.005551345098802</v>
      </c>
      <c r="J2442">
        <v>29.747330597748789</v>
      </c>
      <c r="K2442">
        <v>11.206805059086721</v>
      </c>
      <c r="L2442">
        <v>-1</v>
      </c>
      <c r="M2442" t="s">
        <v>69</v>
      </c>
    </row>
    <row r="2443" spans="1:13" x14ac:dyDescent="0.3">
      <c r="A2443" t="s">
        <v>24</v>
      </c>
      <c r="B2443" t="s">
        <v>58</v>
      </c>
      <c r="C2443">
        <v>27.336999766942242</v>
      </c>
      <c r="D2443">
        <v>1.050014246588133</v>
      </c>
      <c r="E2443">
        <v>1.2868281325822579</v>
      </c>
      <c r="F2443">
        <v>4.3125825793846069</v>
      </c>
      <c r="G2443">
        <v>6.0348191320002842</v>
      </c>
      <c r="H2443">
        <v>20.354083460484802</v>
      </c>
      <c r="I2443">
        <v>31.852855394707429</v>
      </c>
      <c r="J2443">
        <v>24.95071365866848</v>
      </c>
      <c r="K2443">
        <v>751.18417667760002</v>
      </c>
      <c r="L2443">
        <v>-1</v>
      </c>
      <c r="M2443" t="s">
        <v>69</v>
      </c>
    </row>
    <row r="2444" spans="1:13" x14ac:dyDescent="0.3">
      <c r="A2444" t="s">
        <v>24</v>
      </c>
      <c r="B2444" t="s">
        <v>61</v>
      </c>
      <c r="C2444">
        <v>343.1231181618187</v>
      </c>
      <c r="D2444">
        <v>16.6031844755273</v>
      </c>
      <c r="E2444">
        <v>26.578966877855532</v>
      </c>
      <c r="F2444">
        <v>49.028838100043252</v>
      </c>
      <c r="G2444">
        <v>4.4633783452893159</v>
      </c>
      <c r="H2444">
        <v>58.223189785499457</v>
      </c>
      <c r="I2444">
        <v>29.564624718360299</v>
      </c>
      <c r="J2444">
        <v>32.043049365362563</v>
      </c>
      <c r="K2444">
        <v>14.06176826342357</v>
      </c>
      <c r="L2444">
        <v>-1</v>
      </c>
      <c r="M2444" t="s">
        <v>69</v>
      </c>
    </row>
    <row r="2445" spans="1:13" x14ac:dyDescent="0.3">
      <c r="A2445" t="s">
        <v>24</v>
      </c>
      <c r="B2445" t="s">
        <v>61</v>
      </c>
      <c r="C2445">
        <v>86.223310219012092</v>
      </c>
      <c r="D2445">
        <v>3.9651746247112958</v>
      </c>
      <c r="E2445">
        <v>4.7942020260469604</v>
      </c>
      <c r="F2445">
        <v>11.09971346685114</v>
      </c>
      <c r="G2445">
        <v>6.1813552392118982</v>
      </c>
      <c r="H2445">
        <v>15.227754492205809</v>
      </c>
      <c r="I2445">
        <v>34.796508582432963</v>
      </c>
      <c r="J2445">
        <v>30.167240270493942</v>
      </c>
      <c r="K2445">
        <v>48.572989738390561</v>
      </c>
      <c r="L2445">
        <v>-1</v>
      </c>
      <c r="M2445" t="s">
        <v>69</v>
      </c>
    </row>
    <row r="2446" spans="1:13" x14ac:dyDescent="0.3">
      <c r="A2446" t="s">
        <v>24</v>
      </c>
      <c r="B2446" t="s">
        <v>60</v>
      </c>
      <c r="C2446">
        <v>603.49697012912554</v>
      </c>
      <c r="D2446">
        <v>26.753212165570151</v>
      </c>
      <c r="E2446">
        <v>45.800671323305181</v>
      </c>
      <c r="F2446">
        <v>85.923847914735518</v>
      </c>
      <c r="G2446">
        <v>6.0780798462908878</v>
      </c>
      <c r="H2446">
        <v>78.663045509795197</v>
      </c>
      <c r="I2446">
        <v>30.22600831231189</v>
      </c>
      <c r="J2446">
        <v>31.142168014721019</v>
      </c>
      <c r="K2446">
        <v>11.0423382730005</v>
      </c>
      <c r="L2446">
        <v>-1</v>
      </c>
      <c r="M2446" t="s">
        <v>69</v>
      </c>
    </row>
    <row r="2447" spans="1:13" x14ac:dyDescent="0.3">
      <c r="A2447" t="s">
        <v>24</v>
      </c>
      <c r="B2447" t="s">
        <v>61</v>
      </c>
      <c r="C2447">
        <v>331.05022693004071</v>
      </c>
      <c r="D2447">
        <v>17.971949666974449</v>
      </c>
      <c r="E2447">
        <v>23.063029564246321</v>
      </c>
      <c r="F2447">
        <v>54.959437810290922</v>
      </c>
      <c r="G2447">
        <v>5.3155758440329262</v>
      </c>
      <c r="H2447">
        <v>72.48228546338575</v>
      </c>
      <c r="I2447">
        <v>30.909360371515259</v>
      </c>
      <c r="J2447">
        <v>31.74570164966212</v>
      </c>
      <c r="K2447">
        <v>11</v>
      </c>
      <c r="L2447">
        <v>-1</v>
      </c>
      <c r="M2447" t="s">
        <v>69</v>
      </c>
    </row>
    <row r="2448" spans="1:13" x14ac:dyDescent="0.3">
      <c r="A2448" t="s">
        <v>19</v>
      </c>
      <c r="B2448" t="s">
        <v>46</v>
      </c>
      <c r="C2448">
        <v>43.682579498697393</v>
      </c>
      <c r="D2448">
        <v>1.6507103491263431</v>
      </c>
      <c r="E2448">
        <v>2.830747182741459</v>
      </c>
      <c r="F2448">
        <v>2.7973428263406088</v>
      </c>
      <c r="G2448">
        <v>6.0692482321772419</v>
      </c>
      <c r="H2448">
        <v>21.33835455358922</v>
      </c>
      <c r="I2448">
        <v>30.225119396103121</v>
      </c>
      <c r="J2448">
        <v>26.22846167220543</v>
      </c>
      <c r="K2448">
        <v>737.57049378612578</v>
      </c>
      <c r="L2448">
        <v>-1</v>
      </c>
      <c r="M2448" t="s">
        <v>69</v>
      </c>
    </row>
    <row r="2449" spans="1:13" x14ac:dyDescent="0.3">
      <c r="A2449" t="s">
        <v>25</v>
      </c>
      <c r="B2449" t="s">
        <v>62</v>
      </c>
      <c r="C2449">
        <v>91.208478613706134</v>
      </c>
      <c r="D2449">
        <v>4.0410624001737663</v>
      </c>
      <c r="E2449">
        <v>6.2546020058777234</v>
      </c>
      <c r="F2449">
        <v>12.358939799858099</v>
      </c>
      <c r="G2449">
        <v>6.8817255261554209</v>
      </c>
      <c r="H2449">
        <v>14.08122149945072</v>
      </c>
      <c r="I2449">
        <v>33.356477619663742</v>
      </c>
      <c r="J2449">
        <v>30.492542980597431</v>
      </c>
      <c r="K2449">
        <v>47.3878964874948</v>
      </c>
      <c r="L2449">
        <v>-1</v>
      </c>
      <c r="M2449" t="s">
        <v>69</v>
      </c>
    </row>
    <row r="2450" spans="1:13" x14ac:dyDescent="0.3">
      <c r="A2450" t="s">
        <v>19</v>
      </c>
      <c r="B2450" t="s">
        <v>47</v>
      </c>
      <c r="C2450">
        <v>31.33843539175643</v>
      </c>
      <c r="D2450">
        <v>1.094773187573775</v>
      </c>
      <c r="E2450">
        <v>1.8144666366747231</v>
      </c>
      <c r="F2450">
        <v>3.671032861913583</v>
      </c>
      <c r="G2450">
        <v>5.975837982118775</v>
      </c>
      <c r="H2450">
        <v>21.622727170856731</v>
      </c>
      <c r="I2450">
        <v>30.157312205222631</v>
      </c>
      <c r="J2450">
        <v>26.06873080660101</v>
      </c>
      <c r="K2450">
        <v>738.52566886135128</v>
      </c>
      <c r="L2450">
        <v>-1</v>
      </c>
      <c r="M2450" t="s">
        <v>69</v>
      </c>
    </row>
    <row r="2451" spans="1:13" x14ac:dyDescent="0.3">
      <c r="A2451" t="s">
        <v>24</v>
      </c>
      <c r="B2451" t="s">
        <v>59</v>
      </c>
      <c r="C2451">
        <v>349.14503160425357</v>
      </c>
      <c r="D2451">
        <v>17.026320870374899</v>
      </c>
      <c r="E2451">
        <v>23.966102157945279</v>
      </c>
      <c r="F2451">
        <v>56.233697274936851</v>
      </c>
      <c r="G2451">
        <v>5.1993500905006584</v>
      </c>
      <c r="H2451">
        <v>75.485508430889226</v>
      </c>
      <c r="I2451">
        <v>30.565737360703832</v>
      </c>
      <c r="J2451">
        <v>30.962865028866009</v>
      </c>
      <c r="K2451">
        <v>11.00737060404367</v>
      </c>
      <c r="L2451">
        <v>-1</v>
      </c>
      <c r="M2451" t="s">
        <v>69</v>
      </c>
    </row>
    <row r="2452" spans="1:13" x14ac:dyDescent="0.3">
      <c r="A2452" t="s">
        <v>24</v>
      </c>
      <c r="B2452" t="s">
        <v>60</v>
      </c>
      <c r="C2452">
        <v>584.85545444372826</v>
      </c>
      <c r="D2452">
        <v>29.4850388500967</v>
      </c>
      <c r="E2452">
        <v>39.26349248408782</v>
      </c>
      <c r="F2452">
        <v>99.504431854798867</v>
      </c>
      <c r="G2452">
        <v>6.1364290514274789</v>
      </c>
      <c r="H2452">
        <v>81.53422884120377</v>
      </c>
      <c r="I2452">
        <v>31.302246694728709</v>
      </c>
      <c r="J2452">
        <v>30.831300070458539</v>
      </c>
      <c r="K2452">
        <v>11</v>
      </c>
      <c r="L2452">
        <v>-1</v>
      </c>
      <c r="M2452" t="s">
        <v>69</v>
      </c>
    </row>
    <row r="2453" spans="1:13" x14ac:dyDescent="0.3">
      <c r="A2453" t="s">
        <v>24</v>
      </c>
      <c r="B2453" t="s">
        <v>61</v>
      </c>
      <c r="C2453">
        <v>84.797229509004936</v>
      </c>
      <c r="D2453">
        <v>3.9613163240796352</v>
      </c>
      <c r="E2453">
        <v>4.9093716920468404</v>
      </c>
      <c r="F2453">
        <v>11.605900613417811</v>
      </c>
      <c r="G2453">
        <v>6.1912758456372998</v>
      </c>
      <c r="H2453">
        <v>15.134463686762571</v>
      </c>
      <c r="I2453">
        <v>34.807466326578123</v>
      </c>
      <c r="J2453">
        <v>30.41383420625273</v>
      </c>
      <c r="K2453">
        <v>48.321349931382429</v>
      </c>
      <c r="L2453">
        <v>-1</v>
      </c>
      <c r="M2453" t="s">
        <v>69</v>
      </c>
    </row>
    <row r="2454" spans="1:13" x14ac:dyDescent="0.3">
      <c r="A2454" t="s">
        <v>24</v>
      </c>
      <c r="B2454" t="s">
        <v>61</v>
      </c>
      <c r="C2454">
        <v>75.206165085471511</v>
      </c>
      <c r="D2454">
        <v>4.2484909687277623</v>
      </c>
      <c r="E2454">
        <v>4.9219457117088004</v>
      </c>
      <c r="F2454">
        <v>12.3953149255118</v>
      </c>
      <c r="G2454">
        <v>6.1204975179807199</v>
      </c>
      <c r="H2454">
        <v>14.800373621702921</v>
      </c>
      <c r="I2454">
        <v>34.197821251744607</v>
      </c>
      <c r="J2454">
        <v>31.39099759274427</v>
      </c>
      <c r="K2454">
        <v>46.698984515505117</v>
      </c>
      <c r="L2454">
        <v>-1</v>
      </c>
      <c r="M2454" t="s">
        <v>69</v>
      </c>
    </row>
    <row r="2455" spans="1:13" x14ac:dyDescent="0.3">
      <c r="A2455" t="s">
        <v>24</v>
      </c>
      <c r="B2455" t="s">
        <v>61</v>
      </c>
      <c r="C2455">
        <v>80.467534648339679</v>
      </c>
      <c r="D2455">
        <v>4.4465011539978399</v>
      </c>
      <c r="E2455">
        <v>5.1553129735158727</v>
      </c>
      <c r="F2455">
        <v>10.80577555739761</v>
      </c>
      <c r="G2455">
        <v>6.3644434319622007</v>
      </c>
      <c r="H2455">
        <v>14.558257424095221</v>
      </c>
      <c r="I2455">
        <v>34.78833072267382</v>
      </c>
      <c r="J2455">
        <v>30.936627831527179</v>
      </c>
      <c r="K2455">
        <v>47.932410588786752</v>
      </c>
      <c r="L2455">
        <v>-1</v>
      </c>
      <c r="M2455" t="s">
        <v>69</v>
      </c>
    </row>
    <row r="2456" spans="1:13" x14ac:dyDescent="0.3">
      <c r="A2456" t="s">
        <v>24</v>
      </c>
      <c r="B2456" t="s">
        <v>59</v>
      </c>
      <c r="C2456">
        <v>354.16153228537701</v>
      </c>
      <c r="D2456">
        <v>16.583611485186989</v>
      </c>
      <c r="E2456">
        <v>24.237422667010058</v>
      </c>
      <c r="F2456">
        <v>62.237888401615137</v>
      </c>
      <c r="G2456">
        <v>5.1034405584646434</v>
      </c>
      <c r="H2456">
        <v>78.120293926654711</v>
      </c>
      <c r="I2456">
        <v>31.235594115220149</v>
      </c>
      <c r="J2456">
        <v>31.579153825109149</v>
      </c>
      <c r="K2456">
        <v>11.060830803399311</v>
      </c>
      <c r="L2456">
        <v>-1</v>
      </c>
      <c r="M2456" t="s">
        <v>69</v>
      </c>
    </row>
    <row r="2457" spans="1:13" x14ac:dyDescent="0.3">
      <c r="A2457" t="s">
        <v>19</v>
      </c>
      <c r="B2457" t="s">
        <v>46</v>
      </c>
      <c r="C2457">
        <v>43.472165971276773</v>
      </c>
      <c r="D2457">
        <v>1.6376954365955241</v>
      </c>
      <c r="E2457">
        <v>2.8182264546146372</v>
      </c>
      <c r="F2457">
        <v>2.819972591683221</v>
      </c>
      <c r="G2457">
        <v>6.0682100402378536</v>
      </c>
      <c r="H2457">
        <v>21.354485392276519</v>
      </c>
      <c r="I2457">
        <v>30.227693461704739</v>
      </c>
      <c r="J2457">
        <v>26.220233289876621</v>
      </c>
      <c r="K2457">
        <v>737.97681310343921</v>
      </c>
      <c r="L2457">
        <v>-1</v>
      </c>
      <c r="M2457" t="s">
        <v>69</v>
      </c>
    </row>
    <row r="2458" spans="1:13" x14ac:dyDescent="0.3">
      <c r="A2458" t="s">
        <v>19</v>
      </c>
      <c r="B2458" t="s">
        <v>46</v>
      </c>
      <c r="C2458">
        <v>27.463669165948101</v>
      </c>
      <c r="D2458">
        <v>0.9909766855063431</v>
      </c>
      <c r="E2458">
        <v>0.95466171883977058</v>
      </c>
      <c r="F2458">
        <v>4.2167730337953166</v>
      </c>
      <c r="G2458">
        <v>6.0520885321429256</v>
      </c>
      <c r="H2458">
        <v>19.286431304503189</v>
      </c>
      <c r="I2458">
        <v>30.465411142105712</v>
      </c>
      <c r="J2458">
        <v>27.11730721509689</v>
      </c>
      <c r="K2458">
        <v>716.34696319394141</v>
      </c>
      <c r="L2458">
        <v>-1</v>
      </c>
      <c r="M2458" t="s">
        <v>69</v>
      </c>
    </row>
    <row r="2459" spans="1:13" x14ac:dyDescent="0.3">
      <c r="A2459" t="s">
        <v>24</v>
      </c>
      <c r="B2459" t="s">
        <v>61</v>
      </c>
      <c r="C2459">
        <v>330.70643444728393</v>
      </c>
      <c r="D2459">
        <v>17.66042534021943</v>
      </c>
      <c r="E2459">
        <v>23.82834592270039</v>
      </c>
      <c r="F2459">
        <v>52.723432831551143</v>
      </c>
      <c r="G2459">
        <v>4.5761261509282054</v>
      </c>
      <c r="H2459">
        <v>53.31300065185264</v>
      </c>
      <c r="I2459">
        <v>29.934029557898771</v>
      </c>
      <c r="J2459">
        <v>31.075278723209721</v>
      </c>
      <c r="K2459">
        <v>13.987464007115699</v>
      </c>
      <c r="L2459">
        <v>-1</v>
      </c>
      <c r="M2459" t="s">
        <v>69</v>
      </c>
    </row>
    <row r="2460" spans="1:13" x14ac:dyDescent="0.3">
      <c r="A2460" t="s">
        <v>25</v>
      </c>
      <c r="B2460" t="s">
        <v>62</v>
      </c>
      <c r="C2460">
        <v>87.448982879735709</v>
      </c>
      <c r="D2460">
        <v>4.3558484157760269</v>
      </c>
      <c r="E2460">
        <v>5.7290019204772946</v>
      </c>
      <c r="F2460">
        <v>12.017192612211151</v>
      </c>
      <c r="G2460">
        <v>6.7800440635036923</v>
      </c>
      <c r="H2460">
        <v>13.963442861001161</v>
      </c>
      <c r="I2460">
        <v>30.3237564242724</v>
      </c>
      <c r="J2460">
        <v>31.96964616553182</v>
      </c>
      <c r="K2460">
        <v>47.52044753833934</v>
      </c>
      <c r="L2460">
        <v>-1</v>
      </c>
      <c r="M2460" t="s">
        <v>69</v>
      </c>
    </row>
    <row r="2461" spans="1:13" x14ac:dyDescent="0.3">
      <c r="A2461" t="s">
        <v>24</v>
      </c>
      <c r="B2461" t="s">
        <v>61</v>
      </c>
      <c r="C2461">
        <v>328.65440177427757</v>
      </c>
      <c r="D2461">
        <v>17.82833870710239</v>
      </c>
      <c r="E2461">
        <v>23.16378880389086</v>
      </c>
      <c r="F2461">
        <v>48.412978236880022</v>
      </c>
      <c r="G2461">
        <v>4.3</v>
      </c>
      <c r="H2461">
        <v>57.371919921098048</v>
      </c>
      <c r="I2461">
        <v>29.863420093425631</v>
      </c>
      <c r="J2461">
        <v>31.622599795075079</v>
      </c>
      <c r="K2461">
        <v>13.930884913325141</v>
      </c>
      <c r="L2461">
        <v>-1</v>
      </c>
      <c r="M2461" t="s">
        <v>69</v>
      </c>
    </row>
    <row r="2462" spans="1:13" x14ac:dyDescent="0.3">
      <c r="A2462" t="s">
        <v>24</v>
      </c>
      <c r="B2462" t="s">
        <v>61</v>
      </c>
      <c r="C2462">
        <v>191.63838188770711</v>
      </c>
      <c r="D2462">
        <v>9.0530961574664843</v>
      </c>
      <c r="E2462">
        <v>11.20097677208765</v>
      </c>
      <c r="F2462">
        <v>31.807157373751728</v>
      </c>
      <c r="G2462">
        <v>6.2963617302345938</v>
      </c>
      <c r="H2462">
        <v>25.566700448339429</v>
      </c>
      <c r="I2462">
        <v>29.437422938682921</v>
      </c>
      <c r="J2462">
        <v>31.14124131504181</v>
      </c>
      <c r="K2462">
        <v>14.019285777261979</v>
      </c>
      <c r="L2462">
        <v>-1</v>
      </c>
      <c r="M2462" t="s">
        <v>69</v>
      </c>
    </row>
    <row r="2463" spans="1:13" x14ac:dyDescent="0.3">
      <c r="A2463" t="s">
        <v>24</v>
      </c>
      <c r="B2463" t="s">
        <v>61</v>
      </c>
      <c r="C2463">
        <v>644.44887642431411</v>
      </c>
      <c r="D2463">
        <v>30.0230754178816</v>
      </c>
      <c r="E2463">
        <v>52.019893867122832</v>
      </c>
      <c r="F2463">
        <v>105.2822242584387</v>
      </c>
      <c r="G2463">
        <v>6.0257108286728149</v>
      </c>
      <c r="H2463">
        <v>72.138044941754657</v>
      </c>
      <c r="I2463">
        <v>28.734185762960639</v>
      </c>
      <c r="J2463">
        <v>29.946364273364789</v>
      </c>
      <c r="K2463">
        <v>11.19069397468934</v>
      </c>
      <c r="L2463">
        <v>-1</v>
      </c>
      <c r="M2463" t="s">
        <v>69</v>
      </c>
    </row>
    <row r="2464" spans="1:13" x14ac:dyDescent="0.3">
      <c r="A2464" t="s">
        <v>24</v>
      </c>
      <c r="B2464" t="s">
        <v>59</v>
      </c>
      <c r="C2464">
        <v>323.96571004747489</v>
      </c>
      <c r="D2464">
        <v>17.811715516989921</v>
      </c>
      <c r="E2464">
        <v>23.553347144625199</v>
      </c>
      <c r="F2464">
        <v>62.20234168564312</v>
      </c>
      <c r="G2464">
        <v>5.1860764130531534</v>
      </c>
      <c r="H2464">
        <v>78.802637445654653</v>
      </c>
      <c r="I2464">
        <v>29.609617837969662</v>
      </c>
      <c r="J2464">
        <v>29.72281681799809</v>
      </c>
      <c r="K2464">
        <v>11.225714782188559</v>
      </c>
      <c r="L2464">
        <v>-1</v>
      </c>
      <c r="M2464" t="s">
        <v>69</v>
      </c>
    </row>
    <row r="2465" spans="1:13" x14ac:dyDescent="0.3">
      <c r="A2465" t="s">
        <v>24</v>
      </c>
      <c r="B2465" t="s">
        <v>60</v>
      </c>
      <c r="C2465">
        <v>532.06118376796951</v>
      </c>
      <c r="D2465">
        <v>25.72297762840358</v>
      </c>
      <c r="E2465">
        <v>41.919233072404083</v>
      </c>
      <c r="F2465">
        <v>94.113613535627337</v>
      </c>
      <c r="G2465">
        <v>5.3652396909455486</v>
      </c>
      <c r="H2465">
        <v>64.401497416572809</v>
      </c>
      <c r="I2465">
        <v>32.159664970208773</v>
      </c>
      <c r="J2465">
        <v>30.11913521645025</v>
      </c>
      <c r="K2465">
        <v>11.00250384671676</v>
      </c>
      <c r="L2465">
        <v>-1</v>
      </c>
      <c r="M2465" t="s">
        <v>69</v>
      </c>
    </row>
    <row r="2466" spans="1:13" x14ac:dyDescent="0.3">
      <c r="A2466" t="s">
        <v>19</v>
      </c>
      <c r="B2466" t="s">
        <v>46</v>
      </c>
      <c r="C2466">
        <v>46.268193718553228</v>
      </c>
      <c r="D2466">
        <v>1.977770401430575</v>
      </c>
      <c r="E2466">
        <v>2.9528033001404439</v>
      </c>
      <c r="F2466">
        <v>2.0200252054777121</v>
      </c>
      <c r="G2466">
        <v>6.2581093722380716</v>
      </c>
      <c r="H2466">
        <v>21.01294873003242</v>
      </c>
      <c r="I2466">
        <v>29.40727120325684</v>
      </c>
      <c r="J2466">
        <v>26.03147562462976</v>
      </c>
      <c r="K2466">
        <v>729.94437711302703</v>
      </c>
      <c r="L2466">
        <v>-1</v>
      </c>
      <c r="M2466" t="s">
        <v>69</v>
      </c>
    </row>
    <row r="2467" spans="1:13" x14ac:dyDescent="0.3">
      <c r="A2467" t="s">
        <v>25</v>
      </c>
      <c r="B2467" t="s">
        <v>62</v>
      </c>
      <c r="C2467">
        <v>93.99936879882236</v>
      </c>
      <c r="D2467">
        <v>3.9074446405971508</v>
      </c>
      <c r="E2467">
        <v>5.845545396704968</v>
      </c>
      <c r="F2467">
        <v>12.81836990443421</v>
      </c>
      <c r="G2467">
        <v>6.8569534216883152</v>
      </c>
      <c r="H2467">
        <v>14.289607018513079</v>
      </c>
      <c r="I2467">
        <v>33.393458825072351</v>
      </c>
      <c r="J2467">
        <v>30.27781746265941</v>
      </c>
      <c r="K2467">
        <v>47.059586858764987</v>
      </c>
      <c r="L2467">
        <v>-1</v>
      </c>
      <c r="M2467" t="s">
        <v>69</v>
      </c>
    </row>
    <row r="2468" spans="1:13" x14ac:dyDescent="0.3">
      <c r="A2468" t="s">
        <v>24</v>
      </c>
      <c r="B2468" t="s">
        <v>60</v>
      </c>
      <c r="C2468">
        <v>515.19887370959384</v>
      </c>
      <c r="D2468">
        <v>24.70511975184257</v>
      </c>
      <c r="E2468">
        <v>37.666247262045772</v>
      </c>
      <c r="F2468">
        <v>84.28868768088725</v>
      </c>
      <c r="G2468">
        <v>5.4210536720030902</v>
      </c>
      <c r="H2468">
        <v>66.561528107581012</v>
      </c>
      <c r="I2468">
        <v>31.0228648466111</v>
      </c>
      <c r="J2468">
        <v>31.262768420269872</v>
      </c>
      <c r="K2468">
        <v>11</v>
      </c>
      <c r="L2468">
        <v>-1</v>
      </c>
      <c r="M2468" t="s">
        <v>69</v>
      </c>
    </row>
    <row r="2469" spans="1:13" x14ac:dyDescent="0.3">
      <c r="A2469" t="s">
        <v>24</v>
      </c>
      <c r="B2469" t="s">
        <v>61</v>
      </c>
      <c r="C2469">
        <v>683.38056512095216</v>
      </c>
      <c r="D2469">
        <v>33.796142120017002</v>
      </c>
      <c r="E2469">
        <v>46.455505903331741</v>
      </c>
      <c r="F2469">
        <v>110.0947806791135</v>
      </c>
      <c r="G2469">
        <v>6.1346284945627794</v>
      </c>
      <c r="H2469">
        <v>72.828374391618524</v>
      </c>
      <c r="I2469">
        <v>30.73479335099584</v>
      </c>
      <c r="J2469">
        <v>30.340910402681871</v>
      </c>
      <c r="K2469">
        <v>11</v>
      </c>
      <c r="L2469">
        <v>-1</v>
      </c>
      <c r="M2469" t="s">
        <v>69</v>
      </c>
    </row>
    <row r="2470" spans="1:13" x14ac:dyDescent="0.3">
      <c r="A2470" t="s">
        <v>19</v>
      </c>
      <c r="B2470" t="s">
        <v>46</v>
      </c>
      <c r="C2470">
        <v>27.864285887936791</v>
      </c>
      <c r="D2470">
        <v>1.062727737335919</v>
      </c>
      <c r="E2470">
        <v>1.009224160013914</v>
      </c>
      <c r="F2470">
        <v>4.2859407587450278</v>
      </c>
      <c r="G2470">
        <v>6.0524584471270826</v>
      </c>
      <c r="H2470">
        <v>19.4242787299752</v>
      </c>
      <c r="I2470">
        <v>30.99411776870658</v>
      </c>
      <c r="J2470">
        <v>25.898042278025201</v>
      </c>
      <c r="K2470">
        <v>737.9051823990626</v>
      </c>
      <c r="L2470">
        <v>-1</v>
      </c>
      <c r="M2470" t="s">
        <v>69</v>
      </c>
    </row>
    <row r="2471" spans="1:13" x14ac:dyDescent="0.3">
      <c r="A2471" t="s">
        <v>25</v>
      </c>
      <c r="B2471" t="s">
        <v>62</v>
      </c>
      <c r="C2471">
        <v>91.632972616881617</v>
      </c>
      <c r="D2471">
        <v>3.933692994011861</v>
      </c>
      <c r="E2471">
        <v>6.1701046788133764</v>
      </c>
      <c r="F2471">
        <v>13.789817462859011</v>
      </c>
      <c r="G2471">
        <v>6.7848035259089023</v>
      </c>
      <c r="H2471">
        <v>14.175618217438361</v>
      </c>
      <c r="I2471">
        <v>33.712308747562723</v>
      </c>
      <c r="J2471">
        <v>31.22838085867571</v>
      </c>
      <c r="K2471">
        <v>48.556589399164977</v>
      </c>
      <c r="L2471">
        <v>-1</v>
      </c>
      <c r="M2471" t="s">
        <v>69</v>
      </c>
    </row>
    <row r="2472" spans="1:13" x14ac:dyDescent="0.3">
      <c r="A2472" t="s">
        <v>24</v>
      </c>
      <c r="B2472" t="s">
        <v>61</v>
      </c>
      <c r="C2472">
        <v>190.002698121609</v>
      </c>
      <c r="D2472">
        <v>8.5046583175941883</v>
      </c>
      <c r="E2472">
        <v>10.733141383475481</v>
      </c>
      <c r="F2472">
        <v>26.460276118649769</v>
      </c>
      <c r="G2472">
        <v>6.1835484921513739</v>
      </c>
      <c r="H2472">
        <v>25.555474970770749</v>
      </c>
      <c r="I2472">
        <v>30.809828667507428</v>
      </c>
      <c r="J2472">
        <v>31.678079222982561</v>
      </c>
      <c r="K2472">
        <v>14.1718558296584</v>
      </c>
      <c r="L2472">
        <v>-1</v>
      </c>
      <c r="M2472" t="s">
        <v>69</v>
      </c>
    </row>
    <row r="2473" spans="1:13" x14ac:dyDescent="0.3">
      <c r="A2473" t="s">
        <v>24</v>
      </c>
      <c r="B2473" t="s">
        <v>58</v>
      </c>
      <c r="C2473">
        <v>30.06262392628841</v>
      </c>
      <c r="D2473">
        <v>1.0281740744975281</v>
      </c>
      <c r="E2473">
        <v>1.84669870959061</v>
      </c>
      <c r="F2473">
        <v>4.395607715961134</v>
      </c>
      <c r="G2473">
        <v>6.181350826286959</v>
      </c>
      <c r="H2473">
        <v>21.4949786980014</v>
      </c>
      <c r="I2473">
        <v>30.29076119919219</v>
      </c>
      <c r="J2473">
        <v>25.95838687981119</v>
      </c>
      <c r="K2473">
        <v>749.8953057921193</v>
      </c>
      <c r="L2473">
        <v>-1</v>
      </c>
      <c r="M2473" t="s">
        <v>69</v>
      </c>
    </row>
    <row r="2474" spans="1:13" x14ac:dyDescent="0.3">
      <c r="A2474" t="s">
        <v>19</v>
      </c>
      <c r="B2474" t="s">
        <v>46</v>
      </c>
      <c r="C2474">
        <v>44.03338537127145</v>
      </c>
      <c r="D2474">
        <v>1.720356235738294</v>
      </c>
      <c r="E2474">
        <v>3.2656055556396981</v>
      </c>
      <c r="F2474">
        <v>2.0717010475683928</v>
      </c>
      <c r="G2474">
        <v>6.058457231522226</v>
      </c>
      <c r="H2474">
        <v>21.399813783849201</v>
      </c>
      <c r="I2474">
        <v>28.599708280085999</v>
      </c>
      <c r="J2474">
        <v>25.89839180848514</v>
      </c>
      <c r="K2474">
        <v>730.34449757839411</v>
      </c>
      <c r="L2474">
        <v>-1</v>
      </c>
      <c r="M2474" t="s">
        <v>69</v>
      </c>
    </row>
    <row r="2475" spans="1:13" x14ac:dyDescent="0.3">
      <c r="A2475" t="s">
        <v>19</v>
      </c>
      <c r="B2475" t="s">
        <v>46</v>
      </c>
      <c r="C2475">
        <v>28.346514549869841</v>
      </c>
      <c r="D2475">
        <v>1.029414630963069</v>
      </c>
      <c r="E2475">
        <v>1.252784950710554</v>
      </c>
      <c r="F2475">
        <v>3.8978988972144002</v>
      </c>
      <c r="G2475">
        <v>5.9925008659358836</v>
      </c>
      <c r="H2475">
        <v>20.22779120121298</v>
      </c>
      <c r="I2475">
        <v>30.531566694967271</v>
      </c>
      <c r="J2475">
        <v>26.021331891051879</v>
      </c>
      <c r="K2475">
        <v>730.57720685394554</v>
      </c>
      <c r="L2475">
        <v>-1</v>
      </c>
      <c r="M2475" t="s">
        <v>69</v>
      </c>
    </row>
    <row r="2476" spans="1:13" x14ac:dyDescent="0.3">
      <c r="A2476" t="s">
        <v>19</v>
      </c>
      <c r="B2476" t="s">
        <v>46</v>
      </c>
      <c r="C2476">
        <v>25.311573105279511</v>
      </c>
      <c r="D2476">
        <v>0.80927678654415214</v>
      </c>
      <c r="E2476">
        <v>1.003119714815139</v>
      </c>
      <c r="F2476">
        <v>4.504327891284106</v>
      </c>
      <c r="G2476">
        <v>5.7323168109043454</v>
      </c>
      <c r="H2476">
        <v>17.98251998751601</v>
      </c>
      <c r="I2476">
        <v>30.848237296473009</v>
      </c>
      <c r="J2476">
        <v>26.605251481478099</v>
      </c>
      <c r="K2476">
        <v>720.86945749078302</v>
      </c>
      <c r="L2476">
        <v>-1</v>
      </c>
      <c r="M2476" t="s">
        <v>69</v>
      </c>
    </row>
    <row r="2477" spans="1:13" x14ac:dyDescent="0.3">
      <c r="A2477" t="s">
        <v>24</v>
      </c>
      <c r="B2477" t="s">
        <v>61</v>
      </c>
      <c r="C2477">
        <v>82.540191177769046</v>
      </c>
      <c r="D2477">
        <v>3.9019199628749361</v>
      </c>
      <c r="E2477">
        <v>5.7656060637945394</v>
      </c>
      <c r="F2477">
        <v>15.0773726721852</v>
      </c>
      <c r="G2477">
        <v>6.6346789437985336</v>
      </c>
      <c r="H2477">
        <v>14.042024237953219</v>
      </c>
      <c r="I2477">
        <v>32.07498944135056</v>
      </c>
      <c r="J2477">
        <v>31.028473434577482</v>
      </c>
      <c r="K2477">
        <v>47.904417250953877</v>
      </c>
      <c r="L2477">
        <v>-1</v>
      </c>
      <c r="M2477" t="s">
        <v>69</v>
      </c>
    </row>
    <row r="2478" spans="1:13" x14ac:dyDescent="0.3">
      <c r="A2478" t="s">
        <v>24</v>
      </c>
      <c r="B2478" t="s">
        <v>61</v>
      </c>
      <c r="C2478">
        <v>184.70805763478489</v>
      </c>
      <c r="D2478">
        <v>8.9973129020014699</v>
      </c>
      <c r="E2478">
        <v>11.965005744221809</v>
      </c>
      <c r="F2478">
        <v>29.059976501771651</v>
      </c>
      <c r="G2478">
        <v>6.219455333099118</v>
      </c>
      <c r="H2478">
        <v>25.60843054905396</v>
      </c>
      <c r="I2478">
        <v>29.61026409403177</v>
      </c>
      <c r="J2478">
        <v>30.901653579170269</v>
      </c>
      <c r="K2478">
        <v>13.989224853952919</v>
      </c>
      <c r="L2478">
        <v>-1</v>
      </c>
      <c r="M2478" t="s">
        <v>69</v>
      </c>
    </row>
    <row r="2479" spans="1:13" x14ac:dyDescent="0.3">
      <c r="A2479" t="s">
        <v>24</v>
      </c>
      <c r="B2479" t="s">
        <v>61</v>
      </c>
      <c r="C2479">
        <v>352.55069061255762</v>
      </c>
      <c r="D2479">
        <v>16.153895407838711</v>
      </c>
      <c r="E2479">
        <v>25.61264904130784</v>
      </c>
      <c r="F2479">
        <v>63.171962461002231</v>
      </c>
      <c r="G2479">
        <v>4.3057628342629526</v>
      </c>
      <c r="H2479">
        <v>57.753066694781303</v>
      </c>
      <c r="I2479">
        <v>28.778716517294772</v>
      </c>
      <c r="J2479">
        <v>30.69287723577073</v>
      </c>
      <c r="K2479">
        <v>13.79033048733868</v>
      </c>
      <c r="L2479">
        <v>-1</v>
      </c>
      <c r="M2479" t="s">
        <v>69</v>
      </c>
    </row>
    <row r="2480" spans="1:13" x14ac:dyDescent="0.3">
      <c r="A2480" t="s">
        <v>24</v>
      </c>
      <c r="B2480" t="s">
        <v>59</v>
      </c>
      <c r="C2480">
        <v>357.02009580917439</v>
      </c>
      <c r="D2480">
        <v>20.77246674700655</v>
      </c>
      <c r="E2480">
        <v>22.06052453454112</v>
      </c>
      <c r="F2480">
        <v>57.820887413169032</v>
      </c>
      <c r="G2480">
        <v>5.2501353353643756</v>
      </c>
      <c r="H2480">
        <v>74.771727137617262</v>
      </c>
      <c r="I2480">
        <v>29.65756381845598</v>
      </c>
      <c r="J2480">
        <v>31.68042744967503</v>
      </c>
      <c r="K2480">
        <v>11</v>
      </c>
      <c r="L2480">
        <v>-1</v>
      </c>
      <c r="M2480" t="s">
        <v>69</v>
      </c>
    </row>
    <row r="2481" spans="1:13" x14ac:dyDescent="0.3">
      <c r="A2481" t="s">
        <v>24</v>
      </c>
      <c r="B2481" t="s">
        <v>61</v>
      </c>
      <c r="C2481">
        <v>715.71162884397688</v>
      </c>
      <c r="D2481">
        <v>35.980296045531468</v>
      </c>
      <c r="E2481">
        <v>47.610934096943609</v>
      </c>
      <c r="F2481">
        <v>120.6102628782705</v>
      </c>
      <c r="G2481">
        <v>5.8943821353896331</v>
      </c>
      <c r="H2481">
        <v>71.138513030083971</v>
      </c>
      <c r="I2481">
        <v>29.752661891826151</v>
      </c>
      <c r="J2481">
        <v>30.355092165084109</v>
      </c>
      <c r="K2481">
        <v>11.069593423776951</v>
      </c>
      <c r="L2481">
        <v>-1</v>
      </c>
      <c r="M2481" t="s">
        <v>69</v>
      </c>
    </row>
    <row r="2482" spans="1:13" x14ac:dyDescent="0.3">
      <c r="A2482" t="s">
        <v>24</v>
      </c>
      <c r="B2482" t="s">
        <v>61</v>
      </c>
      <c r="C2482">
        <v>75.217584748143395</v>
      </c>
      <c r="D2482">
        <v>4.2459452043129113</v>
      </c>
      <c r="E2482">
        <v>4.9209493547210004</v>
      </c>
      <c r="F2482">
        <v>12.390344189144329</v>
      </c>
      <c r="G2482">
        <v>6.1202319304850938</v>
      </c>
      <c r="H2482">
        <v>14.800293662137189</v>
      </c>
      <c r="I2482">
        <v>34.191378794577133</v>
      </c>
      <c r="J2482">
        <v>31.38725611316648</v>
      </c>
      <c r="K2482">
        <v>46.667884229505717</v>
      </c>
      <c r="L2482">
        <v>-1</v>
      </c>
      <c r="M2482" t="s">
        <v>69</v>
      </c>
    </row>
    <row r="2483" spans="1:13" x14ac:dyDescent="0.3">
      <c r="A2483" t="s">
        <v>24</v>
      </c>
      <c r="B2483" t="s">
        <v>60</v>
      </c>
      <c r="C2483">
        <v>499.44041572892883</v>
      </c>
      <c r="D2483">
        <v>24.43184867266082</v>
      </c>
      <c r="E2483">
        <v>39.684468867248242</v>
      </c>
      <c r="F2483">
        <v>80.123401448627249</v>
      </c>
      <c r="G2483">
        <v>5.4344194168451354</v>
      </c>
      <c r="H2483">
        <v>67.18625465994711</v>
      </c>
      <c r="I2483">
        <v>30.91946459664177</v>
      </c>
      <c r="J2483">
        <v>30.620849250766678</v>
      </c>
      <c r="K2483">
        <v>11</v>
      </c>
      <c r="L2483">
        <v>-1</v>
      </c>
      <c r="M2483" t="s">
        <v>69</v>
      </c>
    </row>
    <row r="2484" spans="1:13" x14ac:dyDescent="0.3">
      <c r="A2484" t="s">
        <v>24</v>
      </c>
      <c r="B2484" t="s">
        <v>60</v>
      </c>
      <c r="C2484">
        <v>498.92168394171608</v>
      </c>
      <c r="D2484">
        <v>23.01421908984689</v>
      </c>
      <c r="E2484">
        <v>38.830871529755584</v>
      </c>
      <c r="F2484">
        <v>80.313207094673146</v>
      </c>
      <c r="G2484">
        <v>5.3395837065375398</v>
      </c>
      <c r="H2484">
        <v>67.200430882551316</v>
      </c>
      <c r="I2484">
        <v>31.34096401851351</v>
      </c>
      <c r="J2484">
        <v>30.929475183089711</v>
      </c>
      <c r="K2484">
        <v>11</v>
      </c>
      <c r="L2484">
        <v>-1</v>
      </c>
      <c r="M2484" t="s">
        <v>69</v>
      </c>
    </row>
    <row r="2485" spans="1:13" x14ac:dyDescent="0.3">
      <c r="A2485" t="s">
        <v>24</v>
      </c>
      <c r="B2485" t="s">
        <v>61</v>
      </c>
      <c r="C2485">
        <v>82.703585679381419</v>
      </c>
      <c r="D2485">
        <v>3.6396487449176411</v>
      </c>
      <c r="E2485">
        <v>5.9978201490262721</v>
      </c>
      <c r="F2485">
        <v>15.667395309733269</v>
      </c>
      <c r="G2485">
        <v>6.6797821768193479</v>
      </c>
      <c r="H2485">
        <v>14.156264482714811</v>
      </c>
      <c r="I2485">
        <v>31.943760917013289</v>
      </c>
      <c r="J2485">
        <v>30.84435873613921</v>
      </c>
      <c r="K2485">
        <v>47.736088950900921</v>
      </c>
      <c r="L2485">
        <v>-1</v>
      </c>
      <c r="M2485" t="s">
        <v>69</v>
      </c>
    </row>
    <row r="2486" spans="1:13" x14ac:dyDescent="0.3">
      <c r="A2486" t="s">
        <v>24</v>
      </c>
      <c r="B2486" t="s">
        <v>61</v>
      </c>
      <c r="C2486">
        <v>683.17776509393184</v>
      </c>
      <c r="D2486">
        <v>34.459055902214018</v>
      </c>
      <c r="E2486">
        <v>46.521446256799223</v>
      </c>
      <c r="F2486">
        <v>115.4139200020546</v>
      </c>
      <c r="G2486">
        <v>6.123453193930942</v>
      </c>
      <c r="H2486">
        <v>73.643771627882273</v>
      </c>
      <c r="I2486">
        <v>30.440812317246589</v>
      </c>
      <c r="J2486">
        <v>30.295447154260309</v>
      </c>
      <c r="K2486">
        <v>11</v>
      </c>
      <c r="L2486">
        <v>-1</v>
      </c>
      <c r="M2486" t="s">
        <v>69</v>
      </c>
    </row>
    <row r="2487" spans="1:13" x14ac:dyDescent="0.3">
      <c r="A2487" t="s">
        <v>19</v>
      </c>
      <c r="B2487" t="s">
        <v>46</v>
      </c>
      <c r="C2487">
        <v>46.013602975914857</v>
      </c>
      <c r="D2487">
        <v>1.9988724989698941</v>
      </c>
      <c r="E2487">
        <v>2.9976061498572251</v>
      </c>
      <c r="F2487">
        <v>2.0010156926466158</v>
      </c>
      <c r="G2487">
        <v>6.2978752776031532</v>
      </c>
      <c r="H2487">
        <v>21.285440555682062</v>
      </c>
      <c r="I2487">
        <v>29.40036880059424</v>
      </c>
      <c r="J2487">
        <v>26.00159646603975</v>
      </c>
      <c r="K2487">
        <v>727.14934089869371</v>
      </c>
      <c r="L2487">
        <v>-1</v>
      </c>
      <c r="M2487" t="s">
        <v>69</v>
      </c>
    </row>
    <row r="2488" spans="1:13" x14ac:dyDescent="0.3">
      <c r="A2488" t="s">
        <v>24</v>
      </c>
      <c r="B2488" t="s">
        <v>61</v>
      </c>
      <c r="C2488">
        <v>79.769012595702094</v>
      </c>
      <c r="D2488">
        <v>3.9986398009812549</v>
      </c>
      <c r="E2488">
        <v>5.3162456893299357</v>
      </c>
      <c r="F2488">
        <v>13.110515236177241</v>
      </c>
      <c r="G2488">
        <v>6.2437137477284876</v>
      </c>
      <c r="H2488">
        <v>14.794387776844291</v>
      </c>
      <c r="I2488">
        <v>34.859975373464152</v>
      </c>
      <c r="J2488">
        <v>31.267789184641099</v>
      </c>
      <c r="K2488">
        <v>47.419742677320762</v>
      </c>
      <c r="L2488">
        <v>-1</v>
      </c>
      <c r="M2488" t="s">
        <v>69</v>
      </c>
    </row>
    <row r="2489" spans="1:13" x14ac:dyDescent="0.3">
      <c r="A2489" t="s">
        <v>24</v>
      </c>
      <c r="B2489" t="s">
        <v>59</v>
      </c>
      <c r="C2489">
        <v>357.9623087548639</v>
      </c>
      <c r="D2489">
        <v>21.28372771127156</v>
      </c>
      <c r="E2489">
        <v>21.800393441181232</v>
      </c>
      <c r="F2489">
        <v>58.060783262312349</v>
      </c>
      <c r="G2489">
        <v>5.2575402962319941</v>
      </c>
      <c r="H2489">
        <v>74.659182837736353</v>
      </c>
      <c r="I2489">
        <v>29.529666666733409</v>
      </c>
      <c r="J2489">
        <v>31.770987900774141</v>
      </c>
      <c r="K2489">
        <v>11.00059108828691</v>
      </c>
      <c r="L2489">
        <v>-1</v>
      </c>
      <c r="M2489" t="s">
        <v>69</v>
      </c>
    </row>
    <row r="2490" spans="1:13" x14ac:dyDescent="0.3">
      <c r="A2490" t="s">
        <v>24</v>
      </c>
      <c r="B2490" t="s">
        <v>60</v>
      </c>
      <c r="C2490">
        <v>503.8804027057916</v>
      </c>
      <c r="D2490">
        <v>21.64865529717305</v>
      </c>
      <c r="E2490">
        <v>36.008560016062262</v>
      </c>
      <c r="F2490">
        <v>81.317397929917178</v>
      </c>
      <c r="G2490">
        <v>5.5129539414734197</v>
      </c>
      <c r="H2490">
        <v>63.007997632211293</v>
      </c>
      <c r="I2490">
        <v>30.12652695972071</v>
      </c>
      <c r="J2490">
        <v>31.118266074506462</v>
      </c>
      <c r="K2490">
        <v>11.172460249709269</v>
      </c>
      <c r="L2490">
        <v>-1</v>
      </c>
      <c r="M2490" t="s">
        <v>69</v>
      </c>
    </row>
    <row r="2491" spans="1:13" x14ac:dyDescent="0.3">
      <c r="A2491" t="s">
        <v>24</v>
      </c>
      <c r="B2491" t="s">
        <v>60</v>
      </c>
      <c r="C2491">
        <v>531.38725945223371</v>
      </c>
      <c r="D2491">
        <v>22.756187427581558</v>
      </c>
      <c r="E2491">
        <v>38.177988901696473</v>
      </c>
      <c r="F2491">
        <v>85.68263900404483</v>
      </c>
      <c r="G2491">
        <v>5.2943589422804811</v>
      </c>
      <c r="H2491">
        <v>68.519916064126718</v>
      </c>
      <c r="I2491">
        <v>30.2895903390062</v>
      </c>
      <c r="J2491">
        <v>31.046196906899631</v>
      </c>
      <c r="K2491">
        <v>11</v>
      </c>
      <c r="L2491">
        <v>-1</v>
      </c>
      <c r="M2491" t="s">
        <v>69</v>
      </c>
    </row>
    <row r="2492" spans="1:13" x14ac:dyDescent="0.3">
      <c r="A2492" t="s">
        <v>24</v>
      </c>
      <c r="B2492" t="s">
        <v>60</v>
      </c>
      <c r="C2492">
        <v>510.16716344380751</v>
      </c>
      <c r="D2492">
        <v>24.83252069126333</v>
      </c>
      <c r="E2492">
        <v>33.786723289517447</v>
      </c>
      <c r="F2492">
        <v>81.716089936438351</v>
      </c>
      <c r="G2492">
        <v>5.3933335940038987</v>
      </c>
      <c r="H2492">
        <v>64.971727882209308</v>
      </c>
      <c r="I2492">
        <v>31.09925417593519</v>
      </c>
      <c r="J2492">
        <v>31.021809910256192</v>
      </c>
      <c r="K2492">
        <v>11</v>
      </c>
      <c r="L2492">
        <v>-1</v>
      </c>
      <c r="M2492" t="s">
        <v>69</v>
      </c>
    </row>
    <row r="2493" spans="1:13" x14ac:dyDescent="0.3">
      <c r="A2493" t="s">
        <v>24</v>
      </c>
      <c r="B2493" t="s">
        <v>61</v>
      </c>
      <c r="C2493">
        <v>125.78681020113081</v>
      </c>
      <c r="D2493">
        <v>5.9675133116970924</v>
      </c>
      <c r="E2493">
        <v>8.6521907311587203</v>
      </c>
      <c r="F2493">
        <v>22.24351292777137</v>
      </c>
      <c r="G2493">
        <v>6.3317859662661409</v>
      </c>
      <c r="H2493">
        <v>20.096852574159762</v>
      </c>
      <c r="I2493">
        <v>29.945620364773021</v>
      </c>
      <c r="J2493">
        <v>31.044369772104179</v>
      </c>
      <c r="K2493">
        <v>47.872900761225537</v>
      </c>
      <c r="L2493">
        <v>-1</v>
      </c>
      <c r="M2493" t="s">
        <v>69</v>
      </c>
    </row>
    <row r="2494" spans="1:13" x14ac:dyDescent="0.3">
      <c r="A2494" t="s">
        <v>24</v>
      </c>
      <c r="B2494" t="s">
        <v>61</v>
      </c>
      <c r="C2494">
        <v>344.93844985714333</v>
      </c>
      <c r="D2494">
        <v>17.114760678567269</v>
      </c>
      <c r="E2494">
        <v>21.509904006693311</v>
      </c>
      <c r="F2494">
        <v>53.278228300379773</v>
      </c>
      <c r="G2494">
        <v>4.4837475910989966</v>
      </c>
      <c r="H2494">
        <v>55.511822718962819</v>
      </c>
      <c r="I2494">
        <v>30.299136818330499</v>
      </c>
      <c r="J2494">
        <v>30.888675457615118</v>
      </c>
      <c r="K2494">
        <v>14.35644550427628</v>
      </c>
      <c r="L2494">
        <v>-1</v>
      </c>
      <c r="M2494" t="s">
        <v>69</v>
      </c>
    </row>
    <row r="2495" spans="1:13" x14ac:dyDescent="0.3">
      <c r="A2495" t="s">
        <v>19</v>
      </c>
      <c r="B2495" t="s">
        <v>46</v>
      </c>
      <c r="C2495">
        <v>27.45326977297449</v>
      </c>
      <c r="D2495">
        <v>1.0020949958213869</v>
      </c>
      <c r="E2495">
        <v>1.280631999632319</v>
      </c>
      <c r="F2495">
        <v>3.875006587242162</v>
      </c>
      <c r="G2495">
        <v>6.0582527494089078</v>
      </c>
      <c r="H2495">
        <v>21.483278707550721</v>
      </c>
      <c r="I2495">
        <v>29.370634099767631</v>
      </c>
      <c r="J2495">
        <v>25.936156447426821</v>
      </c>
      <c r="K2495">
        <v>732.31340029365333</v>
      </c>
      <c r="L2495">
        <v>-1</v>
      </c>
      <c r="M2495" t="s">
        <v>69</v>
      </c>
    </row>
    <row r="2496" spans="1:13" x14ac:dyDescent="0.3">
      <c r="A2496" t="s">
        <v>25</v>
      </c>
      <c r="B2496" t="s">
        <v>62</v>
      </c>
      <c r="C2496">
        <v>91.228267144942095</v>
      </c>
      <c r="D2496">
        <v>3.5498635743973752</v>
      </c>
      <c r="E2496">
        <v>5.5959995206839563</v>
      </c>
      <c r="F2496">
        <v>15.439835131854741</v>
      </c>
      <c r="G2496">
        <v>6.9917341395981589</v>
      </c>
      <c r="H2496">
        <v>15.439384610377029</v>
      </c>
      <c r="I2496">
        <v>34.093393892705592</v>
      </c>
      <c r="J2496">
        <v>31.412364554984421</v>
      </c>
      <c r="K2496">
        <v>47.518242277086763</v>
      </c>
      <c r="L2496">
        <v>-1</v>
      </c>
      <c r="M2496" t="s">
        <v>69</v>
      </c>
    </row>
    <row r="2497" spans="1:13" x14ac:dyDescent="0.3">
      <c r="A2497" t="s">
        <v>19</v>
      </c>
      <c r="B2497" t="s">
        <v>46</v>
      </c>
      <c r="C2497">
        <v>28.547795564851238</v>
      </c>
      <c r="D2497">
        <v>1.084742720438203</v>
      </c>
      <c r="E2497">
        <v>1.037873135473153</v>
      </c>
      <c r="F2497">
        <v>3.8061528445870452</v>
      </c>
      <c r="G2497">
        <v>5.9226998117844563</v>
      </c>
      <c r="H2497">
        <v>19.379033960732571</v>
      </c>
      <c r="I2497">
        <v>30.330338350648031</v>
      </c>
      <c r="J2497">
        <v>26.2679945879405</v>
      </c>
      <c r="K2497">
        <v>732.82055532150525</v>
      </c>
      <c r="L2497">
        <v>-1</v>
      </c>
      <c r="M2497" t="s">
        <v>69</v>
      </c>
    </row>
    <row r="2498" spans="1:13" x14ac:dyDescent="0.3">
      <c r="A2498" t="s">
        <v>24</v>
      </c>
      <c r="B2498" t="s">
        <v>61</v>
      </c>
      <c r="C2498">
        <v>314.21809267122342</v>
      </c>
      <c r="D2498">
        <v>18.474800958444991</v>
      </c>
      <c r="E2498">
        <v>23.55794488572543</v>
      </c>
      <c r="F2498">
        <v>49.862680195985057</v>
      </c>
      <c r="G2498">
        <v>4.5460017402245709</v>
      </c>
      <c r="H2498">
        <v>52.50483457787702</v>
      </c>
      <c r="I2498">
        <v>29.336923787324739</v>
      </c>
      <c r="J2498">
        <v>31.15894637018361</v>
      </c>
      <c r="K2498">
        <v>13.98202254272155</v>
      </c>
      <c r="L2498">
        <v>-1</v>
      </c>
      <c r="M2498" t="s">
        <v>69</v>
      </c>
    </row>
    <row r="2499" spans="1:13" x14ac:dyDescent="0.3">
      <c r="A2499" t="s">
        <v>19</v>
      </c>
      <c r="B2499" t="s">
        <v>47</v>
      </c>
      <c r="C2499">
        <v>33.800062003885799</v>
      </c>
      <c r="D2499">
        <v>1.2239514899829049</v>
      </c>
      <c r="E2499">
        <v>2.238426845362059</v>
      </c>
      <c r="F2499">
        <v>3.4024370609059509</v>
      </c>
      <c r="G2499">
        <v>6.0804829066435646</v>
      </c>
      <c r="H2499">
        <v>22.539460036287789</v>
      </c>
      <c r="I2499">
        <v>29.045186521706849</v>
      </c>
      <c r="J2499">
        <v>25.74924042837085</v>
      </c>
      <c r="K2499">
        <v>734.775526868817</v>
      </c>
      <c r="L2499">
        <v>-1</v>
      </c>
      <c r="M2499" t="s">
        <v>69</v>
      </c>
    </row>
    <row r="2500" spans="1:13" x14ac:dyDescent="0.3">
      <c r="A2500" t="s">
        <v>24</v>
      </c>
      <c r="B2500" t="s">
        <v>61</v>
      </c>
      <c r="C2500">
        <v>181.79870726824399</v>
      </c>
      <c r="D2500">
        <v>8.8038986091291171</v>
      </c>
      <c r="E2500">
        <v>11.984145491758509</v>
      </c>
      <c r="F2500">
        <v>29.270966538641851</v>
      </c>
      <c r="G2500">
        <v>6.2377834393676919</v>
      </c>
      <c r="H2500">
        <v>25.963799356518809</v>
      </c>
      <c r="I2500">
        <v>29.652600097091259</v>
      </c>
      <c r="J2500">
        <v>31.210332132857321</v>
      </c>
      <c r="K2500">
        <v>14.013388902736549</v>
      </c>
      <c r="L2500">
        <v>-1</v>
      </c>
      <c r="M2500" t="s">
        <v>69</v>
      </c>
    </row>
    <row r="2501" spans="1:13" x14ac:dyDescent="0.3">
      <c r="A2501" t="s">
        <v>24</v>
      </c>
      <c r="B2501" t="s">
        <v>61</v>
      </c>
      <c r="C2501">
        <v>124.359636091336</v>
      </c>
      <c r="D2501">
        <v>6.2985093286824032</v>
      </c>
      <c r="E2501">
        <v>8.1233045598766438</v>
      </c>
      <c r="F2501">
        <v>21.805831378228149</v>
      </c>
      <c r="G2501">
        <v>6.1624347487864357</v>
      </c>
      <c r="H2501">
        <v>20.909456821500179</v>
      </c>
      <c r="I2501">
        <v>31.219334412750118</v>
      </c>
      <c r="J2501">
        <v>30.980489136841701</v>
      </c>
      <c r="K2501">
        <v>48.337973442319942</v>
      </c>
      <c r="L2501">
        <v>-1</v>
      </c>
      <c r="M2501" t="s">
        <v>69</v>
      </c>
    </row>
    <row r="2502" spans="1:13" x14ac:dyDescent="0.3">
      <c r="A2502" t="s">
        <v>24</v>
      </c>
      <c r="B2502" t="s">
        <v>59</v>
      </c>
      <c r="C2502">
        <v>357.5252760577016</v>
      </c>
      <c r="D2502">
        <v>16.945082149225069</v>
      </c>
      <c r="E2502">
        <v>26.012553525897889</v>
      </c>
      <c r="F2502">
        <v>55.144841036340992</v>
      </c>
      <c r="G2502">
        <v>5.2006204453198839</v>
      </c>
      <c r="H2502">
        <v>74.239925548683715</v>
      </c>
      <c r="I2502">
        <v>30.39862743875025</v>
      </c>
      <c r="J2502">
        <v>30.7475590742953</v>
      </c>
      <c r="K2502">
        <v>11.196085369580709</v>
      </c>
      <c r="L2502">
        <v>-1</v>
      </c>
      <c r="M2502" t="s">
        <v>69</v>
      </c>
    </row>
    <row r="2503" spans="1:13" x14ac:dyDescent="0.3">
      <c r="A2503" t="s">
        <v>24</v>
      </c>
      <c r="B2503" t="s">
        <v>59</v>
      </c>
      <c r="C2503">
        <v>350.21445661327198</v>
      </c>
      <c r="D2503">
        <v>17.020772416234131</v>
      </c>
      <c r="E2503">
        <v>24.14083453356368</v>
      </c>
      <c r="F2503">
        <v>56.05520075003227</v>
      </c>
      <c r="G2503">
        <v>5.2017017311149978</v>
      </c>
      <c r="H2503">
        <v>75.394488454913954</v>
      </c>
      <c r="I2503">
        <v>30.631446679044291</v>
      </c>
      <c r="J2503">
        <v>30.969020444951031</v>
      </c>
      <c r="K2503">
        <v>11</v>
      </c>
      <c r="L2503">
        <v>-1</v>
      </c>
      <c r="M2503" t="s">
        <v>69</v>
      </c>
    </row>
    <row r="2504" spans="1:13" x14ac:dyDescent="0.3">
      <c r="A2504" t="s">
        <v>24</v>
      </c>
      <c r="B2504" t="s">
        <v>61</v>
      </c>
      <c r="C2504">
        <v>352.43571981841012</v>
      </c>
      <c r="D2504">
        <v>14.906442362104229</v>
      </c>
      <c r="E2504">
        <v>23.59214148313384</v>
      </c>
      <c r="F2504">
        <v>55.444521151058488</v>
      </c>
      <c r="G2504">
        <v>4.3</v>
      </c>
      <c r="H2504">
        <v>56.52175713169116</v>
      </c>
      <c r="I2504">
        <v>30.324284221792951</v>
      </c>
      <c r="J2504">
        <v>30.139675093586721</v>
      </c>
      <c r="K2504">
        <v>14.116124938926299</v>
      </c>
      <c r="L2504">
        <v>-1</v>
      </c>
      <c r="M2504" t="s">
        <v>69</v>
      </c>
    </row>
    <row r="2505" spans="1:13" x14ac:dyDescent="0.3">
      <c r="A2505" t="s">
        <v>25</v>
      </c>
      <c r="B2505" t="s">
        <v>62</v>
      </c>
      <c r="C2505">
        <v>94.608567113282703</v>
      </c>
      <c r="D2505">
        <v>3.8755485303211992</v>
      </c>
      <c r="E2505">
        <v>5.6368022765446666</v>
      </c>
      <c r="F2505">
        <v>14.22081517410713</v>
      </c>
      <c r="G2505">
        <v>6.8733528510584971</v>
      </c>
      <c r="H2505">
        <v>14.8174934447845</v>
      </c>
      <c r="I2505">
        <v>34.033350203426693</v>
      </c>
      <c r="J2505">
        <v>30.720825338417619</v>
      </c>
      <c r="K2505">
        <v>47.595764241232928</v>
      </c>
      <c r="L2505">
        <v>-1</v>
      </c>
      <c r="M2505" t="s">
        <v>69</v>
      </c>
    </row>
    <row r="2506" spans="1:13" x14ac:dyDescent="0.3">
      <c r="A2506" t="s">
        <v>24</v>
      </c>
      <c r="B2506" t="s">
        <v>59</v>
      </c>
      <c r="C2506">
        <v>367.66261518334619</v>
      </c>
      <c r="D2506">
        <v>16.655483389178681</v>
      </c>
      <c r="E2506">
        <v>25.039737931288659</v>
      </c>
      <c r="F2506">
        <v>55.69189393307645</v>
      </c>
      <c r="G2506">
        <v>5.1327413000745441</v>
      </c>
      <c r="H2506">
        <v>76.47247062618294</v>
      </c>
      <c r="I2506">
        <v>31.214881309884461</v>
      </c>
      <c r="J2506">
        <v>30.474566859621181</v>
      </c>
      <c r="K2506">
        <v>11.03982938319427</v>
      </c>
      <c r="L2506">
        <v>-1</v>
      </c>
      <c r="M2506" t="s">
        <v>69</v>
      </c>
    </row>
    <row r="2507" spans="1:13" x14ac:dyDescent="0.3">
      <c r="A2507" t="s">
        <v>25</v>
      </c>
      <c r="B2507" t="s">
        <v>62</v>
      </c>
      <c r="C2507">
        <v>99.833815162888044</v>
      </c>
      <c r="D2507">
        <v>4.6114134422827231</v>
      </c>
      <c r="E2507">
        <v>7.1011306461288619</v>
      </c>
      <c r="F2507">
        <v>14.347901317178991</v>
      </c>
      <c r="G2507">
        <v>6.8000235446445494</v>
      </c>
      <c r="H2507">
        <v>14.146509498254471</v>
      </c>
      <c r="I2507">
        <v>33.729002513198893</v>
      </c>
      <c r="J2507">
        <v>30.795198301830791</v>
      </c>
      <c r="K2507">
        <v>46.909196077224813</v>
      </c>
      <c r="L2507">
        <v>-1</v>
      </c>
      <c r="M2507" t="s">
        <v>69</v>
      </c>
    </row>
    <row r="2508" spans="1:13" x14ac:dyDescent="0.3">
      <c r="A2508" t="s">
        <v>24</v>
      </c>
      <c r="B2508" t="s">
        <v>61</v>
      </c>
      <c r="C2508">
        <v>179.2903014634289</v>
      </c>
      <c r="D2508">
        <v>8.8474886937249906</v>
      </c>
      <c r="E2508">
        <v>11.536268459384729</v>
      </c>
      <c r="F2508">
        <v>29.941029128954831</v>
      </c>
      <c r="G2508">
        <v>6.4751925198137803</v>
      </c>
      <c r="H2508">
        <v>25.927655654796251</v>
      </c>
      <c r="I2508">
        <v>29.764779282425518</v>
      </c>
      <c r="J2508">
        <v>29.849645261094011</v>
      </c>
      <c r="K2508">
        <v>13.86817139634854</v>
      </c>
      <c r="L2508">
        <v>-1</v>
      </c>
      <c r="M2508" t="s">
        <v>69</v>
      </c>
    </row>
    <row r="2509" spans="1:13" x14ac:dyDescent="0.3">
      <c r="A2509" t="s">
        <v>24</v>
      </c>
      <c r="B2509" t="s">
        <v>61</v>
      </c>
      <c r="C2509">
        <v>348.94356356986168</v>
      </c>
      <c r="D2509">
        <v>16.219606691295539</v>
      </c>
      <c r="E2509">
        <v>22.27768271512679</v>
      </c>
      <c r="F2509">
        <v>54.26584753335468</v>
      </c>
      <c r="G2509">
        <v>4.5156076446684841</v>
      </c>
      <c r="H2509">
        <v>54.854589757715353</v>
      </c>
      <c r="I2509">
        <v>30.040921851508159</v>
      </c>
      <c r="J2509">
        <v>30.801255212061069</v>
      </c>
      <c r="K2509">
        <v>14.226823471361291</v>
      </c>
      <c r="L2509">
        <v>-1</v>
      </c>
      <c r="M2509" t="s">
        <v>69</v>
      </c>
    </row>
    <row r="2510" spans="1:13" x14ac:dyDescent="0.3">
      <c r="A2510" t="s">
        <v>19</v>
      </c>
      <c r="B2510" t="s">
        <v>46</v>
      </c>
      <c r="C2510">
        <v>27.97475437644464</v>
      </c>
      <c r="D2510">
        <v>1.016725217612964</v>
      </c>
      <c r="E2510">
        <v>0.93165647692371412</v>
      </c>
      <c r="F2510">
        <v>4.0526937960542284</v>
      </c>
      <c r="G2510">
        <v>6.0304686723341216</v>
      </c>
      <c r="H2510">
        <v>18.923988776914189</v>
      </c>
      <c r="I2510">
        <v>31.313530555861909</v>
      </c>
      <c r="J2510">
        <v>26.903895003012931</v>
      </c>
      <c r="K2510">
        <v>720.39175293235667</v>
      </c>
      <c r="L2510">
        <v>-1</v>
      </c>
      <c r="M2510" t="s">
        <v>69</v>
      </c>
    </row>
    <row r="2511" spans="1:13" x14ac:dyDescent="0.3">
      <c r="A2511" t="s">
        <v>24</v>
      </c>
      <c r="B2511" t="s">
        <v>61</v>
      </c>
      <c r="C2511">
        <v>342.85283308052311</v>
      </c>
      <c r="D2511">
        <v>16.993737323800321</v>
      </c>
      <c r="E2511">
        <v>23.934975252979982</v>
      </c>
      <c r="F2511">
        <v>55.637721301532352</v>
      </c>
      <c r="G2511">
        <v>4.5903440356094256</v>
      </c>
      <c r="H2511">
        <v>54.202371438697341</v>
      </c>
      <c r="I2511">
        <v>30.377814822967011</v>
      </c>
      <c r="J2511">
        <v>31.019825665379859</v>
      </c>
      <c r="K2511">
        <v>13.98636983976985</v>
      </c>
      <c r="L2511">
        <v>-1</v>
      </c>
      <c r="M2511" t="s">
        <v>69</v>
      </c>
    </row>
    <row r="2512" spans="1:13" x14ac:dyDescent="0.3">
      <c r="A2512" t="s">
        <v>24</v>
      </c>
      <c r="B2512" t="s">
        <v>60</v>
      </c>
      <c r="C2512">
        <v>529.1934088476263</v>
      </c>
      <c r="D2512">
        <v>26.964820731058449</v>
      </c>
      <c r="E2512">
        <v>33.734087698445549</v>
      </c>
      <c r="F2512">
        <v>82.015290601100475</v>
      </c>
      <c r="G2512">
        <v>5.3608288308089689</v>
      </c>
      <c r="H2512">
        <v>65.291505497222772</v>
      </c>
      <c r="I2512">
        <v>30.288457389106441</v>
      </c>
      <c r="J2512">
        <v>31.731579837881242</v>
      </c>
      <c r="K2512">
        <v>11.0725010380861</v>
      </c>
      <c r="L2512">
        <v>-1</v>
      </c>
      <c r="M2512" t="s">
        <v>69</v>
      </c>
    </row>
    <row r="2513" spans="1:13" x14ac:dyDescent="0.3">
      <c r="A2513" t="s">
        <v>24</v>
      </c>
      <c r="B2513" t="s">
        <v>60</v>
      </c>
      <c r="C2513">
        <v>496.39924607010528</v>
      </c>
      <c r="D2513">
        <v>24.712722288330411</v>
      </c>
      <c r="E2513">
        <v>37.264683950704118</v>
      </c>
      <c r="F2513">
        <v>79.60744467642408</v>
      </c>
      <c r="G2513">
        <v>5.4159924331963314</v>
      </c>
      <c r="H2513">
        <v>65.845866896937167</v>
      </c>
      <c r="I2513">
        <v>30.93066560971749</v>
      </c>
      <c r="J2513">
        <v>30.604942625676209</v>
      </c>
      <c r="K2513">
        <v>11</v>
      </c>
      <c r="L2513">
        <v>-1</v>
      </c>
      <c r="M2513" t="s">
        <v>69</v>
      </c>
    </row>
    <row r="2514" spans="1:13" x14ac:dyDescent="0.3">
      <c r="A2514" t="s">
        <v>24</v>
      </c>
      <c r="B2514" t="s">
        <v>58</v>
      </c>
      <c r="C2514">
        <v>31.86608269017702</v>
      </c>
      <c r="D2514">
        <v>1.031927609864226</v>
      </c>
      <c r="E2514">
        <v>2.0052879196743341</v>
      </c>
      <c r="F2514">
        <v>3.800552294686367</v>
      </c>
      <c r="G2514">
        <v>5.9866232813653832</v>
      </c>
      <c r="H2514">
        <v>22.054376120075499</v>
      </c>
      <c r="I2514">
        <v>30.188927380461259</v>
      </c>
      <c r="J2514">
        <v>25.95654107521008</v>
      </c>
      <c r="K2514">
        <v>748.10290571200767</v>
      </c>
      <c r="L2514">
        <v>-1</v>
      </c>
      <c r="M2514" t="s">
        <v>69</v>
      </c>
    </row>
    <row r="2515" spans="1:13" x14ac:dyDescent="0.3">
      <c r="A2515" t="s">
        <v>24</v>
      </c>
      <c r="B2515" t="s">
        <v>61</v>
      </c>
      <c r="C2515">
        <v>120.8617972032972</v>
      </c>
      <c r="D2515">
        <v>5.9282485243004706</v>
      </c>
      <c r="E2515">
        <v>8.9734975058430422</v>
      </c>
      <c r="F2515">
        <v>23.031972575221179</v>
      </c>
      <c r="G2515">
        <v>6.3464653076702744</v>
      </c>
      <c r="H2515">
        <v>21.376694419778701</v>
      </c>
      <c r="I2515">
        <v>30.10681087326445</v>
      </c>
      <c r="J2515">
        <v>31.013703888564539</v>
      </c>
      <c r="K2515">
        <v>47.916691386902578</v>
      </c>
      <c r="L2515">
        <v>-1</v>
      </c>
      <c r="M2515" t="s">
        <v>69</v>
      </c>
    </row>
    <row r="2516" spans="1:13" x14ac:dyDescent="0.3">
      <c r="A2516" t="s">
        <v>25</v>
      </c>
      <c r="B2516" t="s">
        <v>62</v>
      </c>
      <c r="C2516">
        <v>91.302634377505271</v>
      </c>
      <c r="D2516">
        <v>3.7514292536420042</v>
      </c>
      <c r="E2516">
        <v>6.1035206574642302</v>
      </c>
      <c r="F2516">
        <v>12.97476837016033</v>
      </c>
      <c r="G2516">
        <v>6.9486685531423227</v>
      </c>
      <c r="H2516">
        <v>13.995982792607711</v>
      </c>
      <c r="I2516">
        <v>31.57710024198246</v>
      </c>
      <c r="J2516">
        <v>31.88128855344247</v>
      </c>
      <c r="K2516">
        <v>48.684500329298537</v>
      </c>
      <c r="L2516">
        <v>-1</v>
      </c>
      <c r="M2516" t="s">
        <v>69</v>
      </c>
    </row>
    <row r="2517" spans="1:13" x14ac:dyDescent="0.3">
      <c r="A2517" t="s">
        <v>24</v>
      </c>
      <c r="B2517" t="s">
        <v>61</v>
      </c>
      <c r="C2517">
        <v>343.06251086919087</v>
      </c>
      <c r="D2517">
        <v>17.046574530791709</v>
      </c>
      <c r="E2517">
        <v>23.98789460727528</v>
      </c>
      <c r="F2517">
        <v>54.839451878616451</v>
      </c>
      <c r="G2517">
        <v>4.5983163678753733</v>
      </c>
      <c r="H2517">
        <v>53.95155141641969</v>
      </c>
      <c r="I2517">
        <v>30.367138821934869</v>
      </c>
      <c r="J2517">
        <v>31.005308807822129</v>
      </c>
      <c r="K2517">
        <v>13.999115936426049</v>
      </c>
      <c r="L2517">
        <v>-1</v>
      </c>
      <c r="M2517" t="s">
        <v>69</v>
      </c>
    </row>
    <row r="2518" spans="1:13" x14ac:dyDescent="0.3">
      <c r="A2518" t="s">
        <v>24</v>
      </c>
      <c r="B2518" t="s">
        <v>61</v>
      </c>
      <c r="C2518">
        <v>294.36352750804662</v>
      </c>
      <c r="D2518">
        <v>15.418472754779369</v>
      </c>
      <c r="E2518">
        <v>18.125949695957122</v>
      </c>
      <c r="F2518">
        <v>50.999456501608677</v>
      </c>
      <c r="G2518">
        <v>4.4890469412113134</v>
      </c>
      <c r="H2518">
        <v>60.09476570341387</v>
      </c>
      <c r="I2518">
        <v>30.038018323391739</v>
      </c>
      <c r="J2518">
        <v>28.826079342775088</v>
      </c>
      <c r="K2518">
        <v>14.629304177524549</v>
      </c>
      <c r="L2518">
        <v>-1</v>
      </c>
      <c r="M2518" t="s">
        <v>69</v>
      </c>
    </row>
    <row r="2519" spans="1:13" x14ac:dyDescent="0.3">
      <c r="A2519" t="s">
        <v>24</v>
      </c>
      <c r="B2519" t="s">
        <v>60</v>
      </c>
      <c r="C2519">
        <v>546.30652440403219</v>
      </c>
      <c r="D2519">
        <v>26.067692042926112</v>
      </c>
      <c r="E2519">
        <v>43.722126902038838</v>
      </c>
      <c r="F2519">
        <v>82.626668268074241</v>
      </c>
      <c r="G2519">
        <v>6.256908295463024</v>
      </c>
      <c r="H2519">
        <v>83.349036408476351</v>
      </c>
      <c r="I2519">
        <v>31.924107188130769</v>
      </c>
      <c r="J2519">
        <v>31.567183465761641</v>
      </c>
      <c r="K2519">
        <v>11.24342322471443</v>
      </c>
      <c r="L2519">
        <v>-1</v>
      </c>
      <c r="M2519" t="s">
        <v>69</v>
      </c>
    </row>
    <row r="2520" spans="1:13" x14ac:dyDescent="0.3">
      <c r="A2520" t="s">
        <v>24</v>
      </c>
      <c r="B2520" t="s">
        <v>61</v>
      </c>
      <c r="C2520">
        <v>687.24946744225394</v>
      </c>
      <c r="D2520">
        <v>34.917626051583078</v>
      </c>
      <c r="E2520">
        <v>48.039178625602261</v>
      </c>
      <c r="F2520">
        <v>113.3616111823174</v>
      </c>
      <c r="G2520">
        <v>5.9665824412635606</v>
      </c>
      <c r="H2520">
        <v>69.984246342329556</v>
      </c>
      <c r="I2520">
        <v>29.166587774679879</v>
      </c>
      <c r="J2520">
        <v>30.848054422531039</v>
      </c>
      <c r="K2520">
        <v>11</v>
      </c>
      <c r="L2520">
        <v>-1</v>
      </c>
      <c r="M2520" t="s">
        <v>69</v>
      </c>
    </row>
    <row r="2521" spans="1:13" x14ac:dyDescent="0.3">
      <c r="A2521" t="s">
        <v>24</v>
      </c>
      <c r="B2521" t="s">
        <v>61</v>
      </c>
      <c r="C2521">
        <v>74.105015322931024</v>
      </c>
      <c r="D2521">
        <v>4.4939682618355734</v>
      </c>
      <c r="E2521">
        <v>5.0180202011263653</v>
      </c>
      <c r="F2521">
        <v>12.874622005586421</v>
      </c>
      <c r="G2521">
        <v>6.1461069966619526</v>
      </c>
      <c r="H2521">
        <v>14.808083784371391</v>
      </c>
      <c r="I2521">
        <v>34.819040142704317</v>
      </c>
      <c r="J2521">
        <v>31.751772640747649</v>
      </c>
      <c r="K2521">
        <v>49.697853530038628</v>
      </c>
      <c r="L2521">
        <v>-1</v>
      </c>
      <c r="M2521" t="s">
        <v>69</v>
      </c>
    </row>
    <row r="2522" spans="1:13" x14ac:dyDescent="0.3">
      <c r="A2522" t="s">
        <v>19</v>
      </c>
      <c r="B2522" t="s">
        <v>46</v>
      </c>
      <c r="C2522">
        <v>43.076489585322513</v>
      </c>
      <c r="D2522">
        <v>1.677375045858134</v>
      </c>
      <c r="E2522">
        <v>2.8120884338401599</v>
      </c>
      <c r="F2522">
        <v>3.0013896016062329</v>
      </c>
      <c r="G2522">
        <v>6.1269700572789159</v>
      </c>
      <c r="H2522">
        <v>21.266428636848069</v>
      </c>
      <c r="I2522">
        <v>30.148411098836899</v>
      </c>
      <c r="J2522">
        <v>26.29344340474433</v>
      </c>
      <c r="K2522">
        <v>738.1271878989437</v>
      </c>
      <c r="L2522">
        <v>-1</v>
      </c>
      <c r="M2522" t="s">
        <v>69</v>
      </c>
    </row>
    <row r="2523" spans="1:13" x14ac:dyDescent="0.3">
      <c r="A2523" t="s">
        <v>24</v>
      </c>
      <c r="B2523" t="s">
        <v>59</v>
      </c>
      <c r="C2523">
        <v>362.25282352673918</v>
      </c>
      <c r="D2523">
        <v>17.06114548260004</v>
      </c>
      <c r="E2523">
        <v>26.705655398762769</v>
      </c>
      <c r="F2523">
        <v>57.050823306240098</v>
      </c>
      <c r="G2523">
        <v>5.19020942400617</v>
      </c>
      <c r="H2523">
        <v>76.485622065572954</v>
      </c>
      <c r="I2523">
        <v>31.582243653123879</v>
      </c>
      <c r="J2523">
        <v>30.0908012045611</v>
      </c>
      <c r="K2523">
        <v>11</v>
      </c>
      <c r="L2523">
        <v>-1</v>
      </c>
      <c r="M2523" t="s">
        <v>69</v>
      </c>
    </row>
    <row r="2524" spans="1:13" x14ac:dyDescent="0.3">
      <c r="A2524" t="s">
        <v>24</v>
      </c>
      <c r="B2524" t="s">
        <v>59</v>
      </c>
      <c r="C2524">
        <v>341.28073105720438</v>
      </c>
      <c r="D2524">
        <v>16.68918766290026</v>
      </c>
      <c r="E2524">
        <v>22.713666352301779</v>
      </c>
      <c r="F2524">
        <v>56.873312861869437</v>
      </c>
      <c r="G2524">
        <v>5.0396163531145159</v>
      </c>
      <c r="H2524">
        <v>73.211950167494933</v>
      </c>
      <c r="I2524">
        <v>30.94783177996878</v>
      </c>
      <c r="J2524">
        <v>31.143679240597582</v>
      </c>
      <c r="K2524">
        <v>11.07621587288781</v>
      </c>
      <c r="L2524">
        <v>-1</v>
      </c>
      <c r="M2524" t="s">
        <v>69</v>
      </c>
    </row>
    <row r="2525" spans="1:13" x14ac:dyDescent="0.3">
      <c r="A2525" t="s">
        <v>24</v>
      </c>
      <c r="B2525" t="s">
        <v>61</v>
      </c>
      <c r="C2525">
        <v>124.05522577104389</v>
      </c>
      <c r="D2525">
        <v>6.0476470175323271</v>
      </c>
      <c r="E2525">
        <v>8.01422715512299</v>
      </c>
      <c r="F2525">
        <v>20.201995646740858</v>
      </c>
      <c r="G2525">
        <v>6.2866833622729814</v>
      </c>
      <c r="H2525">
        <v>20.266321201803109</v>
      </c>
      <c r="I2525">
        <v>30.853470582626759</v>
      </c>
      <c r="J2525">
        <v>30.998912086809451</v>
      </c>
      <c r="K2525">
        <v>48.039756384779139</v>
      </c>
      <c r="L2525">
        <v>-1</v>
      </c>
      <c r="M2525" t="s">
        <v>69</v>
      </c>
    </row>
    <row r="2526" spans="1:13" x14ac:dyDescent="0.3">
      <c r="A2526" t="s">
        <v>24</v>
      </c>
      <c r="B2526" t="s">
        <v>61</v>
      </c>
      <c r="C2526">
        <v>184.73510735268019</v>
      </c>
      <c r="D2526">
        <v>8.379107945586167</v>
      </c>
      <c r="E2526">
        <v>12.210742884876851</v>
      </c>
      <c r="F2526">
        <v>29.28262900014554</v>
      </c>
      <c r="G2526">
        <v>6.1587644105833661</v>
      </c>
      <c r="H2526">
        <v>24.77707557119346</v>
      </c>
      <c r="I2526">
        <v>29.442735736477822</v>
      </c>
      <c r="J2526">
        <v>32.436843348420112</v>
      </c>
      <c r="K2526">
        <v>13.97448353606023</v>
      </c>
      <c r="L2526">
        <v>-1</v>
      </c>
      <c r="M2526" t="s">
        <v>69</v>
      </c>
    </row>
    <row r="2527" spans="1:13" x14ac:dyDescent="0.3">
      <c r="A2527" t="s">
        <v>24</v>
      </c>
      <c r="B2527" t="s">
        <v>61</v>
      </c>
      <c r="C2527">
        <v>332.68363573786922</v>
      </c>
      <c r="D2527">
        <v>17.97096204415995</v>
      </c>
      <c r="E2527">
        <v>21.96761111031843</v>
      </c>
      <c r="F2527">
        <v>50.081104941424641</v>
      </c>
      <c r="G2527">
        <v>4.3000953765575973</v>
      </c>
      <c r="H2527">
        <v>56.118072546244569</v>
      </c>
      <c r="I2527">
        <v>29.950837358956981</v>
      </c>
      <c r="J2527">
        <v>31.482944707166052</v>
      </c>
      <c r="K2527">
        <v>13.847269576571991</v>
      </c>
      <c r="L2527">
        <v>-1</v>
      </c>
      <c r="M2527" t="s">
        <v>69</v>
      </c>
    </row>
    <row r="2528" spans="1:13" x14ac:dyDescent="0.3">
      <c r="A2528" t="s">
        <v>24</v>
      </c>
      <c r="B2528" t="s">
        <v>61</v>
      </c>
      <c r="C2528">
        <v>189.62140991514411</v>
      </c>
      <c r="D2528">
        <v>8.3847335213351162</v>
      </c>
      <c r="E2528">
        <v>12.39658709072418</v>
      </c>
      <c r="F2528">
        <v>29.058174914467411</v>
      </c>
      <c r="G2528">
        <v>6.0707839305870914</v>
      </c>
      <c r="H2528">
        <v>23.724524992627121</v>
      </c>
      <c r="I2528">
        <v>29.270741954214639</v>
      </c>
      <c r="J2528">
        <v>32.724348475844231</v>
      </c>
      <c r="K2528">
        <v>13.943271863010979</v>
      </c>
      <c r="L2528">
        <v>-1</v>
      </c>
      <c r="M2528" t="s">
        <v>69</v>
      </c>
    </row>
    <row r="2529" spans="1:13" x14ac:dyDescent="0.3">
      <c r="A2529" t="s">
        <v>19</v>
      </c>
      <c r="B2529" t="s">
        <v>46</v>
      </c>
      <c r="C2529">
        <v>26.983207792988111</v>
      </c>
      <c r="D2529">
        <v>1.0012600690339619</v>
      </c>
      <c r="E2529">
        <v>0.99631298497405041</v>
      </c>
      <c r="F2529">
        <v>3.9918771290469759</v>
      </c>
      <c r="G2529">
        <v>6.0007118243107076</v>
      </c>
      <c r="H2529">
        <v>19.607309776995169</v>
      </c>
      <c r="I2529">
        <v>30.672667943248829</v>
      </c>
      <c r="J2529">
        <v>26.004431422394909</v>
      </c>
      <c r="K2529">
        <v>727.02103753859888</v>
      </c>
      <c r="L2529">
        <v>-1</v>
      </c>
      <c r="M2529" t="s">
        <v>69</v>
      </c>
    </row>
    <row r="2530" spans="1:13" x14ac:dyDescent="0.3">
      <c r="A2530" t="s">
        <v>25</v>
      </c>
      <c r="B2530" t="s">
        <v>62</v>
      </c>
      <c r="C2530">
        <v>92.959105006621684</v>
      </c>
      <c r="D2530">
        <v>3.9593330709043411</v>
      </c>
      <c r="E2530">
        <v>6.4576676068278118</v>
      </c>
      <c r="F2530">
        <v>13.61673345791781</v>
      </c>
      <c r="G2530">
        <v>6.9250802569128886</v>
      </c>
      <c r="H2530">
        <v>14.246351914299931</v>
      </c>
      <c r="I2530">
        <v>33.916868980282189</v>
      </c>
      <c r="J2530">
        <v>31.484119751725331</v>
      </c>
      <c r="K2530">
        <v>47.209472062620527</v>
      </c>
      <c r="L2530">
        <v>-1</v>
      </c>
      <c r="M2530" t="s">
        <v>69</v>
      </c>
    </row>
    <row r="2531" spans="1:13" x14ac:dyDescent="0.3">
      <c r="A2531" t="s">
        <v>19</v>
      </c>
      <c r="B2531" t="s">
        <v>46</v>
      </c>
      <c r="C2531">
        <v>46.885934715499303</v>
      </c>
      <c r="D2531">
        <v>1.9265681046129419</v>
      </c>
      <c r="E2531">
        <v>2.8440933102828012</v>
      </c>
      <c r="F2531">
        <v>2.0661500381642601</v>
      </c>
      <c r="G2531">
        <v>6.1616210641004097</v>
      </c>
      <c r="H2531">
        <v>20.35177240330496</v>
      </c>
      <c r="I2531">
        <v>29.42401924781624</v>
      </c>
      <c r="J2531">
        <v>26.103974651986469</v>
      </c>
      <c r="K2531">
        <v>736.72627514926114</v>
      </c>
      <c r="L2531">
        <v>-1</v>
      </c>
      <c r="M2531" t="s">
        <v>69</v>
      </c>
    </row>
    <row r="2532" spans="1:13" x14ac:dyDescent="0.3">
      <c r="A2532" t="s">
        <v>24</v>
      </c>
      <c r="B2532" t="s">
        <v>59</v>
      </c>
      <c r="C2532">
        <v>358.74437848904472</v>
      </c>
      <c r="D2532">
        <v>17.618677557369889</v>
      </c>
      <c r="E2532">
        <v>28.263135001167271</v>
      </c>
      <c r="F2532">
        <v>57.326706461376908</v>
      </c>
      <c r="G2532">
        <v>5.2417910757585604</v>
      </c>
      <c r="H2532">
        <v>74.953836148744259</v>
      </c>
      <c r="I2532">
        <v>31.4777248818861</v>
      </c>
      <c r="J2532">
        <v>30.134214953900869</v>
      </c>
      <c r="K2532">
        <v>11.0195322764182</v>
      </c>
      <c r="L2532">
        <v>-1</v>
      </c>
      <c r="M2532" t="s">
        <v>69</v>
      </c>
    </row>
    <row r="2533" spans="1:13" x14ac:dyDescent="0.3">
      <c r="A2533" t="s">
        <v>24</v>
      </c>
      <c r="B2533" t="s">
        <v>60</v>
      </c>
      <c r="C2533">
        <v>525.45562247397163</v>
      </c>
      <c r="D2533">
        <v>23.477134109842591</v>
      </c>
      <c r="E2533">
        <v>35.163685953912108</v>
      </c>
      <c r="F2533">
        <v>83.37016777207316</v>
      </c>
      <c r="G2533">
        <v>5.42077621559649</v>
      </c>
      <c r="H2533">
        <v>61.898679278638383</v>
      </c>
      <c r="I2533">
        <v>30.092499428772459</v>
      </c>
      <c r="J2533">
        <v>31.662010924136698</v>
      </c>
      <c r="K2533">
        <v>11.20823677129215</v>
      </c>
      <c r="L2533">
        <v>-1</v>
      </c>
      <c r="M2533" t="s">
        <v>69</v>
      </c>
    </row>
    <row r="2534" spans="1:13" x14ac:dyDescent="0.3">
      <c r="A2534" t="s">
        <v>24</v>
      </c>
      <c r="B2534" t="s">
        <v>60</v>
      </c>
      <c r="C2534">
        <v>609.4106448860249</v>
      </c>
      <c r="D2534">
        <v>27.646281743640891</v>
      </c>
      <c r="E2534">
        <v>48.220581080389103</v>
      </c>
      <c r="F2534">
        <v>88.660341579675901</v>
      </c>
      <c r="G2534">
        <v>6.0551745828511772</v>
      </c>
      <c r="H2534">
        <v>77.486310957075233</v>
      </c>
      <c r="I2534">
        <v>29.777657934663299</v>
      </c>
      <c r="J2534">
        <v>30.416943952081681</v>
      </c>
      <c r="K2534">
        <v>11.0720672419327</v>
      </c>
      <c r="L2534">
        <v>-1</v>
      </c>
      <c r="M2534" t="s">
        <v>69</v>
      </c>
    </row>
    <row r="2535" spans="1:13" x14ac:dyDescent="0.3">
      <c r="A2535" t="s">
        <v>19</v>
      </c>
      <c r="B2535" t="s">
        <v>47</v>
      </c>
      <c r="C2535">
        <v>31.015076519162971</v>
      </c>
      <c r="D2535">
        <v>0.99077699444246026</v>
      </c>
      <c r="E2535">
        <v>1.9954269477363089</v>
      </c>
      <c r="F2535">
        <v>3.924854901436158</v>
      </c>
      <c r="G2535">
        <v>5.9061063612915694</v>
      </c>
      <c r="H2535">
        <v>21.350864997784061</v>
      </c>
      <c r="I2535">
        <v>29.892048068457459</v>
      </c>
      <c r="J2535">
        <v>26.08523208942459</v>
      </c>
      <c r="K2535">
        <v>730.74343825968322</v>
      </c>
      <c r="L2535">
        <v>-1</v>
      </c>
      <c r="M2535" t="s">
        <v>69</v>
      </c>
    </row>
    <row r="2536" spans="1:13" x14ac:dyDescent="0.3">
      <c r="A2536" t="s">
        <v>24</v>
      </c>
      <c r="B2536" t="s">
        <v>61</v>
      </c>
      <c r="C2536">
        <v>83.898564115136125</v>
      </c>
      <c r="D2536">
        <v>3.9721241468368889</v>
      </c>
      <c r="E2536">
        <v>5.175066898158561</v>
      </c>
      <c r="F2536">
        <v>10.464228139108419</v>
      </c>
      <c r="G2536">
        <v>6.171212170478217</v>
      </c>
      <c r="H2536">
        <v>15.39407799604129</v>
      </c>
      <c r="I2536">
        <v>34.862890104410603</v>
      </c>
      <c r="J2536">
        <v>30.313696105953159</v>
      </c>
      <c r="K2536">
        <v>47.973214349847467</v>
      </c>
      <c r="L2536">
        <v>-1</v>
      </c>
      <c r="M2536" t="s">
        <v>69</v>
      </c>
    </row>
    <row r="2537" spans="1:13" x14ac:dyDescent="0.3">
      <c r="A2537" t="s">
        <v>24</v>
      </c>
      <c r="B2537" t="s">
        <v>60</v>
      </c>
      <c r="C2537">
        <v>590.60832553652847</v>
      </c>
      <c r="D2537">
        <v>28.08157021287056</v>
      </c>
      <c r="E2537">
        <v>44.854661263781203</v>
      </c>
      <c r="F2537">
        <v>86.54317105042864</v>
      </c>
      <c r="G2537">
        <v>6.0790960889026886</v>
      </c>
      <c r="H2537">
        <v>79.117232724480985</v>
      </c>
      <c r="I2537">
        <v>30.526585409831601</v>
      </c>
      <c r="J2537">
        <v>30.473302531828629</v>
      </c>
      <c r="K2537">
        <v>11.061135464168959</v>
      </c>
      <c r="L2537">
        <v>-1</v>
      </c>
      <c r="M2537" t="s">
        <v>69</v>
      </c>
    </row>
    <row r="2538" spans="1:13" x14ac:dyDescent="0.3">
      <c r="A2538" t="s">
        <v>24</v>
      </c>
      <c r="B2538" t="s">
        <v>59</v>
      </c>
      <c r="C2538">
        <v>345.95560887887592</v>
      </c>
      <c r="D2538">
        <v>17.463559721647769</v>
      </c>
      <c r="E2538">
        <v>23.498232356024459</v>
      </c>
      <c r="F2538">
        <v>54.688918456639499</v>
      </c>
      <c r="G2538">
        <v>5.2396942893399929</v>
      </c>
      <c r="H2538">
        <v>77.397454521440551</v>
      </c>
      <c r="I2538">
        <v>31.724015301732901</v>
      </c>
      <c r="J2538">
        <v>31.471848690297431</v>
      </c>
      <c r="K2538">
        <v>11</v>
      </c>
      <c r="L2538">
        <v>-1</v>
      </c>
      <c r="M2538" t="s">
        <v>69</v>
      </c>
    </row>
    <row r="2539" spans="1:13" x14ac:dyDescent="0.3">
      <c r="A2539" t="s">
        <v>24</v>
      </c>
      <c r="B2539" t="s">
        <v>59</v>
      </c>
      <c r="C2539">
        <v>369.30883385557638</v>
      </c>
      <c r="D2539">
        <v>17.25562075772768</v>
      </c>
      <c r="E2539">
        <v>26.55082090007669</v>
      </c>
      <c r="F2539">
        <v>54.284204241523348</v>
      </c>
      <c r="G2539">
        <v>5.2105820781993684</v>
      </c>
      <c r="H2539">
        <v>74.539374770397615</v>
      </c>
      <c r="I2539">
        <v>30.668425094397371</v>
      </c>
      <c r="J2539">
        <v>30.938241440256991</v>
      </c>
      <c r="K2539">
        <v>11.072509272522669</v>
      </c>
      <c r="L2539">
        <v>-1</v>
      </c>
      <c r="M2539" t="s">
        <v>69</v>
      </c>
    </row>
    <row r="2540" spans="1:13" x14ac:dyDescent="0.3">
      <c r="A2540" t="s">
        <v>24</v>
      </c>
      <c r="B2540" t="s">
        <v>61</v>
      </c>
      <c r="C2540">
        <v>131.01343299944429</v>
      </c>
      <c r="D2540">
        <v>5.1006812752963384</v>
      </c>
      <c r="E2540">
        <v>9.1941782649834884</v>
      </c>
      <c r="F2540">
        <v>20.07684739487237</v>
      </c>
      <c r="G2540">
        <v>6.2556176783325377</v>
      </c>
      <c r="H2540">
        <v>20.62558217315291</v>
      </c>
      <c r="I2540">
        <v>29.181708407262391</v>
      </c>
      <c r="J2540">
        <v>30.76671196297556</v>
      </c>
      <c r="K2540">
        <v>48.78802594152944</v>
      </c>
      <c r="L2540">
        <v>-1</v>
      </c>
      <c r="M2540" t="s">
        <v>69</v>
      </c>
    </row>
    <row r="2541" spans="1:13" x14ac:dyDescent="0.3">
      <c r="A2541" t="s">
        <v>19</v>
      </c>
      <c r="B2541" t="s">
        <v>46</v>
      </c>
      <c r="C2541">
        <v>27.66878542466112</v>
      </c>
      <c r="D2541">
        <v>1.0077102745470421</v>
      </c>
      <c r="E2541">
        <v>0.86036734384092384</v>
      </c>
      <c r="F2541">
        <v>3.7446119049999211</v>
      </c>
      <c r="G2541">
        <v>6.1500342545681539</v>
      </c>
      <c r="H2541">
        <v>19.540184756926191</v>
      </c>
      <c r="I2541">
        <v>30.84991571494982</v>
      </c>
      <c r="J2541">
        <v>25.92912461114306</v>
      </c>
      <c r="K2541">
        <v>713.32732673534804</v>
      </c>
      <c r="L2541">
        <v>-1</v>
      </c>
      <c r="M2541" t="s">
        <v>69</v>
      </c>
    </row>
    <row r="2542" spans="1:13" x14ac:dyDescent="0.3">
      <c r="A2542" t="s">
        <v>25</v>
      </c>
      <c r="B2542" t="s">
        <v>62</v>
      </c>
      <c r="C2542">
        <v>100.4275851981759</v>
      </c>
      <c r="D2542">
        <v>4.0922239498673436</v>
      </c>
      <c r="E2542">
        <v>5.9263496206915534</v>
      </c>
      <c r="F2542">
        <v>14.555230373171581</v>
      </c>
      <c r="G2542">
        <v>6.8038993469890752</v>
      </c>
      <c r="H2542">
        <v>14.624843146375939</v>
      </c>
      <c r="I2542">
        <v>33.798954293637209</v>
      </c>
      <c r="J2542">
        <v>30.415960017482799</v>
      </c>
      <c r="K2542">
        <v>46.755816870536357</v>
      </c>
      <c r="L2542">
        <v>-1</v>
      </c>
      <c r="M2542" t="s">
        <v>69</v>
      </c>
    </row>
    <row r="2543" spans="1:13" x14ac:dyDescent="0.3">
      <c r="A2543" t="s">
        <v>24</v>
      </c>
      <c r="B2543" t="s">
        <v>61</v>
      </c>
      <c r="C2543">
        <v>124.42371930926321</v>
      </c>
      <c r="D2543">
        <v>6.365571380455509</v>
      </c>
      <c r="E2543">
        <v>8.1091577397207981</v>
      </c>
      <c r="F2543">
        <v>21.549810066809751</v>
      </c>
      <c r="G2543">
        <v>6.1978281980904804</v>
      </c>
      <c r="H2543">
        <v>20.708848917567249</v>
      </c>
      <c r="I2543">
        <v>31.210252639451419</v>
      </c>
      <c r="J2543">
        <v>30.991652994300949</v>
      </c>
      <c r="K2543">
        <v>48.305030560532487</v>
      </c>
      <c r="L2543">
        <v>-1</v>
      </c>
      <c r="M2543" t="s">
        <v>69</v>
      </c>
    </row>
    <row r="2544" spans="1:13" x14ac:dyDescent="0.3">
      <c r="A2544" t="s">
        <v>25</v>
      </c>
      <c r="B2544" t="s">
        <v>62</v>
      </c>
      <c r="C2544">
        <v>85.474592023529624</v>
      </c>
      <c r="D2544">
        <v>3.794917842301746</v>
      </c>
      <c r="E2544">
        <v>5.4125388858116033</v>
      </c>
      <c r="F2544">
        <v>13.519554925499079</v>
      </c>
      <c r="G2544">
        <v>6.5667602498488868</v>
      </c>
      <c r="H2544">
        <v>14.294052010112649</v>
      </c>
      <c r="I2544">
        <v>31.85389769305861</v>
      </c>
      <c r="J2544">
        <v>31.207065639835601</v>
      </c>
      <c r="K2544">
        <v>47.016374053622712</v>
      </c>
      <c r="L2544">
        <v>-1</v>
      </c>
      <c r="M2544" t="s">
        <v>69</v>
      </c>
    </row>
    <row r="2545" spans="1:13" x14ac:dyDescent="0.3">
      <c r="A2545" t="s">
        <v>25</v>
      </c>
      <c r="B2545" t="s">
        <v>62</v>
      </c>
      <c r="C2545">
        <v>91.433930400021765</v>
      </c>
      <c r="D2545">
        <v>4.2849420004939773</v>
      </c>
      <c r="E2545">
        <v>5.7728979854736542</v>
      </c>
      <c r="F2545">
        <v>12.07475046798174</v>
      </c>
      <c r="G2545">
        <v>6.8178571188853203</v>
      </c>
      <c r="H2545">
        <v>13.9</v>
      </c>
      <c r="I2545">
        <v>32.643021361314588</v>
      </c>
      <c r="J2545">
        <v>30.50025515890308</v>
      </c>
      <c r="K2545">
        <v>47.485442450283237</v>
      </c>
      <c r="L2545">
        <v>-1</v>
      </c>
      <c r="M2545" t="s">
        <v>69</v>
      </c>
    </row>
    <row r="2546" spans="1:13" x14ac:dyDescent="0.3">
      <c r="A2546" t="s">
        <v>24</v>
      </c>
      <c r="B2546" t="s">
        <v>61</v>
      </c>
      <c r="C2546">
        <v>336.22593048038277</v>
      </c>
      <c r="D2546">
        <v>17.399323136707029</v>
      </c>
      <c r="E2546">
        <v>23.79512797929096</v>
      </c>
      <c r="F2546">
        <v>54.589719744698883</v>
      </c>
      <c r="G2546">
        <v>4.6021674526163538</v>
      </c>
      <c r="H2546">
        <v>56.578122263965533</v>
      </c>
      <c r="I2546">
        <v>31.329790826964832</v>
      </c>
      <c r="J2546">
        <v>30.833920045220491</v>
      </c>
      <c r="K2546">
        <v>14.149873125483049</v>
      </c>
      <c r="L2546">
        <v>-1</v>
      </c>
      <c r="M2546" t="s">
        <v>69</v>
      </c>
    </row>
    <row r="2547" spans="1:13" x14ac:dyDescent="0.3">
      <c r="A2547" t="s">
        <v>24</v>
      </c>
      <c r="B2547" t="s">
        <v>61</v>
      </c>
      <c r="C2547">
        <v>689.69670805182091</v>
      </c>
      <c r="D2547">
        <v>35.915929781456427</v>
      </c>
      <c r="E2547">
        <v>49.169721831250833</v>
      </c>
      <c r="F2547">
        <v>118.1066951999877</v>
      </c>
      <c r="G2547">
        <v>5.9302268109146894</v>
      </c>
      <c r="H2547">
        <v>69.967107623148223</v>
      </c>
      <c r="I2547">
        <v>29.02144594711514</v>
      </c>
      <c r="J2547">
        <v>30.682749790580651</v>
      </c>
      <c r="K2547">
        <v>11</v>
      </c>
      <c r="L2547">
        <v>-1</v>
      </c>
      <c r="M2547" t="s">
        <v>69</v>
      </c>
    </row>
    <row r="2548" spans="1:13" x14ac:dyDescent="0.3">
      <c r="A2548" t="s">
        <v>19</v>
      </c>
      <c r="B2548" t="s">
        <v>46</v>
      </c>
      <c r="C2548">
        <v>26.533926447160521</v>
      </c>
      <c r="D2548">
        <v>1.0349736548070441</v>
      </c>
      <c r="E2548">
        <v>0.89766561409700607</v>
      </c>
      <c r="F2548">
        <v>3.774546888228977</v>
      </c>
      <c r="G2548">
        <v>6.0197569316084767</v>
      </c>
      <c r="H2548">
        <v>19.80288540584294</v>
      </c>
      <c r="I2548">
        <v>29.94138924755903</v>
      </c>
      <c r="J2548">
        <v>26.122995671639121</v>
      </c>
      <c r="K2548">
        <v>727.58390420930812</v>
      </c>
      <c r="L2548">
        <v>-1</v>
      </c>
      <c r="M2548" t="s">
        <v>69</v>
      </c>
    </row>
    <row r="2549" spans="1:13" x14ac:dyDescent="0.3">
      <c r="A2549" t="s">
        <v>24</v>
      </c>
      <c r="B2549" t="s">
        <v>59</v>
      </c>
      <c r="C2549">
        <v>341.16344248066451</v>
      </c>
      <c r="D2549">
        <v>17.308891008984819</v>
      </c>
      <c r="E2549">
        <v>25.759041275272761</v>
      </c>
      <c r="F2549">
        <v>55.123256707092011</v>
      </c>
      <c r="G2549">
        <v>5.2144163114136566</v>
      </c>
      <c r="H2549">
        <v>79.161552755789558</v>
      </c>
      <c r="I2549">
        <v>30.436570157766241</v>
      </c>
      <c r="J2549">
        <v>30.08879701938308</v>
      </c>
      <c r="K2549">
        <v>11.08077419230335</v>
      </c>
      <c r="L2549">
        <v>-1</v>
      </c>
      <c r="M2549" t="s">
        <v>69</v>
      </c>
    </row>
    <row r="2550" spans="1:13" x14ac:dyDescent="0.3">
      <c r="A2550" t="s">
        <v>24</v>
      </c>
      <c r="B2550" t="s">
        <v>60</v>
      </c>
      <c r="C2550">
        <v>521.99111153513638</v>
      </c>
      <c r="D2550">
        <v>31.228464097033811</v>
      </c>
      <c r="E2550">
        <v>35.322653836729607</v>
      </c>
      <c r="F2550">
        <v>77.695656657078416</v>
      </c>
      <c r="G2550">
        <v>5.3421455621445224</v>
      </c>
      <c r="H2550">
        <v>67.017452219282049</v>
      </c>
      <c r="I2550">
        <v>30.11101834415161</v>
      </c>
      <c r="J2550">
        <v>30.57046179387191</v>
      </c>
      <c r="K2550">
        <v>11.065239375799591</v>
      </c>
      <c r="L2550">
        <v>-1</v>
      </c>
      <c r="M2550" t="s">
        <v>69</v>
      </c>
    </row>
    <row r="2551" spans="1:13" x14ac:dyDescent="0.3">
      <c r="A2551" t="s">
        <v>24</v>
      </c>
      <c r="B2551" t="s">
        <v>61</v>
      </c>
      <c r="C2551">
        <v>75.075622525362775</v>
      </c>
      <c r="D2551">
        <v>4.0622414525561528</v>
      </c>
      <c r="E2551">
        <v>4.6079676526746161</v>
      </c>
      <c r="F2551">
        <v>11.99854213469597</v>
      </c>
      <c r="G2551">
        <v>6.1259374490930023</v>
      </c>
      <c r="H2551">
        <v>15.08524540528596</v>
      </c>
      <c r="I2551">
        <v>35.200399298487163</v>
      </c>
      <c r="J2551">
        <v>31.359366953895449</v>
      </c>
      <c r="K2551">
        <v>47.691928205626709</v>
      </c>
      <c r="L2551">
        <v>-1</v>
      </c>
      <c r="M2551" t="s">
        <v>69</v>
      </c>
    </row>
    <row r="2552" spans="1:13" x14ac:dyDescent="0.3">
      <c r="A2552" t="s">
        <v>24</v>
      </c>
      <c r="B2552" t="s">
        <v>61</v>
      </c>
      <c r="C2552">
        <v>681.23425062485364</v>
      </c>
      <c r="D2552">
        <v>35.412186169272871</v>
      </c>
      <c r="E2552">
        <v>48.057322687039928</v>
      </c>
      <c r="F2552">
        <v>88.117958721877955</v>
      </c>
      <c r="G2552">
        <v>5.886419671350458</v>
      </c>
      <c r="H2552">
        <v>65.573669263410935</v>
      </c>
      <c r="I2552">
        <v>30.141692493859171</v>
      </c>
      <c r="J2552">
        <v>30.75425372578292</v>
      </c>
      <c r="K2552">
        <v>11.117430088386749</v>
      </c>
      <c r="L2552">
        <v>-1</v>
      </c>
      <c r="M2552" t="s">
        <v>69</v>
      </c>
    </row>
    <row r="2553" spans="1:13" x14ac:dyDescent="0.3">
      <c r="A2553" t="s">
        <v>24</v>
      </c>
      <c r="B2553" t="s">
        <v>61</v>
      </c>
      <c r="C2553">
        <v>127.5264349106383</v>
      </c>
      <c r="D2553">
        <v>6.6090706136620057</v>
      </c>
      <c r="E2553">
        <v>8.840950485812046</v>
      </c>
      <c r="F2553">
        <v>17.6425391513955</v>
      </c>
      <c r="G2553">
        <v>6.4439361716934176</v>
      </c>
      <c r="H2553">
        <v>20.726698846534561</v>
      </c>
      <c r="I2553">
        <v>30.418571057907361</v>
      </c>
      <c r="J2553">
        <v>30.90187388776646</v>
      </c>
      <c r="K2553">
        <v>48.738864909928679</v>
      </c>
      <c r="L2553">
        <v>-1</v>
      </c>
      <c r="M2553" t="s">
        <v>69</v>
      </c>
    </row>
    <row r="2554" spans="1:13" x14ac:dyDescent="0.3">
      <c r="A2554" t="s">
        <v>24</v>
      </c>
      <c r="B2554" t="s">
        <v>60</v>
      </c>
      <c r="C2554">
        <v>572.44376243138402</v>
      </c>
      <c r="D2554">
        <v>31.936790562012082</v>
      </c>
      <c r="E2554">
        <v>42.977636834037682</v>
      </c>
      <c r="F2554">
        <v>90.335425914021386</v>
      </c>
      <c r="G2554">
        <v>6.2307998836265837</v>
      </c>
      <c r="H2554">
        <v>80.140012101274863</v>
      </c>
      <c r="I2554">
        <v>31.541571358469749</v>
      </c>
      <c r="J2554">
        <v>31.05270706645334</v>
      </c>
      <c r="K2554">
        <v>11</v>
      </c>
      <c r="L2554">
        <v>-1</v>
      </c>
      <c r="M2554" t="s">
        <v>69</v>
      </c>
    </row>
    <row r="2555" spans="1:13" x14ac:dyDescent="0.3">
      <c r="A2555" t="s">
        <v>24</v>
      </c>
      <c r="B2555" t="s">
        <v>61</v>
      </c>
      <c r="C2555">
        <v>354.42313509353892</v>
      </c>
      <c r="D2555">
        <v>15.82809631559981</v>
      </c>
      <c r="E2555">
        <v>25.186197267126659</v>
      </c>
      <c r="F2555">
        <v>61.616128232724407</v>
      </c>
      <c r="G2555">
        <v>4.3</v>
      </c>
      <c r="H2555">
        <v>57.374428241676704</v>
      </c>
      <c r="I2555">
        <v>29.107958476665889</v>
      </c>
      <c r="J2555">
        <v>30.558217316609969</v>
      </c>
      <c r="K2555">
        <v>13.87192645764094</v>
      </c>
      <c r="L2555">
        <v>-1</v>
      </c>
      <c r="M2555" t="s">
        <v>69</v>
      </c>
    </row>
    <row r="2556" spans="1:13" x14ac:dyDescent="0.3">
      <c r="A2556" t="s">
        <v>24</v>
      </c>
      <c r="B2556" t="s">
        <v>58</v>
      </c>
      <c r="C2556">
        <v>31.993421121288179</v>
      </c>
      <c r="D2556">
        <v>0.98687094864451552</v>
      </c>
      <c r="E2556">
        <v>1.8748250367625201</v>
      </c>
      <c r="F2556">
        <v>3.974319693520433</v>
      </c>
      <c r="G2556">
        <v>5.6789062479922841</v>
      </c>
      <c r="H2556">
        <v>21.405353936855349</v>
      </c>
      <c r="I2556">
        <v>29.260731129074799</v>
      </c>
      <c r="J2556">
        <v>26.195523482503511</v>
      </c>
      <c r="K2556">
        <v>749.73696059277881</v>
      </c>
      <c r="L2556">
        <v>-1</v>
      </c>
      <c r="M2556" t="s">
        <v>69</v>
      </c>
    </row>
    <row r="2557" spans="1:13" x14ac:dyDescent="0.3">
      <c r="A2557" t="s">
        <v>24</v>
      </c>
      <c r="B2557" t="s">
        <v>61</v>
      </c>
      <c r="C2557">
        <v>335.69181451643482</v>
      </c>
      <c r="D2557">
        <v>16.587756372579889</v>
      </c>
      <c r="E2557">
        <v>23.940678337556449</v>
      </c>
      <c r="F2557">
        <v>65.274184223152275</v>
      </c>
      <c r="G2557">
        <v>4.375829269469576</v>
      </c>
      <c r="H2557">
        <v>57.650691368345917</v>
      </c>
      <c r="I2557">
        <v>29.495308291298581</v>
      </c>
      <c r="J2557">
        <v>31.100031746814949</v>
      </c>
      <c r="K2557">
        <v>13.77082200890391</v>
      </c>
      <c r="L2557">
        <v>-1</v>
      </c>
      <c r="M2557" t="s">
        <v>69</v>
      </c>
    </row>
    <row r="2558" spans="1:13" x14ac:dyDescent="0.3">
      <c r="A2558" t="s">
        <v>24</v>
      </c>
      <c r="B2558" t="s">
        <v>61</v>
      </c>
      <c r="C2558">
        <v>176.39156049074069</v>
      </c>
      <c r="D2558">
        <v>8.1467747072286638</v>
      </c>
      <c r="E2558">
        <v>12.8844943912234</v>
      </c>
      <c r="F2558">
        <v>30.738595250003598</v>
      </c>
      <c r="G2558">
        <v>6.1562461212418391</v>
      </c>
      <c r="H2558">
        <v>24.96901499179177</v>
      </c>
      <c r="I2558">
        <v>29.47127567617078</v>
      </c>
      <c r="J2558">
        <v>31.209439770825568</v>
      </c>
      <c r="K2558">
        <v>14.051540006144251</v>
      </c>
      <c r="L2558">
        <v>-1</v>
      </c>
      <c r="M2558" t="s">
        <v>69</v>
      </c>
    </row>
    <row r="2559" spans="1:13" x14ac:dyDescent="0.3">
      <c r="A2559" t="s">
        <v>25</v>
      </c>
      <c r="B2559" t="s">
        <v>62</v>
      </c>
      <c r="C2559">
        <v>92.016645482425787</v>
      </c>
      <c r="D2559">
        <v>3.903415849151612</v>
      </c>
      <c r="E2559">
        <v>6.1316150690715201</v>
      </c>
      <c r="F2559">
        <v>13.67237448998026</v>
      </c>
      <c r="G2559">
        <v>6.9426783886842163</v>
      </c>
      <c r="H2559">
        <v>14.168949884901901</v>
      </c>
      <c r="I2559">
        <v>32.309444973768443</v>
      </c>
      <c r="J2559">
        <v>31.287808574382101</v>
      </c>
      <c r="K2559">
        <v>49.259518360513312</v>
      </c>
      <c r="L2559">
        <v>-1</v>
      </c>
      <c r="M2559" t="s">
        <v>69</v>
      </c>
    </row>
    <row r="2560" spans="1:13" x14ac:dyDescent="0.3">
      <c r="A2560" t="s">
        <v>24</v>
      </c>
      <c r="B2560" t="s">
        <v>61</v>
      </c>
      <c r="C2560">
        <v>314.0244111739255</v>
      </c>
      <c r="D2560">
        <v>16.789338398542359</v>
      </c>
      <c r="E2560">
        <v>23.84221006479709</v>
      </c>
      <c r="F2560">
        <v>62.528664135473143</v>
      </c>
      <c r="G2560">
        <v>4.4353074288109298</v>
      </c>
      <c r="H2560">
        <v>58.912868914689639</v>
      </c>
      <c r="I2560">
        <v>30.00595790770365</v>
      </c>
      <c r="J2560">
        <v>30.883777243286922</v>
      </c>
      <c r="K2560">
        <v>13.700228303197489</v>
      </c>
      <c r="L2560">
        <v>-1</v>
      </c>
      <c r="M2560" t="s">
        <v>69</v>
      </c>
    </row>
    <row r="2561" spans="1:13" x14ac:dyDescent="0.3">
      <c r="A2561" t="s">
        <v>24</v>
      </c>
      <c r="B2561" t="s">
        <v>61</v>
      </c>
      <c r="C2561">
        <v>346.91393737477432</v>
      </c>
      <c r="D2561">
        <v>19.026574252576051</v>
      </c>
      <c r="E2561">
        <v>20.660893455278611</v>
      </c>
      <c r="F2561">
        <v>60.671024233331607</v>
      </c>
      <c r="G2561">
        <v>4.3617845003679339</v>
      </c>
      <c r="H2561">
        <v>59.4754014390398</v>
      </c>
      <c r="I2561">
        <v>29.51394400699359</v>
      </c>
      <c r="J2561">
        <v>32.907863975604783</v>
      </c>
      <c r="K2561">
        <v>14.329585060542509</v>
      </c>
      <c r="L2561">
        <v>-1</v>
      </c>
      <c r="M2561" t="s">
        <v>69</v>
      </c>
    </row>
    <row r="2562" spans="1:13" x14ac:dyDescent="0.3">
      <c r="A2562" t="s">
        <v>24</v>
      </c>
      <c r="B2562" t="s">
        <v>61</v>
      </c>
      <c r="C2562">
        <v>347.65731553365998</v>
      </c>
      <c r="D2562">
        <v>15.44815714067745</v>
      </c>
      <c r="E2562">
        <v>22.635916337797461</v>
      </c>
      <c r="F2562">
        <v>53.596117346496328</v>
      </c>
      <c r="G2562">
        <v>4.3383692627751396</v>
      </c>
      <c r="H2562">
        <v>53.499814343592973</v>
      </c>
      <c r="I2562">
        <v>30.195317365480449</v>
      </c>
      <c r="J2562">
        <v>31.124779383920721</v>
      </c>
      <c r="K2562">
        <v>13.972215937593999</v>
      </c>
      <c r="L2562">
        <v>-1</v>
      </c>
      <c r="M2562" t="s">
        <v>69</v>
      </c>
    </row>
    <row r="2563" spans="1:13" x14ac:dyDescent="0.3">
      <c r="A2563" t="s">
        <v>25</v>
      </c>
      <c r="B2563" t="s">
        <v>62</v>
      </c>
      <c r="C2563">
        <v>91.344320709159049</v>
      </c>
      <c r="D2563">
        <v>4.1378552496666954</v>
      </c>
      <c r="E2563">
        <v>6.2579090383904328</v>
      </c>
      <c r="F2563">
        <v>13.76690020116488</v>
      </c>
      <c r="G2563">
        <v>6.793831125807996</v>
      </c>
      <c r="H2563">
        <v>14.63493555057766</v>
      </c>
      <c r="I2563">
        <v>34.006185913743813</v>
      </c>
      <c r="J2563">
        <v>31.50715204097887</v>
      </c>
      <c r="K2563">
        <v>49.01640977655029</v>
      </c>
      <c r="L2563">
        <v>-1</v>
      </c>
      <c r="M2563" t="s">
        <v>69</v>
      </c>
    </row>
    <row r="2564" spans="1:13" x14ac:dyDescent="0.3">
      <c r="A2564" t="s">
        <v>24</v>
      </c>
      <c r="B2564" t="s">
        <v>61</v>
      </c>
      <c r="C2564">
        <v>329.67083859607931</v>
      </c>
      <c r="D2564">
        <v>15.69554049012736</v>
      </c>
      <c r="E2564">
        <v>24.307604268535471</v>
      </c>
      <c r="F2564">
        <v>56.706458936638818</v>
      </c>
      <c r="G2564">
        <v>4.3701880333002388</v>
      </c>
      <c r="H2564">
        <v>58.329260240571159</v>
      </c>
      <c r="I2564">
        <v>30.21445379230698</v>
      </c>
      <c r="J2564">
        <v>30.186790462808901</v>
      </c>
      <c r="K2564">
        <v>13.89332983736222</v>
      </c>
      <c r="L2564">
        <v>-1</v>
      </c>
      <c r="M2564" t="s">
        <v>69</v>
      </c>
    </row>
    <row r="2565" spans="1:13" x14ac:dyDescent="0.3">
      <c r="A2565" t="s">
        <v>25</v>
      </c>
      <c r="B2565" t="s">
        <v>62</v>
      </c>
      <c r="C2565">
        <v>91.929236830913283</v>
      </c>
      <c r="D2565">
        <v>3.793834874657033</v>
      </c>
      <c r="E2565">
        <v>6.0233048724520017</v>
      </c>
      <c r="F2565">
        <v>14.313545210549499</v>
      </c>
      <c r="G2565">
        <v>6.9416633686661147</v>
      </c>
      <c r="H2565">
        <v>14.21011456239315</v>
      </c>
      <c r="I2565">
        <v>32.68034429557283</v>
      </c>
      <c r="J2565">
        <v>31.087240624935092</v>
      </c>
      <c r="K2565">
        <v>49.04514939962678</v>
      </c>
      <c r="L2565">
        <v>-1</v>
      </c>
      <c r="M2565" t="s">
        <v>69</v>
      </c>
    </row>
    <row r="2566" spans="1:13" x14ac:dyDescent="0.3">
      <c r="A2566" t="s">
        <v>19</v>
      </c>
      <c r="B2566" t="s">
        <v>46</v>
      </c>
      <c r="C2566">
        <v>43.508750214059567</v>
      </c>
      <c r="D2566">
        <v>1.701881130870559</v>
      </c>
      <c r="E2566">
        <v>2.7528469084917409</v>
      </c>
      <c r="F2566">
        <v>2.668214088810533</v>
      </c>
      <c r="G2566">
        <v>6.0549572465486756</v>
      </c>
      <c r="H2566">
        <v>21.246817051366239</v>
      </c>
      <c r="I2566">
        <v>30.127415887920979</v>
      </c>
      <c r="J2566">
        <v>26.32669957910451</v>
      </c>
      <c r="K2566">
        <v>731.12047757472305</v>
      </c>
      <c r="L2566">
        <v>-1</v>
      </c>
      <c r="M2566" t="s">
        <v>69</v>
      </c>
    </row>
    <row r="2567" spans="1:13" x14ac:dyDescent="0.3">
      <c r="A2567" t="s">
        <v>24</v>
      </c>
      <c r="B2567" t="s">
        <v>61</v>
      </c>
      <c r="C2567">
        <v>349.05295614526437</v>
      </c>
      <c r="D2567">
        <v>15.832215406536751</v>
      </c>
      <c r="E2567">
        <v>22.413277140823059</v>
      </c>
      <c r="F2567">
        <v>53.934905221143232</v>
      </c>
      <c r="G2567">
        <v>4.4383986093169776</v>
      </c>
      <c r="H2567">
        <v>53.979259381017357</v>
      </c>
      <c r="I2567">
        <v>30.1530762096011</v>
      </c>
      <c r="J2567">
        <v>30.956100835756232</v>
      </c>
      <c r="K2567">
        <v>14.1099909166303</v>
      </c>
      <c r="L2567">
        <v>-1</v>
      </c>
      <c r="M2567" t="s">
        <v>69</v>
      </c>
    </row>
    <row r="2568" spans="1:13" x14ac:dyDescent="0.3">
      <c r="A2568" t="s">
        <v>24</v>
      </c>
      <c r="B2568" t="s">
        <v>61</v>
      </c>
      <c r="C2568">
        <v>124.1148612181712</v>
      </c>
      <c r="D2568">
        <v>5.9437025553214253</v>
      </c>
      <c r="E2568">
        <v>8.3009457889048566</v>
      </c>
      <c r="F2568">
        <v>22.231763886017511</v>
      </c>
      <c r="G2568">
        <v>6.2141963294174412</v>
      </c>
      <c r="H2568">
        <v>20.815076331103771</v>
      </c>
      <c r="I2568">
        <v>31.278978375827219</v>
      </c>
      <c r="J2568">
        <v>31.146541445795211</v>
      </c>
      <c r="K2568">
        <v>47.618720737608783</v>
      </c>
      <c r="L2568">
        <v>-1</v>
      </c>
      <c r="M2568" t="s">
        <v>69</v>
      </c>
    </row>
    <row r="2569" spans="1:13" x14ac:dyDescent="0.3">
      <c r="A2569" t="s">
        <v>24</v>
      </c>
      <c r="B2569" t="s">
        <v>61</v>
      </c>
      <c r="C2569">
        <v>121.3091434861623</v>
      </c>
      <c r="D2569">
        <v>5.9988129723883716</v>
      </c>
      <c r="E2569">
        <v>7.4044178977474244</v>
      </c>
      <c r="F2569">
        <v>21.68063956742624</v>
      </c>
      <c r="G2569">
        <v>6.0639625608684078</v>
      </c>
      <c r="H2569">
        <v>20.145206715343889</v>
      </c>
      <c r="I2569">
        <v>31.127037400452139</v>
      </c>
      <c r="J2569">
        <v>31.163034000135099</v>
      </c>
      <c r="K2569">
        <v>47.351410842857831</v>
      </c>
      <c r="L2569">
        <v>-1</v>
      </c>
      <c r="M2569" t="s">
        <v>69</v>
      </c>
    </row>
    <row r="2570" spans="1:13" x14ac:dyDescent="0.3">
      <c r="A2570" t="s">
        <v>19</v>
      </c>
      <c r="B2570" t="s">
        <v>46</v>
      </c>
      <c r="C2570">
        <v>28.054810915747691</v>
      </c>
      <c r="D2570">
        <v>1.009078692240126</v>
      </c>
      <c r="E2570">
        <v>0.94394571654984194</v>
      </c>
      <c r="F2570">
        <v>3.5554981051815928</v>
      </c>
      <c r="G2570">
        <v>6.0128959044002093</v>
      </c>
      <c r="H2570">
        <v>19.750620299634821</v>
      </c>
      <c r="I2570">
        <v>31.484334800996141</v>
      </c>
      <c r="J2570">
        <v>26.72397930031384</v>
      </c>
      <c r="K2570">
        <v>731.14101197091361</v>
      </c>
      <c r="L2570">
        <v>-1</v>
      </c>
      <c r="M2570" t="s">
        <v>69</v>
      </c>
    </row>
    <row r="2571" spans="1:13" x14ac:dyDescent="0.3">
      <c r="A2571" t="s">
        <v>24</v>
      </c>
      <c r="B2571" t="s">
        <v>60</v>
      </c>
      <c r="C2571">
        <v>505.8369393627064</v>
      </c>
      <c r="D2571">
        <v>22.566954828502489</v>
      </c>
      <c r="E2571">
        <v>36.800697114198769</v>
      </c>
      <c r="F2571">
        <v>81.562134254963951</v>
      </c>
      <c r="G2571">
        <v>5.3239536183193197</v>
      </c>
      <c r="H2571">
        <v>69.143327855124738</v>
      </c>
      <c r="I2571">
        <v>32.240433497934937</v>
      </c>
      <c r="J2571">
        <v>30.78186499593177</v>
      </c>
      <c r="K2571">
        <v>11</v>
      </c>
      <c r="L2571">
        <v>-1</v>
      </c>
      <c r="M2571" t="s">
        <v>69</v>
      </c>
    </row>
    <row r="2572" spans="1:13" x14ac:dyDescent="0.3">
      <c r="A2572" t="s">
        <v>24</v>
      </c>
      <c r="B2572" t="s">
        <v>61</v>
      </c>
      <c r="C2572">
        <v>189.63544993064389</v>
      </c>
      <c r="D2572">
        <v>8.9013363226425639</v>
      </c>
      <c r="E2572">
        <v>11.122664459275359</v>
      </c>
      <c r="F2572">
        <v>32.253669762082339</v>
      </c>
      <c r="G2572">
        <v>6.3343649570104263</v>
      </c>
      <c r="H2572">
        <v>25.853599600791121</v>
      </c>
      <c r="I2572">
        <v>29.465934313245391</v>
      </c>
      <c r="J2572">
        <v>31.320307877714772</v>
      </c>
      <c r="K2572">
        <v>14.031530811670789</v>
      </c>
      <c r="L2572">
        <v>-1</v>
      </c>
      <c r="M2572" t="s">
        <v>69</v>
      </c>
    </row>
    <row r="2573" spans="1:13" x14ac:dyDescent="0.3">
      <c r="A2573" t="s">
        <v>25</v>
      </c>
      <c r="B2573" t="s">
        <v>62</v>
      </c>
      <c r="C2573">
        <v>92.084031574957621</v>
      </c>
      <c r="D2573">
        <v>3.7527564014923218</v>
      </c>
      <c r="E2573">
        <v>5.9889714919735324</v>
      </c>
      <c r="F2573">
        <v>13.59043166910633</v>
      </c>
      <c r="G2573">
        <v>6.8627232605390338</v>
      </c>
      <c r="H2573">
        <v>13.9</v>
      </c>
      <c r="I2573">
        <v>33.494112494633953</v>
      </c>
      <c r="J2573">
        <v>30.587190829565831</v>
      </c>
      <c r="K2573">
        <v>47.407902158246323</v>
      </c>
      <c r="L2573">
        <v>-1</v>
      </c>
      <c r="M2573" t="s">
        <v>69</v>
      </c>
    </row>
    <row r="2574" spans="1:13" x14ac:dyDescent="0.3">
      <c r="A2574" t="s">
        <v>19</v>
      </c>
      <c r="B2574" t="s">
        <v>47</v>
      </c>
      <c r="C2574">
        <v>31.71217706791855</v>
      </c>
      <c r="D2574">
        <v>1.0783071573466769</v>
      </c>
      <c r="E2574">
        <v>1.9548369529173919</v>
      </c>
      <c r="F2574">
        <v>3.7281880866994541</v>
      </c>
      <c r="G2574">
        <v>5.9518482335582901</v>
      </c>
      <c r="H2574">
        <v>21.750486406792891</v>
      </c>
      <c r="I2574">
        <v>30.054285718344449</v>
      </c>
      <c r="J2574">
        <v>26.056789417184891</v>
      </c>
      <c r="K2574">
        <v>736.52318253882686</v>
      </c>
      <c r="L2574">
        <v>-1</v>
      </c>
      <c r="M2574" t="s">
        <v>69</v>
      </c>
    </row>
    <row r="2575" spans="1:13" x14ac:dyDescent="0.3">
      <c r="A2575" t="s">
        <v>24</v>
      </c>
      <c r="B2575" t="s">
        <v>59</v>
      </c>
      <c r="C2575">
        <v>361.17048498411992</v>
      </c>
      <c r="D2575">
        <v>18.227981452214419</v>
      </c>
      <c r="E2575">
        <v>22.38862653030316</v>
      </c>
      <c r="F2575">
        <v>49.8253860232414</v>
      </c>
      <c r="G2575">
        <v>5.3358894797081167</v>
      </c>
      <c r="H2575">
        <v>73.986843636722867</v>
      </c>
      <c r="I2575">
        <v>30.387908063942611</v>
      </c>
      <c r="J2575">
        <v>30.82796855449277</v>
      </c>
      <c r="K2575">
        <v>11.0184733308181</v>
      </c>
      <c r="L2575">
        <v>-1</v>
      </c>
      <c r="M2575" t="s">
        <v>69</v>
      </c>
    </row>
    <row r="2576" spans="1:13" x14ac:dyDescent="0.3">
      <c r="A2576" t="s">
        <v>24</v>
      </c>
      <c r="B2576" t="s">
        <v>61</v>
      </c>
      <c r="C2576">
        <v>122.54177529479129</v>
      </c>
      <c r="D2576">
        <v>6.8759268390688923</v>
      </c>
      <c r="E2576">
        <v>6.6105561829505586</v>
      </c>
      <c r="F2576">
        <v>19.002414658937241</v>
      </c>
      <c r="G2576">
        <v>6.1496316448639758</v>
      </c>
      <c r="H2576">
        <v>21.296767301714631</v>
      </c>
      <c r="I2576">
        <v>31.034772891107501</v>
      </c>
      <c r="J2576">
        <v>30.621880620119239</v>
      </c>
      <c r="K2576">
        <v>46.482210203479333</v>
      </c>
      <c r="L2576">
        <v>-1</v>
      </c>
      <c r="M2576" t="s">
        <v>69</v>
      </c>
    </row>
    <row r="2577" spans="1:13" x14ac:dyDescent="0.3">
      <c r="A2577" t="s">
        <v>25</v>
      </c>
      <c r="B2577" t="s">
        <v>62</v>
      </c>
      <c r="C2577">
        <v>90.485944938635271</v>
      </c>
      <c r="D2577">
        <v>3.4227632863024748</v>
      </c>
      <c r="E2577">
        <v>5.1852865825950953</v>
      </c>
      <c r="F2577">
        <v>15.992947595149349</v>
      </c>
      <c r="G2577">
        <v>6.9857273511263642</v>
      </c>
      <c r="H2577">
        <v>15.742353279066849</v>
      </c>
      <c r="I2577">
        <v>34.113469754203557</v>
      </c>
      <c r="J2577">
        <v>31.099501264108671</v>
      </c>
      <c r="K2577">
        <v>47.847560892587353</v>
      </c>
      <c r="L2577">
        <v>-1</v>
      </c>
      <c r="M2577" t="s">
        <v>69</v>
      </c>
    </row>
    <row r="2578" spans="1:13" x14ac:dyDescent="0.3">
      <c r="A2578" t="s">
        <v>24</v>
      </c>
      <c r="B2578" t="s">
        <v>61</v>
      </c>
      <c r="C2578">
        <v>81.794808475696854</v>
      </c>
      <c r="D2578">
        <v>4.31396911089504</v>
      </c>
      <c r="E2578">
        <v>4.9558968201967328</v>
      </c>
      <c r="F2578">
        <v>12.324411218682959</v>
      </c>
      <c r="G2578">
        <v>5.977026074103259</v>
      </c>
      <c r="H2578">
        <v>15.86852196349912</v>
      </c>
      <c r="I2578">
        <v>32.903196581245894</v>
      </c>
      <c r="J2578">
        <v>29.346858462071861</v>
      </c>
      <c r="K2578">
        <v>48.334436544092107</v>
      </c>
      <c r="L2578">
        <v>-1</v>
      </c>
      <c r="M2578" t="s">
        <v>69</v>
      </c>
    </row>
    <row r="2579" spans="1:13" x14ac:dyDescent="0.3">
      <c r="A2579" t="s">
        <v>24</v>
      </c>
      <c r="B2579" t="s">
        <v>59</v>
      </c>
      <c r="C2579">
        <v>371.62896164136203</v>
      </c>
      <c r="D2579">
        <v>17.793742761414489</v>
      </c>
      <c r="E2579">
        <v>23.48077928264793</v>
      </c>
      <c r="F2579">
        <v>49.45635358198399</v>
      </c>
      <c r="G2579">
        <v>5.3274851933709897</v>
      </c>
      <c r="H2579">
        <v>74.946637715041689</v>
      </c>
      <c r="I2579">
        <v>30.208850648961938</v>
      </c>
      <c r="J2579">
        <v>31.18632387367526</v>
      </c>
      <c r="K2579">
        <v>11</v>
      </c>
      <c r="L2579">
        <v>-1</v>
      </c>
      <c r="M2579" t="s">
        <v>69</v>
      </c>
    </row>
    <row r="2580" spans="1:13" x14ac:dyDescent="0.3">
      <c r="A2580" t="s">
        <v>25</v>
      </c>
      <c r="B2580" t="s">
        <v>62</v>
      </c>
      <c r="C2580">
        <v>91.674040238010875</v>
      </c>
      <c r="D2580">
        <v>3.762485659106761</v>
      </c>
      <c r="E2580">
        <v>6.0074448718661726</v>
      </c>
      <c r="F2580">
        <v>14.197427311636851</v>
      </c>
      <c r="G2580">
        <v>6.9420265664761436</v>
      </c>
      <c r="H2580">
        <v>14.16657717759589</v>
      </c>
      <c r="I2580">
        <v>32.541727300285928</v>
      </c>
      <c r="J2580">
        <v>31.19978767051688</v>
      </c>
      <c r="K2580">
        <v>48.959132435284801</v>
      </c>
      <c r="L2580">
        <v>-1</v>
      </c>
      <c r="M2580" t="s">
        <v>69</v>
      </c>
    </row>
    <row r="2581" spans="1:13" x14ac:dyDescent="0.3">
      <c r="A2581" t="s">
        <v>24</v>
      </c>
      <c r="B2581" t="s">
        <v>61</v>
      </c>
      <c r="C2581">
        <v>122.7158084451637</v>
      </c>
      <c r="D2581">
        <v>5.8319998109393296</v>
      </c>
      <c r="E2581">
        <v>7.7982774606823728</v>
      </c>
      <c r="F2581">
        <v>21.54863959832803</v>
      </c>
      <c r="G2581">
        <v>6.0921143611301263</v>
      </c>
      <c r="H2581">
        <v>20.788968698125451</v>
      </c>
      <c r="I2581">
        <v>30.991752009228591</v>
      </c>
      <c r="J2581">
        <v>31.035747133960601</v>
      </c>
      <c r="K2581">
        <v>47.84362672039515</v>
      </c>
      <c r="L2581">
        <v>-1</v>
      </c>
      <c r="M2581" t="s">
        <v>69</v>
      </c>
    </row>
    <row r="2582" spans="1:13" x14ac:dyDescent="0.3">
      <c r="A2582" t="s">
        <v>19</v>
      </c>
      <c r="B2582" t="s">
        <v>46</v>
      </c>
      <c r="C2582">
        <v>27.942204437772091</v>
      </c>
      <c r="D2582">
        <v>0.99715675288562</v>
      </c>
      <c r="E2582">
        <v>0.96251764754565894</v>
      </c>
      <c r="F2582">
        <v>3.2173322729286649</v>
      </c>
      <c r="G2582">
        <v>6.0019678689575553</v>
      </c>
      <c r="H2582">
        <v>20.48070957361541</v>
      </c>
      <c r="I2582">
        <v>31.39871363139607</v>
      </c>
      <c r="J2582">
        <v>26.567341588236339</v>
      </c>
      <c r="K2582">
        <v>738.75330563232569</v>
      </c>
      <c r="L2582">
        <v>-1</v>
      </c>
      <c r="M2582" t="s">
        <v>69</v>
      </c>
    </row>
    <row r="2583" spans="1:13" x14ac:dyDescent="0.3">
      <c r="A2583" t="s">
        <v>24</v>
      </c>
      <c r="B2583" t="s">
        <v>61</v>
      </c>
      <c r="C2583">
        <v>320.5866715825033</v>
      </c>
      <c r="D2583">
        <v>16.34278124846222</v>
      </c>
      <c r="E2583">
        <v>22.104925787065401</v>
      </c>
      <c r="F2583">
        <v>43.013665547455801</v>
      </c>
      <c r="G2583">
        <v>4.3</v>
      </c>
      <c r="H2583">
        <v>58.10174831723748</v>
      </c>
      <c r="I2583">
        <v>28.960897517822339</v>
      </c>
      <c r="J2583">
        <v>31.894402864199431</v>
      </c>
      <c r="K2583">
        <v>13.94809700309361</v>
      </c>
      <c r="L2583">
        <v>-1</v>
      </c>
      <c r="M2583" t="s">
        <v>69</v>
      </c>
    </row>
    <row r="2584" spans="1:13" x14ac:dyDescent="0.3">
      <c r="A2584" t="s">
        <v>24</v>
      </c>
      <c r="B2584" t="s">
        <v>60</v>
      </c>
      <c r="C2584">
        <v>539.47283703585026</v>
      </c>
      <c r="D2584">
        <v>24.771911639886859</v>
      </c>
      <c r="E2584">
        <v>34.58313056616209</v>
      </c>
      <c r="F2584">
        <v>84.722731738549527</v>
      </c>
      <c r="G2584">
        <v>5.3573405533234597</v>
      </c>
      <c r="H2584">
        <v>61.241923759911643</v>
      </c>
      <c r="I2584">
        <v>30.09910538119528</v>
      </c>
      <c r="J2584">
        <v>32.010471225381139</v>
      </c>
      <c r="K2584">
        <v>11.22576175375843</v>
      </c>
      <c r="L2584">
        <v>-1</v>
      </c>
      <c r="M2584" t="s">
        <v>69</v>
      </c>
    </row>
    <row r="2585" spans="1:13" x14ac:dyDescent="0.3">
      <c r="A2585" t="s">
        <v>24</v>
      </c>
      <c r="B2585" t="s">
        <v>58</v>
      </c>
      <c r="C2585">
        <v>31.24230304030932</v>
      </c>
      <c r="D2585">
        <v>1.027150113610918</v>
      </c>
      <c r="E2585">
        <v>1.8060461895360429</v>
      </c>
      <c r="F2585">
        <v>3.9860907519232458</v>
      </c>
      <c r="G2585">
        <v>5.693678924368192</v>
      </c>
      <c r="H2585">
        <v>21.13279032050681</v>
      </c>
      <c r="I2585">
        <v>29.495812785171449</v>
      </c>
      <c r="J2585">
        <v>26.178196385045482</v>
      </c>
      <c r="K2585">
        <v>748.06384418811149</v>
      </c>
      <c r="L2585">
        <v>-1</v>
      </c>
      <c r="M2585" t="s">
        <v>69</v>
      </c>
    </row>
    <row r="2586" spans="1:13" x14ac:dyDescent="0.3">
      <c r="A2586" t="s">
        <v>19</v>
      </c>
      <c r="B2586" t="s">
        <v>46</v>
      </c>
      <c r="C2586">
        <v>27.592463857733861</v>
      </c>
      <c r="D2586">
        <v>0.99756432321237343</v>
      </c>
      <c r="E2586">
        <v>0.83948291112727436</v>
      </c>
      <c r="F2586">
        <v>3.652398936232244</v>
      </c>
      <c r="G2586">
        <v>6.1588941146649123</v>
      </c>
      <c r="H2586">
        <v>19.52577079879568</v>
      </c>
      <c r="I2586">
        <v>30.948042332646189</v>
      </c>
      <c r="J2586">
        <v>25.969104193409411</v>
      </c>
      <c r="K2586">
        <v>709.17276172997106</v>
      </c>
      <c r="L2586">
        <v>-1</v>
      </c>
      <c r="M2586" t="s">
        <v>69</v>
      </c>
    </row>
    <row r="2587" spans="1:13" x14ac:dyDescent="0.3">
      <c r="A2587" t="s">
        <v>24</v>
      </c>
      <c r="B2587" t="s">
        <v>61</v>
      </c>
      <c r="C2587">
        <v>345.16314144002399</v>
      </c>
      <c r="D2587">
        <v>17.085126568097699</v>
      </c>
      <c r="E2587">
        <v>21.546476133874641</v>
      </c>
      <c r="F2587">
        <v>53.353935010371089</v>
      </c>
      <c r="G2587">
        <v>4.4899634218084428</v>
      </c>
      <c r="H2587">
        <v>55.523579421726907</v>
      </c>
      <c r="I2587">
        <v>30.277889552633109</v>
      </c>
      <c r="J2587">
        <v>30.87485322628218</v>
      </c>
      <c r="K2587">
        <v>14.35559918256126</v>
      </c>
      <c r="L2587">
        <v>-1</v>
      </c>
      <c r="M2587" t="s">
        <v>69</v>
      </c>
    </row>
    <row r="2588" spans="1:13" x14ac:dyDescent="0.3">
      <c r="A2588" t="s">
        <v>24</v>
      </c>
      <c r="B2588" t="s">
        <v>60</v>
      </c>
      <c r="C2588">
        <v>556.99137570821358</v>
      </c>
      <c r="D2588">
        <v>26.601881619798309</v>
      </c>
      <c r="E2588">
        <v>36.341530650408501</v>
      </c>
      <c r="F2588">
        <v>96.634886917244842</v>
      </c>
      <c r="G2588">
        <v>6.1402736821683694</v>
      </c>
      <c r="H2588">
        <v>78.569262002501091</v>
      </c>
      <c r="I2588">
        <v>30.71720462773763</v>
      </c>
      <c r="J2588">
        <v>29.046244844366061</v>
      </c>
      <c r="K2588">
        <v>11.03928003016563</v>
      </c>
      <c r="L2588">
        <v>-1</v>
      </c>
      <c r="M2588" t="s">
        <v>69</v>
      </c>
    </row>
    <row r="2589" spans="1:13" x14ac:dyDescent="0.3">
      <c r="A2589" t="s">
        <v>24</v>
      </c>
      <c r="B2589" t="s">
        <v>60</v>
      </c>
      <c r="C2589">
        <v>574.51082316127759</v>
      </c>
      <c r="D2589">
        <v>29.806909840319069</v>
      </c>
      <c r="E2589">
        <v>41.023448362999659</v>
      </c>
      <c r="F2589">
        <v>93.541995719231522</v>
      </c>
      <c r="G2589">
        <v>6.1360712088523606</v>
      </c>
      <c r="H2589">
        <v>79.204608718115537</v>
      </c>
      <c r="I2589">
        <v>31.189025544599371</v>
      </c>
      <c r="J2589">
        <v>30.350873596011379</v>
      </c>
      <c r="K2589">
        <v>11.10939555050709</v>
      </c>
      <c r="L2589">
        <v>-1</v>
      </c>
      <c r="M2589" t="s">
        <v>69</v>
      </c>
    </row>
    <row r="2590" spans="1:13" x14ac:dyDescent="0.3">
      <c r="A2590" t="s">
        <v>24</v>
      </c>
      <c r="B2590" t="s">
        <v>61</v>
      </c>
      <c r="C2590">
        <v>309.4433515319721</v>
      </c>
      <c r="D2590">
        <v>16.741077361648301</v>
      </c>
      <c r="E2590">
        <v>24.344782251406421</v>
      </c>
      <c r="F2590">
        <v>60.557675021764197</v>
      </c>
      <c r="G2590">
        <v>4.4400785271011092</v>
      </c>
      <c r="H2590">
        <v>59.535502236200813</v>
      </c>
      <c r="I2590">
        <v>30.00917991862006</v>
      </c>
      <c r="J2590">
        <v>30.649277305395589</v>
      </c>
      <c r="K2590">
        <v>13.673683039844949</v>
      </c>
      <c r="L2590">
        <v>-1</v>
      </c>
      <c r="M2590" t="s">
        <v>69</v>
      </c>
    </row>
    <row r="2591" spans="1:13" x14ac:dyDescent="0.3">
      <c r="A2591" t="s">
        <v>24</v>
      </c>
      <c r="B2591" t="s">
        <v>61</v>
      </c>
      <c r="C2591">
        <v>698.01269097259024</v>
      </c>
      <c r="D2591">
        <v>31.79875175904553</v>
      </c>
      <c r="E2591">
        <v>47.53143235966931</v>
      </c>
      <c r="F2591">
        <v>125.1443384020001</v>
      </c>
      <c r="G2591">
        <v>6.1498687820832254</v>
      </c>
      <c r="H2591">
        <v>71.765538195688208</v>
      </c>
      <c r="I2591">
        <v>30.247587776212871</v>
      </c>
      <c r="J2591">
        <v>30.347213980058491</v>
      </c>
      <c r="K2591">
        <v>11.030314311415619</v>
      </c>
      <c r="L2591">
        <v>-1</v>
      </c>
      <c r="M2591" t="s">
        <v>69</v>
      </c>
    </row>
    <row r="2592" spans="1:13" x14ac:dyDescent="0.3">
      <c r="A2592" t="s">
        <v>19</v>
      </c>
      <c r="B2592" t="s">
        <v>46</v>
      </c>
      <c r="C2592">
        <v>27.054198075245569</v>
      </c>
      <c r="D2592">
        <v>1.033050684333255</v>
      </c>
      <c r="E2592">
        <v>0.96571111024345324</v>
      </c>
      <c r="F2592">
        <v>3.9547497090576229</v>
      </c>
      <c r="G2592">
        <v>6.1120911970485832</v>
      </c>
      <c r="H2592">
        <v>19.777776522275239</v>
      </c>
      <c r="I2592">
        <v>31.463643219295761</v>
      </c>
      <c r="J2592">
        <v>25.373289889323651</v>
      </c>
      <c r="K2592">
        <v>726.92620955688528</v>
      </c>
      <c r="L2592">
        <v>-1</v>
      </c>
      <c r="M2592" t="s">
        <v>69</v>
      </c>
    </row>
    <row r="2593" spans="1:13" x14ac:dyDescent="0.3">
      <c r="A2593" t="s">
        <v>24</v>
      </c>
      <c r="B2593" t="s">
        <v>61</v>
      </c>
      <c r="C2593">
        <v>181.6253905980426</v>
      </c>
      <c r="D2593">
        <v>8.7932817605821363</v>
      </c>
      <c r="E2593">
        <v>11.983287135211221</v>
      </c>
      <c r="F2593">
        <v>29.2856365554596</v>
      </c>
      <c r="G2593">
        <v>6.2398290192157964</v>
      </c>
      <c r="H2593">
        <v>25.983495303867759</v>
      </c>
      <c r="I2593">
        <v>29.655447844687</v>
      </c>
      <c r="J2593">
        <v>31.221719427915211</v>
      </c>
      <c r="K2593">
        <v>14.0141137724172</v>
      </c>
      <c r="L2593">
        <v>-1</v>
      </c>
      <c r="M2593" t="s">
        <v>69</v>
      </c>
    </row>
    <row r="2594" spans="1:13" x14ac:dyDescent="0.3">
      <c r="A2594" t="s">
        <v>24</v>
      </c>
      <c r="B2594" t="s">
        <v>61</v>
      </c>
      <c r="C2594">
        <v>123.4174773036066</v>
      </c>
      <c r="D2594">
        <v>6.3444230580080241</v>
      </c>
      <c r="E2594">
        <v>7.4475600106741942</v>
      </c>
      <c r="F2594">
        <v>19.590342193132699</v>
      </c>
      <c r="G2594">
        <v>6.2412224436853343</v>
      </c>
      <c r="H2594">
        <v>20.630807467745019</v>
      </c>
      <c r="I2594">
        <v>30.88955191426653</v>
      </c>
      <c r="J2594">
        <v>30.849997225206941</v>
      </c>
      <c r="K2594">
        <v>47.394885964414023</v>
      </c>
      <c r="L2594">
        <v>-1</v>
      </c>
      <c r="M2594" t="s">
        <v>69</v>
      </c>
    </row>
    <row r="2595" spans="1:13" x14ac:dyDescent="0.3">
      <c r="A2595" t="s">
        <v>24</v>
      </c>
      <c r="B2595" t="s">
        <v>61</v>
      </c>
      <c r="C2595">
        <v>85.477052315956371</v>
      </c>
      <c r="D2595">
        <v>4.1986148674682164</v>
      </c>
      <c r="E2595">
        <v>5.1677406502552783</v>
      </c>
      <c r="F2595">
        <v>10.790797413756859</v>
      </c>
      <c r="G2595">
        <v>6.1573788251344217</v>
      </c>
      <c r="H2595">
        <v>15.15476078785184</v>
      </c>
      <c r="I2595">
        <v>34.477516040652588</v>
      </c>
      <c r="J2595">
        <v>29.863795916365959</v>
      </c>
      <c r="K2595">
        <v>48.442917767360314</v>
      </c>
      <c r="L2595">
        <v>-1</v>
      </c>
      <c r="M2595" t="s">
        <v>69</v>
      </c>
    </row>
    <row r="2596" spans="1:13" x14ac:dyDescent="0.3">
      <c r="A2596" t="s">
        <v>24</v>
      </c>
      <c r="B2596" t="s">
        <v>58</v>
      </c>
      <c r="C2596">
        <v>31.1454791261948</v>
      </c>
      <c r="D2596">
        <v>0.93869176133575438</v>
      </c>
      <c r="E2596">
        <v>1.988363070870854</v>
      </c>
      <c r="F2596">
        <v>3.448269811395102</v>
      </c>
      <c r="G2596">
        <v>5.9341834355269771</v>
      </c>
      <c r="H2596">
        <v>21.649943837541151</v>
      </c>
      <c r="I2596">
        <v>29.196907280716349</v>
      </c>
      <c r="J2596">
        <v>26.45167420994051</v>
      </c>
      <c r="K2596">
        <v>751.35330290278819</v>
      </c>
      <c r="L2596">
        <v>-1</v>
      </c>
      <c r="M2596" t="s">
        <v>69</v>
      </c>
    </row>
    <row r="2597" spans="1:13" x14ac:dyDescent="0.3">
      <c r="A2597" t="s">
        <v>19</v>
      </c>
      <c r="B2597" t="s">
        <v>46</v>
      </c>
      <c r="C2597">
        <v>40.674756099276763</v>
      </c>
      <c r="D2597">
        <v>1.616144468422047</v>
      </c>
      <c r="E2597">
        <v>2.2680582806958292</v>
      </c>
      <c r="F2597">
        <v>3.0406246651778051</v>
      </c>
      <c r="G2597">
        <v>6.0803395646197123</v>
      </c>
      <c r="H2597">
        <v>20.230792486623901</v>
      </c>
      <c r="I2597">
        <v>30.387050806187581</v>
      </c>
      <c r="J2597">
        <v>26.334899735235179</v>
      </c>
      <c r="K2597">
        <v>730.01195421398393</v>
      </c>
      <c r="L2597">
        <v>-1</v>
      </c>
      <c r="M2597" t="s">
        <v>69</v>
      </c>
    </row>
    <row r="2598" spans="1:13" x14ac:dyDescent="0.3">
      <c r="A2598" t="s">
        <v>24</v>
      </c>
      <c r="B2598" t="s">
        <v>61</v>
      </c>
      <c r="C2598">
        <v>128.1843008081884</v>
      </c>
      <c r="D2598">
        <v>6.8173581219052224</v>
      </c>
      <c r="E2598">
        <v>8.8627462320852786</v>
      </c>
      <c r="F2598">
        <v>17.780301319222801</v>
      </c>
      <c r="G2598">
        <v>6.4491223181565722</v>
      </c>
      <c r="H2598">
        <v>20.909498692991651</v>
      </c>
      <c r="I2598">
        <v>30.729906188805462</v>
      </c>
      <c r="J2598">
        <v>30.9924529115839</v>
      </c>
      <c r="K2598">
        <v>48.468035706630417</v>
      </c>
      <c r="L2598">
        <v>-1</v>
      </c>
      <c r="M2598" t="s">
        <v>69</v>
      </c>
    </row>
    <row r="2599" spans="1:13" x14ac:dyDescent="0.3">
      <c r="A2599" t="s">
        <v>24</v>
      </c>
      <c r="B2599" t="s">
        <v>61</v>
      </c>
      <c r="C2599">
        <v>123.9012850442989</v>
      </c>
      <c r="D2599">
        <v>6.1299299031997032</v>
      </c>
      <c r="E2599">
        <v>6.4909785271987888</v>
      </c>
      <c r="F2599">
        <v>21.05295139045792</v>
      </c>
      <c r="G2599">
        <v>6.227907626245238</v>
      </c>
      <c r="H2599">
        <v>19.213352216643081</v>
      </c>
      <c r="I2599">
        <v>30.925244854794311</v>
      </c>
      <c r="J2599">
        <v>29.839428974629762</v>
      </c>
      <c r="K2599">
        <v>47.926147674116237</v>
      </c>
      <c r="L2599">
        <v>-1</v>
      </c>
      <c r="M2599" t="s">
        <v>69</v>
      </c>
    </row>
    <row r="2600" spans="1:13" x14ac:dyDescent="0.3">
      <c r="A2600" t="s">
        <v>24</v>
      </c>
      <c r="B2600" t="s">
        <v>61</v>
      </c>
      <c r="C2600">
        <v>80.579249895485844</v>
      </c>
      <c r="D2600">
        <v>3.9996962359749988</v>
      </c>
      <c r="E2600">
        <v>5.0994233486887381</v>
      </c>
      <c r="F2600">
        <v>12.38964315502518</v>
      </c>
      <c r="G2600">
        <v>6.2147987896543162</v>
      </c>
      <c r="H2600">
        <v>14.72204018837914</v>
      </c>
      <c r="I2600">
        <v>34.75042409783515</v>
      </c>
      <c r="J2600">
        <v>31.095036311694219</v>
      </c>
      <c r="K2600">
        <v>47.813497608712851</v>
      </c>
      <c r="L2600">
        <v>-1</v>
      </c>
      <c r="M2600" t="s">
        <v>69</v>
      </c>
    </row>
    <row r="2601" spans="1:13" x14ac:dyDescent="0.3">
      <c r="A2601" t="s">
        <v>19</v>
      </c>
      <c r="B2601" t="s">
        <v>46</v>
      </c>
      <c r="C2601">
        <v>26.68073437117846</v>
      </c>
      <c r="D2601">
        <v>1.062822997331434</v>
      </c>
      <c r="E2601">
        <v>1.0712813077831409</v>
      </c>
      <c r="F2601">
        <v>4.2210294646295363</v>
      </c>
      <c r="G2601">
        <v>6.0640492806049053</v>
      </c>
      <c r="H2601">
        <v>19.912963258714569</v>
      </c>
      <c r="I2601">
        <v>31.913931029621558</v>
      </c>
      <c r="J2601">
        <v>24.988154877895312</v>
      </c>
      <c r="K2601">
        <v>741.776141787298</v>
      </c>
      <c r="L2601">
        <v>-1</v>
      </c>
      <c r="M2601" t="s">
        <v>69</v>
      </c>
    </row>
    <row r="2602" spans="1:13" x14ac:dyDescent="0.3">
      <c r="A2602" t="s">
        <v>24</v>
      </c>
      <c r="B2602" t="s">
        <v>58</v>
      </c>
      <c r="C2602">
        <v>29.60047263796011</v>
      </c>
      <c r="D2602">
        <v>0.99192498639319515</v>
      </c>
      <c r="E2602">
        <v>1.896659796275153</v>
      </c>
      <c r="F2602">
        <v>4.3346380334911414</v>
      </c>
      <c r="G2602">
        <v>6.1312058222386909</v>
      </c>
      <c r="H2602">
        <v>22.50664050998849</v>
      </c>
      <c r="I2602">
        <v>29.668315995622471</v>
      </c>
      <c r="J2602">
        <v>25.828087702003099</v>
      </c>
      <c r="K2602">
        <v>748.04906703404913</v>
      </c>
      <c r="L2602">
        <v>-1</v>
      </c>
      <c r="M2602" t="s">
        <v>69</v>
      </c>
    </row>
    <row r="2603" spans="1:13" x14ac:dyDescent="0.3">
      <c r="A2603" t="s">
        <v>25</v>
      </c>
      <c r="B2603" t="s">
        <v>62</v>
      </c>
      <c r="C2603">
        <v>88.098999127513281</v>
      </c>
      <c r="D2603">
        <v>3.9231147020208939</v>
      </c>
      <c r="E2603">
        <v>5.8265167419156514</v>
      </c>
      <c r="F2603">
        <v>13.827443520056709</v>
      </c>
      <c r="G2603">
        <v>6.6607624677678237</v>
      </c>
      <c r="H2603">
        <v>14.03031607806143</v>
      </c>
      <c r="I2603">
        <v>31.445883660976289</v>
      </c>
      <c r="J2603">
        <v>31.05824687530383</v>
      </c>
      <c r="K2603">
        <v>47.670187808537321</v>
      </c>
      <c r="L2603">
        <v>-1</v>
      </c>
      <c r="M2603" t="s">
        <v>69</v>
      </c>
    </row>
    <row r="2604" spans="1:13" x14ac:dyDescent="0.3">
      <c r="A2604" t="s">
        <v>24</v>
      </c>
      <c r="B2604" t="s">
        <v>61</v>
      </c>
      <c r="C2604">
        <v>342.1220701217544</v>
      </c>
      <c r="D2604">
        <v>17.35862287474983</v>
      </c>
      <c r="E2604">
        <v>21.091786991952279</v>
      </c>
      <c r="F2604">
        <v>52.203470116497762</v>
      </c>
      <c r="G2604">
        <v>4.3783886595839263</v>
      </c>
      <c r="H2604">
        <v>55.063066062536691</v>
      </c>
      <c r="I2604">
        <v>30.607363732309171</v>
      </c>
      <c r="J2604">
        <v>31.117201165509169</v>
      </c>
      <c r="K2604">
        <v>14.32722824831626</v>
      </c>
      <c r="L2604">
        <v>-1</v>
      </c>
      <c r="M2604" t="s">
        <v>69</v>
      </c>
    </row>
    <row r="2605" spans="1:13" x14ac:dyDescent="0.3">
      <c r="A2605" t="s">
        <v>24</v>
      </c>
      <c r="B2605" t="s">
        <v>61</v>
      </c>
      <c r="C2605">
        <v>183.0073937459974</v>
      </c>
      <c r="D2605">
        <v>8.9816596393159891</v>
      </c>
      <c r="E2605">
        <v>11.761152264192971</v>
      </c>
      <c r="F2605">
        <v>29.40936008871245</v>
      </c>
      <c r="G2605">
        <v>6.3327892866060713</v>
      </c>
      <c r="H2605">
        <v>25.65754137381608</v>
      </c>
      <c r="I2605">
        <v>29.670055943899381</v>
      </c>
      <c r="J2605">
        <v>30.328752121811121</v>
      </c>
      <c r="K2605">
        <v>13.926455951723479</v>
      </c>
      <c r="L2605">
        <v>-1</v>
      </c>
      <c r="M2605" t="s">
        <v>69</v>
      </c>
    </row>
    <row r="2606" spans="1:13" x14ac:dyDescent="0.3">
      <c r="A2606" t="s">
        <v>24</v>
      </c>
      <c r="B2606" t="s">
        <v>59</v>
      </c>
      <c r="C2606">
        <v>362.11136858823568</v>
      </c>
      <c r="D2606">
        <v>17.509611021786789</v>
      </c>
      <c r="E2606">
        <v>26.142768942991939</v>
      </c>
      <c r="F2606">
        <v>54.954306155965213</v>
      </c>
      <c r="G2606">
        <v>5.1998762167013632</v>
      </c>
      <c r="H2606">
        <v>75.35378275125835</v>
      </c>
      <c r="I2606">
        <v>31.11424997763638</v>
      </c>
      <c r="J2606">
        <v>30.804044102340729</v>
      </c>
      <c r="K2606">
        <v>11.066728182839819</v>
      </c>
      <c r="L2606">
        <v>-1</v>
      </c>
      <c r="M2606" t="s">
        <v>69</v>
      </c>
    </row>
    <row r="2607" spans="1:13" x14ac:dyDescent="0.3">
      <c r="A2607" t="s">
        <v>19</v>
      </c>
      <c r="B2607" t="s">
        <v>46</v>
      </c>
      <c r="C2607">
        <v>28.01012466640374</v>
      </c>
      <c r="D2607">
        <v>1.0786999721132851</v>
      </c>
      <c r="E2607">
        <v>0.89201850788248205</v>
      </c>
      <c r="F2607">
        <v>3.8402153973785502</v>
      </c>
      <c r="G2607">
        <v>5.9145892105429363</v>
      </c>
      <c r="H2607">
        <v>18.958107543144809</v>
      </c>
      <c r="I2607">
        <v>30.364537882413519</v>
      </c>
      <c r="J2607">
        <v>26.242421998968471</v>
      </c>
      <c r="K2607">
        <v>732.10367897285653</v>
      </c>
      <c r="L2607">
        <v>-1</v>
      </c>
      <c r="M2607" t="s">
        <v>69</v>
      </c>
    </row>
    <row r="2608" spans="1:13" x14ac:dyDescent="0.3">
      <c r="A2608" t="s">
        <v>24</v>
      </c>
      <c r="B2608" t="s">
        <v>60</v>
      </c>
      <c r="C2608">
        <v>497.71699016177092</v>
      </c>
      <c r="D2608">
        <v>24.407435505448699</v>
      </c>
      <c r="E2608">
        <v>36.26802889175309</v>
      </c>
      <c r="F2608">
        <v>79.096966267659667</v>
      </c>
      <c r="G2608">
        <v>5.4617564381875141</v>
      </c>
      <c r="H2608">
        <v>69.334285217552591</v>
      </c>
      <c r="I2608">
        <v>32.418524218315667</v>
      </c>
      <c r="J2608">
        <v>29.120133742604072</v>
      </c>
      <c r="K2608">
        <v>11.033015464114211</v>
      </c>
      <c r="L2608">
        <v>-1</v>
      </c>
      <c r="M2608" t="s">
        <v>69</v>
      </c>
    </row>
    <row r="2609" spans="1:13" x14ac:dyDescent="0.3">
      <c r="A2609" t="s">
        <v>24</v>
      </c>
      <c r="B2609" t="s">
        <v>61</v>
      </c>
      <c r="C2609">
        <v>123.6892070460915</v>
      </c>
      <c r="D2609">
        <v>5.6092558525254601</v>
      </c>
      <c r="E2609">
        <v>8.1743424723680693</v>
      </c>
      <c r="F2609">
        <v>21.70271170860595</v>
      </c>
      <c r="G2609">
        <v>6.1436500095206519</v>
      </c>
      <c r="H2609">
        <v>21.16717963951081</v>
      </c>
      <c r="I2609">
        <v>30.961997736340251</v>
      </c>
      <c r="J2609">
        <v>31.02889070795198</v>
      </c>
      <c r="K2609">
        <v>47.866312944828223</v>
      </c>
      <c r="L2609">
        <v>-1</v>
      </c>
      <c r="M2609" t="s">
        <v>69</v>
      </c>
    </row>
    <row r="2610" spans="1:13" x14ac:dyDescent="0.3">
      <c r="A2610" t="s">
        <v>24</v>
      </c>
      <c r="B2610" t="s">
        <v>59</v>
      </c>
      <c r="C2610">
        <v>343.41790446427649</v>
      </c>
      <c r="D2610">
        <v>17.230083958239991</v>
      </c>
      <c r="E2610">
        <v>25.310258853608051</v>
      </c>
      <c r="F2610">
        <v>55.346939336772508</v>
      </c>
      <c r="G2610">
        <v>5.2107382924617198</v>
      </c>
      <c r="H2610">
        <v>78.201871605214478</v>
      </c>
      <c r="I2610">
        <v>30.478265848140861</v>
      </c>
      <c r="J2610">
        <v>30.32127131434012</v>
      </c>
      <c r="K2610">
        <v>11.06016635430683</v>
      </c>
      <c r="L2610">
        <v>-1</v>
      </c>
      <c r="M2610" t="s">
        <v>69</v>
      </c>
    </row>
    <row r="2611" spans="1:13" x14ac:dyDescent="0.3">
      <c r="A2611" t="s">
        <v>24</v>
      </c>
      <c r="B2611" t="s">
        <v>59</v>
      </c>
      <c r="C2611">
        <v>350.715208062621</v>
      </c>
      <c r="D2611">
        <v>18.462797816311941</v>
      </c>
      <c r="E2611">
        <v>23.773638268896871</v>
      </c>
      <c r="F2611">
        <v>55.324212677274318</v>
      </c>
      <c r="G2611">
        <v>5.3392607333922983</v>
      </c>
      <c r="H2611">
        <v>69.814746151020074</v>
      </c>
      <c r="I2611">
        <v>30.13949424904369</v>
      </c>
      <c r="J2611">
        <v>30.941910594214882</v>
      </c>
      <c r="K2611">
        <v>11.132490970784829</v>
      </c>
      <c r="L2611">
        <v>-1</v>
      </c>
      <c r="M2611" t="s">
        <v>69</v>
      </c>
    </row>
    <row r="2612" spans="1:13" x14ac:dyDescent="0.3">
      <c r="A2612" t="s">
        <v>24</v>
      </c>
      <c r="B2612" t="s">
        <v>58</v>
      </c>
      <c r="C2612">
        <v>29.952358192708061</v>
      </c>
      <c r="D2612">
        <v>0.94127457941268755</v>
      </c>
      <c r="E2612">
        <v>1.7062901936248209</v>
      </c>
      <c r="F2612">
        <v>4.0570096860649159</v>
      </c>
      <c r="G2612">
        <v>6.006295270099888</v>
      </c>
      <c r="H2612">
        <v>21.28406201926586</v>
      </c>
      <c r="I2612">
        <v>30.49242753996446</v>
      </c>
      <c r="J2612">
        <v>25.84704655286988</v>
      </c>
      <c r="K2612">
        <v>748.38848651947615</v>
      </c>
      <c r="L2612">
        <v>-1</v>
      </c>
      <c r="M2612" t="s">
        <v>69</v>
      </c>
    </row>
    <row r="2613" spans="1:13" x14ac:dyDescent="0.3">
      <c r="A2613" t="s">
        <v>24</v>
      </c>
      <c r="B2613" t="s">
        <v>61</v>
      </c>
      <c r="C2613">
        <v>132.86490655430791</v>
      </c>
      <c r="D2613">
        <v>4.9826668070162521</v>
      </c>
      <c r="E2613">
        <v>9.3945296308310766</v>
      </c>
      <c r="F2613">
        <v>20.545137962419851</v>
      </c>
      <c r="G2613">
        <v>6.2295096971020367</v>
      </c>
      <c r="H2613">
        <v>20.824485078033799</v>
      </c>
      <c r="I2613">
        <v>29.115024464057221</v>
      </c>
      <c r="J2613">
        <v>30.80447459944752</v>
      </c>
      <c r="K2613">
        <v>48.6362895446332</v>
      </c>
      <c r="L2613">
        <v>-1</v>
      </c>
      <c r="M2613" t="s">
        <v>69</v>
      </c>
    </row>
    <row r="2614" spans="1:13" x14ac:dyDescent="0.3">
      <c r="A2614" t="s">
        <v>24</v>
      </c>
      <c r="B2614" t="s">
        <v>61</v>
      </c>
      <c r="C2614">
        <v>191.10026576006129</v>
      </c>
      <c r="D2614">
        <v>8.4528202807993935</v>
      </c>
      <c r="E2614">
        <v>11.63150018537883</v>
      </c>
      <c r="F2614">
        <v>27.750609409583781</v>
      </c>
      <c r="G2614">
        <v>6.1069743548874262</v>
      </c>
      <c r="H2614">
        <v>24.367069231236929</v>
      </c>
      <c r="I2614">
        <v>29.944785581740131</v>
      </c>
      <c r="J2614">
        <v>32.359236974533033</v>
      </c>
      <c r="K2614">
        <v>14.03859069330611</v>
      </c>
      <c r="L2614">
        <v>-1</v>
      </c>
      <c r="M2614" t="s">
        <v>69</v>
      </c>
    </row>
    <row r="2615" spans="1:13" x14ac:dyDescent="0.3">
      <c r="A2615" t="s">
        <v>24</v>
      </c>
      <c r="B2615" t="s">
        <v>61</v>
      </c>
      <c r="C2615">
        <v>77.065744211926628</v>
      </c>
      <c r="D2615">
        <v>3.8829057067471999</v>
      </c>
      <c r="E2615">
        <v>4.9746644304721084</v>
      </c>
      <c r="F2615">
        <v>12.708185022493939</v>
      </c>
      <c r="G2615">
        <v>6.078466524229249</v>
      </c>
      <c r="H2615">
        <v>14.62144651342996</v>
      </c>
      <c r="I2615">
        <v>34.333134868970873</v>
      </c>
      <c r="J2615">
        <v>32.423826053696779</v>
      </c>
      <c r="K2615">
        <v>48.329902391672483</v>
      </c>
      <c r="L2615">
        <v>-1</v>
      </c>
      <c r="M2615" t="s">
        <v>69</v>
      </c>
    </row>
    <row r="2616" spans="1:13" x14ac:dyDescent="0.3">
      <c r="A2616" t="s">
        <v>24</v>
      </c>
      <c r="B2616" t="s">
        <v>61</v>
      </c>
      <c r="C2616">
        <v>192.7716298959707</v>
      </c>
      <c r="D2616">
        <v>9.0615172618783593</v>
      </c>
      <c r="E2616">
        <v>10.93647097648171</v>
      </c>
      <c r="F2616">
        <v>32.621416447026697</v>
      </c>
      <c r="G2616">
        <v>6.3560887069550676</v>
      </c>
      <c r="H2616">
        <v>25.573739841553301</v>
      </c>
      <c r="I2616">
        <v>29.415357606054378</v>
      </c>
      <c r="J2616">
        <v>30.99706282864987</v>
      </c>
      <c r="K2616">
        <v>14.004445820033879</v>
      </c>
      <c r="L2616">
        <v>-1</v>
      </c>
      <c r="M2616" t="s">
        <v>69</v>
      </c>
    </row>
    <row r="2617" spans="1:13" x14ac:dyDescent="0.3">
      <c r="A2617" t="s">
        <v>19</v>
      </c>
      <c r="B2617" t="s">
        <v>46</v>
      </c>
      <c r="C2617">
        <v>42.02920447998148</v>
      </c>
      <c r="D2617">
        <v>1.760813652120067</v>
      </c>
      <c r="E2617">
        <v>2.704293737595747</v>
      </c>
      <c r="F2617">
        <v>2.4780098825721839</v>
      </c>
      <c r="G2617">
        <v>6.2507665189948378</v>
      </c>
      <c r="H2617">
        <v>21.682741692912099</v>
      </c>
      <c r="I2617">
        <v>29.364521056194569</v>
      </c>
      <c r="J2617">
        <v>25.929165396089822</v>
      </c>
      <c r="K2617">
        <v>729.16983427637672</v>
      </c>
      <c r="L2617">
        <v>-1</v>
      </c>
      <c r="M2617" t="s">
        <v>69</v>
      </c>
    </row>
    <row r="2618" spans="1:13" x14ac:dyDescent="0.3">
      <c r="A2618" t="s">
        <v>19</v>
      </c>
      <c r="B2618" t="s">
        <v>46</v>
      </c>
      <c r="C2618">
        <v>28.174956127831681</v>
      </c>
      <c r="D2618">
        <v>1.051410195095503</v>
      </c>
      <c r="E2618">
        <v>0.96962127632953443</v>
      </c>
      <c r="F2618">
        <v>4.2147057952335221</v>
      </c>
      <c r="G2618">
        <v>6.0491111766257921</v>
      </c>
      <c r="H2618">
        <v>19.19363230926518</v>
      </c>
      <c r="I2618">
        <v>30.887272184360238</v>
      </c>
      <c r="J2618">
        <v>26.310401476934711</v>
      </c>
      <c r="K2618">
        <v>732.23251358758534</v>
      </c>
      <c r="L2618">
        <v>-1</v>
      </c>
      <c r="M2618" t="s">
        <v>69</v>
      </c>
    </row>
    <row r="2619" spans="1:13" x14ac:dyDescent="0.3">
      <c r="A2619" t="s">
        <v>24</v>
      </c>
      <c r="B2619" t="s">
        <v>59</v>
      </c>
      <c r="C2619">
        <v>357.83490987346249</v>
      </c>
      <c r="D2619">
        <v>16.64707152735863</v>
      </c>
      <c r="E2619">
        <v>23.870097290558189</v>
      </c>
      <c r="F2619">
        <v>55.93953209927647</v>
      </c>
      <c r="G2619">
        <v>5.1564694633118524</v>
      </c>
      <c r="H2619">
        <v>76.581933190214883</v>
      </c>
      <c r="I2619">
        <v>30.944445703759101</v>
      </c>
      <c r="J2619">
        <v>30.718405884540761</v>
      </c>
      <c r="K2619">
        <v>11</v>
      </c>
      <c r="L2619">
        <v>-1</v>
      </c>
      <c r="M2619" t="s">
        <v>69</v>
      </c>
    </row>
    <row r="2620" spans="1:13" x14ac:dyDescent="0.3">
      <c r="A2620" t="s">
        <v>24</v>
      </c>
      <c r="B2620" t="s">
        <v>61</v>
      </c>
      <c r="C2620">
        <v>123.6401537750439</v>
      </c>
      <c r="D2620">
        <v>5.4950326711663458</v>
      </c>
      <c r="E2620">
        <v>8.2764052959829169</v>
      </c>
      <c r="F2620">
        <v>21.981841252304651</v>
      </c>
      <c r="G2620">
        <v>6.1785255888784523</v>
      </c>
      <c r="H2620">
        <v>21.069484948035321</v>
      </c>
      <c r="I2620">
        <v>31.038152761801321</v>
      </c>
      <c r="J2620">
        <v>31.124189381945939</v>
      </c>
      <c r="K2620">
        <v>47.49351333155505</v>
      </c>
      <c r="L2620">
        <v>-1</v>
      </c>
      <c r="M2620" t="s">
        <v>69</v>
      </c>
    </row>
    <row r="2621" spans="1:13" x14ac:dyDescent="0.3">
      <c r="A2621" t="s">
        <v>24</v>
      </c>
      <c r="B2621" t="s">
        <v>61</v>
      </c>
      <c r="C2621">
        <v>83.404052883083722</v>
      </c>
      <c r="D2621">
        <v>4.1914693112313879</v>
      </c>
      <c r="E2621">
        <v>5.5606819538682686</v>
      </c>
      <c r="F2621">
        <v>14.288788471391451</v>
      </c>
      <c r="G2621">
        <v>6.5980461308179219</v>
      </c>
      <c r="H2621">
        <v>13.9</v>
      </c>
      <c r="I2621">
        <v>32.087902126314667</v>
      </c>
      <c r="J2621">
        <v>31.216151795856899</v>
      </c>
      <c r="K2621">
        <v>48.095478894613727</v>
      </c>
      <c r="L2621">
        <v>-1</v>
      </c>
      <c r="M2621" t="s">
        <v>69</v>
      </c>
    </row>
    <row r="2622" spans="1:13" x14ac:dyDescent="0.3">
      <c r="A2622" t="s">
        <v>24</v>
      </c>
      <c r="B2622" t="s">
        <v>60</v>
      </c>
      <c r="C2622">
        <v>506.82640764521761</v>
      </c>
      <c r="D2622">
        <v>25.287367074304289</v>
      </c>
      <c r="E2622">
        <v>34.838887352158793</v>
      </c>
      <c r="F2622">
        <v>81.864854801769894</v>
      </c>
      <c r="G2622">
        <v>5.3967701255966301</v>
      </c>
      <c r="H2622">
        <v>65.132267459740547</v>
      </c>
      <c r="I2622">
        <v>30.937583835184569</v>
      </c>
      <c r="J2622">
        <v>31.057332709058571</v>
      </c>
      <c r="K2622">
        <v>11</v>
      </c>
      <c r="L2622">
        <v>-1</v>
      </c>
      <c r="M2622" t="s">
        <v>69</v>
      </c>
    </row>
    <row r="2623" spans="1:13" x14ac:dyDescent="0.3">
      <c r="A2623" t="s">
        <v>24</v>
      </c>
      <c r="B2623" t="s">
        <v>60</v>
      </c>
      <c r="C2623">
        <v>523.40123147238342</v>
      </c>
      <c r="D2623">
        <v>25.489234448965089</v>
      </c>
      <c r="E2623">
        <v>39.570831225405698</v>
      </c>
      <c r="F2623">
        <v>90.196112304885702</v>
      </c>
      <c r="G2623">
        <v>5.3745409400729196</v>
      </c>
      <c r="H2623">
        <v>64.513830687992552</v>
      </c>
      <c r="I2623">
        <v>31.756461601320058</v>
      </c>
      <c r="J2623">
        <v>30.464392444519511</v>
      </c>
      <c r="K2623">
        <v>11</v>
      </c>
      <c r="L2623">
        <v>-1</v>
      </c>
      <c r="M2623" t="s">
        <v>69</v>
      </c>
    </row>
    <row r="2624" spans="1:13" x14ac:dyDescent="0.3">
      <c r="A2624" t="s">
        <v>24</v>
      </c>
      <c r="B2624" t="s">
        <v>61</v>
      </c>
      <c r="C2624">
        <v>120.4912231946228</v>
      </c>
      <c r="D2624">
        <v>5.9647886359317273</v>
      </c>
      <c r="E2624">
        <v>7.3017928424478242</v>
      </c>
      <c r="F2624">
        <v>22.05702798443636</v>
      </c>
      <c r="G2624">
        <v>6.0867303267495689</v>
      </c>
      <c r="H2624">
        <v>19.68875684695616</v>
      </c>
      <c r="I2624">
        <v>31.28367179974834</v>
      </c>
      <c r="J2624">
        <v>31.336216605298301</v>
      </c>
      <c r="K2624">
        <v>46.6770439586885</v>
      </c>
      <c r="L2624">
        <v>-1</v>
      </c>
      <c r="M2624" t="s">
        <v>69</v>
      </c>
    </row>
    <row r="2625" spans="1:13" x14ac:dyDescent="0.3">
      <c r="A2625" t="s">
        <v>24</v>
      </c>
      <c r="B2625" t="s">
        <v>61</v>
      </c>
      <c r="C2625">
        <v>330.38465740167038</v>
      </c>
      <c r="D2625">
        <v>16.14844770920168</v>
      </c>
      <c r="E2625">
        <v>23.443017393910019</v>
      </c>
      <c r="F2625">
        <v>54.859317483522133</v>
      </c>
      <c r="G2625">
        <v>4.3321474645928069</v>
      </c>
      <c r="H2625">
        <v>57.895780784674592</v>
      </c>
      <c r="I2625">
        <v>29.690752565287031</v>
      </c>
      <c r="J2625">
        <v>30.854028312999489</v>
      </c>
      <c r="K2625">
        <v>13.92057133055232</v>
      </c>
      <c r="L2625">
        <v>-1</v>
      </c>
      <c r="M2625" t="s">
        <v>69</v>
      </c>
    </row>
    <row r="2626" spans="1:13" x14ac:dyDescent="0.3">
      <c r="A2626" t="s">
        <v>25</v>
      </c>
      <c r="B2626" t="s">
        <v>62</v>
      </c>
      <c r="C2626">
        <v>93.508272576065337</v>
      </c>
      <c r="D2626">
        <v>3.7310241012419141</v>
      </c>
      <c r="E2626">
        <v>6.0269221586078743</v>
      </c>
      <c r="F2626">
        <v>14.137770948654049</v>
      </c>
      <c r="G2626">
        <v>6.8891211182470027</v>
      </c>
      <c r="H2626">
        <v>14.12376959819944</v>
      </c>
      <c r="I2626">
        <v>33.495745207824022</v>
      </c>
      <c r="J2626">
        <v>30.651933678039921</v>
      </c>
      <c r="K2626">
        <v>47.66995373383088</v>
      </c>
      <c r="L2626">
        <v>-1</v>
      </c>
      <c r="M2626" t="s">
        <v>69</v>
      </c>
    </row>
    <row r="2627" spans="1:13" x14ac:dyDescent="0.3">
      <c r="A2627" t="s">
        <v>24</v>
      </c>
      <c r="B2627" t="s">
        <v>61</v>
      </c>
      <c r="C2627">
        <v>77.993947207730997</v>
      </c>
      <c r="D2627">
        <v>4.3176451820872161</v>
      </c>
      <c r="E2627">
        <v>5.2228132714594224</v>
      </c>
      <c r="F2627">
        <v>10.84407160506411</v>
      </c>
      <c r="G2627">
        <v>6.1695660678317106</v>
      </c>
      <c r="H2627">
        <v>14.657567686622579</v>
      </c>
      <c r="I2627">
        <v>33.827031332875187</v>
      </c>
      <c r="J2627">
        <v>30.682717749924031</v>
      </c>
      <c r="K2627">
        <v>49.335189103807352</v>
      </c>
      <c r="L2627">
        <v>-1</v>
      </c>
      <c r="M2627" t="s">
        <v>69</v>
      </c>
    </row>
    <row r="2628" spans="1:13" x14ac:dyDescent="0.3">
      <c r="A2628" t="s">
        <v>25</v>
      </c>
      <c r="B2628" t="s">
        <v>62</v>
      </c>
      <c r="C2628">
        <v>90.262958466434739</v>
      </c>
      <c r="D2628">
        <v>4.2381770424914373</v>
      </c>
      <c r="E2628">
        <v>5.6220122144711144</v>
      </c>
      <c r="F2628">
        <v>13.283690655093469</v>
      </c>
      <c r="G2628">
        <v>6.7203014405918688</v>
      </c>
      <c r="H2628">
        <v>13.9</v>
      </c>
      <c r="I2628">
        <v>31.618011951495841</v>
      </c>
      <c r="J2628">
        <v>30.867422211808162</v>
      </c>
      <c r="K2628">
        <v>47.922170632112064</v>
      </c>
      <c r="L2628">
        <v>-1</v>
      </c>
      <c r="M2628" t="s">
        <v>69</v>
      </c>
    </row>
    <row r="2629" spans="1:13" x14ac:dyDescent="0.3">
      <c r="A2629" t="s">
        <v>24</v>
      </c>
      <c r="B2629" t="s">
        <v>59</v>
      </c>
      <c r="C2629">
        <v>352.36959026639317</v>
      </c>
      <c r="D2629">
        <v>17.229520155927379</v>
      </c>
      <c r="E2629">
        <v>25.556119602994912</v>
      </c>
      <c r="F2629">
        <v>56.609928311271773</v>
      </c>
      <c r="G2629">
        <v>5.2188028964208382</v>
      </c>
      <c r="H2629">
        <v>75.339101418280336</v>
      </c>
      <c r="I2629">
        <v>30.947463029639501</v>
      </c>
      <c r="J2629">
        <v>30.65769835221586</v>
      </c>
      <c r="K2629">
        <v>11</v>
      </c>
      <c r="L2629">
        <v>-1</v>
      </c>
      <c r="M2629" t="s">
        <v>69</v>
      </c>
    </row>
    <row r="2630" spans="1:13" x14ac:dyDescent="0.3">
      <c r="A2630" t="s">
        <v>19</v>
      </c>
      <c r="B2630" t="s">
        <v>46</v>
      </c>
      <c r="C2630">
        <v>26.728612300714229</v>
      </c>
      <c r="D2630">
        <v>1.042676811395191</v>
      </c>
      <c r="E2630">
        <v>0.94584243184693584</v>
      </c>
      <c r="F2630">
        <v>3.6190401040131639</v>
      </c>
      <c r="G2630">
        <v>6.0234542892819096</v>
      </c>
      <c r="H2630">
        <v>20.09205751429748</v>
      </c>
      <c r="I2630">
        <v>29.465209071457391</v>
      </c>
      <c r="J2630">
        <v>26.242619988921629</v>
      </c>
      <c r="K2630">
        <v>730.77744319534338</v>
      </c>
      <c r="L2630">
        <v>-1</v>
      </c>
      <c r="M2630" t="s">
        <v>69</v>
      </c>
    </row>
    <row r="2631" spans="1:13" x14ac:dyDescent="0.3">
      <c r="A2631" t="s">
        <v>24</v>
      </c>
      <c r="B2631" t="s">
        <v>61</v>
      </c>
      <c r="C2631">
        <v>688.07780846155742</v>
      </c>
      <c r="D2631">
        <v>35.786580932019717</v>
      </c>
      <c r="E2631">
        <v>48.582279976198421</v>
      </c>
      <c r="F2631">
        <v>119.36095832867031</v>
      </c>
      <c r="G2631">
        <v>5.9968448636899518</v>
      </c>
      <c r="H2631">
        <v>71.582108301817414</v>
      </c>
      <c r="I2631">
        <v>29.573577030555821</v>
      </c>
      <c r="J2631">
        <v>30.426568705074182</v>
      </c>
      <c r="K2631">
        <v>11</v>
      </c>
      <c r="L2631">
        <v>-1</v>
      </c>
      <c r="M2631" t="s">
        <v>69</v>
      </c>
    </row>
    <row r="2632" spans="1:13" x14ac:dyDescent="0.3">
      <c r="A2632" t="s">
        <v>24</v>
      </c>
      <c r="B2632" t="s">
        <v>59</v>
      </c>
      <c r="C2632">
        <v>358.18282356910322</v>
      </c>
      <c r="D2632">
        <v>18.115473008799249</v>
      </c>
      <c r="E2632">
        <v>23.419890693904438</v>
      </c>
      <c r="F2632">
        <v>51.67307380432068</v>
      </c>
      <c r="G2632">
        <v>5.2814080764201163</v>
      </c>
      <c r="H2632">
        <v>76.858254837360889</v>
      </c>
      <c r="I2632">
        <v>31.18545183353373</v>
      </c>
      <c r="J2632">
        <v>30.943769206840859</v>
      </c>
      <c r="K2632">
        <v>11</v>
      </c>
      <c r="L2632">
        <v>-1</v>
      </c>
      <c r="M2632" t="s">
        <v>69</v>
      </c>
    </row>
    <row r="2633" spans="1:13" x14ac:dyDescent="0.3">
      <c r="A2633" t="s">
        <v>24</v>
      </c>
      <c r="B2633" t="s">
        <v>61</v>
      </c>
      <c r="C2633">
        <v>80.454549166559218</v>
      </c>
      <c r="D2633">
        <v>3.9996062072502689</v>
      </c>
      <c r="E2633">
        <v>5.128890160273083</v>
      </c>
      <c r="F2633">
        <v>12.50512449402334</v>
      </c>
      <c r="G2633">
        <v>6.2191848131806937</v>
      </c>
      <c r="H2633">
        <v>14.728572397229639</v>
      </c>
      <c r="I2633">
        <v>34.765368649691581</v>
      </c>
      <c r="J2633">
        <v>31.12320290563115</v>
      </c>
      <c r="K2633">
        <v>47.758222556156618</v>
      </c>
      <c r="L2633">
        <v>-1</v>
      </c>
      <c r="M2633" t="s">
        <v>69</v>
      </c>
    </row>
    <row r="2634" spans="1:13" x14ac:dyDescent="0.3">
      <c r="A2634" t="s">
        <v>24</v>
      </c>
      <c r="B2634" t="s">
        <v>60</v>
      </c>
      <c r="C2634">
        <v>496.75832205535698</v>
      </c>
      <c r="D2634">
        <v>24.273971943711619</v>
      </c>
      <c r="E2634">
        <v>37.655846993910103</v>
      </c>
      <c r="F2634">
        <v>79.663811032837742</v>
      </c>
      <c r="G2634">
        <v>5.4918762917741581</v>
      </c>
      <c r="H2634">
        <v>66.309466787238335</v>
      </c>
      <c r="I2634">
        <v>31.585956857922859</v>
      </c>
      <c r="J2634">
        <v>29.140746259493561</v>
      </c>
      <c r="K2634">
        <v>11.087248967328151</v>
      </c>
      <c r="L2634">
        <v>-1</v>
      </c>
      <c r="M2634" t="s">
        <v>69</v>
      </c>
    </row>
    <row r="2635" spans="1:13" x14ac:dyDescent="0.3">
      <c r="A2635" t="s">
        <v>24</v>
      </c>
      <c r="B2635" t="s">
        <v>60</v>
      </c>
      <c r="C2635">
        <v>568.0931700509617</v>
      </c>
      <c r="D2635">
        <v>26.567103714086489</v>
      </c>
      <c r="E2635">
        <v>43.755808240452303</v>
      </c>
      <c r="F2635">
        <v>82.323509687431965</v>
      </c>
      <c r="G2635">
        <v>6.2215615795946713</v>
      </c>
      <c r="H2635">
        <v>80.0822593845553</v>
      </c>
      <c r="I2635">
        <v>32.033266995498643</v>
      </c>
      <c r="J2635">
        <v>31.71051506600125</v>
      </c>
      <c r="K2635">
        <v>11.186029484740169</v>
      </c>
      <c r="L2635">
        <v>-1</v>
      </c>
      <c r="M2635" t="s">
        <v>69</v>
      </c>
    </row>
    <row r="2636" spans="1:13" x14ac:dyDescent="0.3">
      <c r="A2636" t="s">
        <v>19</v>
      </c>
      <c r="B2636" t="s">
        <v>46</v>
      </c>
      <c r="C2636">
        <v>27.68487858178462</v>
      </c>
      <c r="D2636">
        <v>1.0149611831076399</v>
      </c>
      <c r="E2636">
        <v>1.1285741758645469</v>
      </c>
      <c r="F2636">
        <v>3.948068248886575</v>
      </c>
      <c r="G2636">
        <v>5.9961857105049923</v>
      </c>
      <c r="H2636">
        <v>19.919313851889061</v>
      </c>
      <c r="I2636">
        <v>30.614329657197349</v>
      </c>
      <c r="J2636">
        <v>26.010850053786498</v>
      </c>
      <c r="K2636">
        <v>728.81947707666234</v>
      </c>
      <c r="L2636">
        <v>-1</v>
      </c>
      <c r="M2636" t="s">
        <v>69</v>
      </c>
    </row>
    <row r="2637" spans="1:13" x14ac:dyDescent="0.3">
      <c r="A2637" t="s">
        <v>24</v>
      </c>
      <c r="B2637" t="s">
        <v>61</v>
      </c>
      <c r="C2637">
        <v>124.3479497021634</v>
      </c>
      <c r="D2637">
        <v>6.2875584411901562</v>
      </c>
      <c r="E2637">
        <v>8.1225547491316341</v>
      </c>
      <c r="F2637">
        <v>21.79925406145437</v>
      </c>
      <c r="G2637">
        <v>6.1615029001061652</v>
      </c>
      <c r="H2637">
        <v>20.915892542502831</v>
      </c>
      <c r="I2637">
        <v>31.2132650315163</v>
      </c>
      <c r="J2637">
        <v>30.979802936152211</v>
      </c>
      <c r="K2637">
        <v>48.335392241377349</v>
      </c>
      <c r="L2637">
        <v>-1</v>
      </c>
      <c r="M2637" t="s">
        <v>69</v>
      </c>
    </row>
    <row r="2638" spans="1:13" x14ac:dyDescent="0.3">
      <c r="A2638" t="s">
        <v>24</v>
      </c>
      <c r="B2638" t="s">
        <v>61</v>
      </c>
      <c r="C2638">
        <v>354.63069426563538</v>
      </c>
      <c r="D2638">
        <v>16.101687142193011</v>
      </c>
      <c r="E2638">
        <v>27.177581844219841</v>
      </c>
      <c r="F2638">
        <v>51.479273410351901</v>
      </c>
      <c r="G2638">
        <v>4.5715556846829601</v>
      </c>
      <c r="H2638">
        <v>57.386691515624562</v>
      </c>
      <c r="I2638">
        <v>29.64354871085818</v>
      </c>
      <c r="J2638">
        <v>32.04039370869959</v>
      </c>
      <c r="K2638">
        <v>14.06767173828689</v>
      </c>
      <c r="L2638">
        <v>-1</v>
      </c>
      <c r="M2638" t="s">
        <v>69</v>
      </c>
    </row>
    <row r="2639" spans="1:13" x14ac:dyDescent="0.3">
      <c r="A2639" t="s">
        <v>24</v>
      </c>
      <c r="B2639" t="s">
        <v>61</v>
      </c>
      <c r="C2639">
        <v>354.63126443774883</v>
      </c>
      <c r="D2639">
        <v>19.49654144729816</v>
      </c>
      <c r="E2639">
        <v>20.466305598607399</v>
      </c>
      <c r="F2639">
        <v>65.497957067201014</v>
      </c>
      <c r="G2639">
        <v>4.3019490203510111</v>
      </c>
      <c r="H2639">
        <v>61.301744874700013</v>
      </c>
      <c r="I2639">
        <v>30.250285996545109</v>
      </c>
      <c r="J2639">
        <v>33.203177912850919</v>
      </c>
      <c r="K2639">
        <v>14.447396185099249</v>
      </c>
      <c r="L2639">
        <v>-1</v>
      </c>
      <c r="M2639" t="s">
        <v>69</v>
      </c>
    </row>
    <row r="2640" spans="1:13" x14ac:dyDescent="0.3">
      <c r="A2640" t="s">
        <v>24</v>
      </c>
      <c r="B2640" t="s">
        <v>61</v>
      </c>
      <c r="C2640">
        <v>120.5437981835862</v>
      </c>
      <c r="D2640">
        <v>5.7920543607865103</v>
      </c>
      <c r="E2640">
        <v>8.8469282188575935</v>
      </c>
      <c r="F2640">
        <v>21.50318298840233</v>
      </c>
      <c r="G2640">
        <v>6.3554333081459804</v>
      </c>
      <c r="H2640">
        <v>21.153539330467229</v>
      </c>
      <c r="I2640">
        <v>29.913745906011432</v>
      </c>
      <c r="J2640">
        <v>30.862803587491861</v>
      </c>
      <c r="K2640">
        <v>48.459014579474797</v>
      </c>
      <c r="L2640">
        <v>-1</v>
      </c>
      <c r="M2640" t="s">
        <v>69</v>
      </c>
    </row>
    <row r="2641" spans="1:13" x14ac:dyDescent="0.3">
      <c r="A2641" t="s">
        <v>24</v>
      </c>
      <c r="B2641" t="s">
        <v>59</v>
      </c>
      <c r="C2641">
        <v>360.43618904411483</v>
      </c>
      <c r="D2641">
        <v>19.494374878696679</v>
      </c>
      <c r="E2641">
        <v>22.094965164604929</v>
      </c>
      <c r="F2641">
        <v>52.936788373438993</v>
      </c>
      <c r="G2641">
        <v>5.3080638063093684</v>
      </c>
      <c r="H2641">
        <v>74.240246450544277</v>
      </c>
      <c r="I2641">
        <v>30.076946707120669</v>
      </c>
      <c r="J2641">
        <v>31.2009491842432</v>
      </c>
      <c r="K2641">
        <v>11</v>
      </c>
      <c r="L2641">
        <v>-1</v>
      </c>
      <c r="M2641" t="s">
        <v>69</v>
      </c>
    </row>
    <row r="2642" spans="1:13" x14ac:dyDescent="0.3">
      <c r="A2642" t="s">
        <v>24</v>
      </c>
      <c r="B2642" t="s">
        <v>61</v>
      </c>
      <c r="C2642">
        <v>333.18164764974642</v>
      </c>
      <c r="D2642">
        <v>18.06746964913086</v>
      </c>
      <c r="E2642">
        <v>21.527654140278909</v>
      </c>
      <c r="F2642">
        <v>51.066480662334698</v>
      </c>
      <c r="G2642">
        <v>4.3737443983756741</v>
      </c>
      <c r="H2642">
        <v>56.180718896847097</v>
      </c>
      <c r="I2642">
        <v>29.215301384800451</v>
      </c>
      <c r="J2642">
        <v>31.8725310542237</v>
      </c>
      <c r="K2642">
        <v>13.977217292326941</v>
      </c>
      <c r="L2642">
        <v>-1</v>
      </c>
      <c r="M2642" t="s">
        <v>69</v>
      </c>
    </row>
    <row r="2643" spans="1:13" x14ac:dyDescent="0.3">
      <c r="A2643" t="s">
        <v>24</v>
      </c>
      <c r="B2643" t="s">
        <v>61</v>
      </c>
      <c r="C2643">
        <v>123.55945552577219</v>
      </c>
      <c r="D2643">
        <v>5.3071224550876401</v>
      </c>
      <c r="E2643">
        <v>8.4443103307654077</v>
      </c>
      <c r="F2643">
        <v>22.44104132225776</v>
      </c>
      <c r="G2643">
        <v>6.2358999114547986</v>
      </c>
      <c r="H2643">
        <v>20.9087659909334</v>
      </c>
      <c r="I2643">
        <v>31.163436501227899</v>
      </c>
      <c r="J2643">
        <v>31.28096661585889</v>
      </c>
      <c r="K2643">
        <v>46.880215268494339</v>
      </c>
      <c r="L2643">
        <v>-1</v>
      </c>
      <c r="M2643" t="s">
        <v>69</v>
      </c>
    </row>
    <row r="2644" spans="1:13" x14ac:dyDescent="0.3">
      <c r="A2644" t="s">
        <v>25</v>
      </c>
      <c r="B2644" t="s">
        <v>62</v>
      </c>
      <c r="C2644">
        <v>90.021997415155084</v>
      </c>
      <c r="D2644">
        <v>4.0299286978781259</v>
      </c>
      <c r="E2644">
        <v>5.7780198812604944</v>
      </c>
      <c r="F2644">
        <v>14.57015735036746</v>
      </c>
      <c r="G2644">
        <v>6.8142598615678427</v>
      </c>
      <c r="H2644">
        <v>13.9</v>
      </c>
      <c r="I2644">
        <v>32.784348833686508</v>
      </c>
      <c r="J2644">
        <v>30.423164511786471</v>
      </c>
      <c r="K2644">
        <v>47.471696705682923</v>
      </c>
      <c r="L2644">
        <v>-1</v>
      </c>
      <c r="M2644" t="s">
        <v>69</v>
      </c>
    </row>
    <row r="2645" spans="1:13" x14ac:dyDescent="0.3">
      <c r="A2645" t="s">
        <v>19</v>
      </c>
      <c r="B2645" t="s">
        <v>47</v>
      </c>
      <c r="C2645">
        <v>31.657751147306261</v>
      </c>
      <c r="D2645">
        <v>0.90439689757029385</v>
      </c>
      <c r="E2645">
        <v>1.9842083492979521</v>
      </c>
      <c r="F2645">
        <v>3.7283920177226899</v>
      </c>
      <c r="G2645">
        <v>5.9146409279335321</v>
      </c>
      <c r="H2645">
        <v>20.94457377523127</v>
      </c>
      <c r="I2645">
        <v>29.097936490958482</v>
      </c>
      <c r="J2645">
        <v>25.878313024741281</v>
      </c>
      <c r="K2645">
        <v>730.89695496460877</v>
      </c>
      <c r="L2645">
        <v>-1</v>
      </c>
      <c r="M2645" t="s">
        <v>69</v>
      </c>
    </row>
    <row r="2646" spans="1:13" x14ac:dyDescent="0.3">
      <c r="A2646" t="s">
        <v>25</v>
      </c>
      <c r="B2646" t="s">
        <v>62</v>
      </c>
      <c r="C2646">
        <v>90.534859828375318</v>
      </c>
      <c r="D2646">
        <v>4.2874053852280376</v>
      </c>
      <c r="E2646">
        <v>5.43196839900512</v>
      </c>
      <c r="F2646">
        <v>12.96557997879159</v>
      </c>
      <c r="G2646">
        <v>6.5864442819153819</v>
      </c>
      <c r="H2646">
        <v>13.9</v>
      </c>
      <c r="I2646">
        <v>31.319419003297821</v>
      </c>
      <c r="J2646">
        <v>29.620896510141339</v>
      </c>
      <c r="K2646">
        <v>47.552235736973671</v>
      </c>
      <c r="L2646">
        <v>-1</v>
      </c>
      <c r="M2646" t="s">
        <v>69</v>
      </c>
    </row>
    <row r="2647" spans="1:13" x14ac:dyDescent="0.3">
      <c r="A2647" t="s">
        <v>24</v>
      </c>
      <c r="B2647" t="s">
        <v>60</v>
      </c>
      <c r="C2647">
        <v>568.61589572403909</v>
      </c>
      <c r="D2647">
        <v>31.477324727430979</v>
      </c>
      <c r="E2647">
        <v>40.957809599643618</v>
      </c>
      <c r="F2647">
        <v>87.158098050575262</v>
      </c>
      <c r="G2647">
        <v>5.9630428086570326</v>
      </c>
      <c r="H2647">
        <v>81.119933230259264</v>
      </c>
      <c r="I2647">
        <v>30.997459325100191</v>
      </c>
      <c r="J2647">
        <v>30.28179906389563</v>
      </c>
      <c r="K2647">
        <v>11</v>
      </c>
      <c r="L2647">
        <v>-1</v>
      </c>
      <c r="M2647" t="s">
        <v>69</v>
      </c>
    </row>
    <row r="2648" spans="1:13" x14ac:dyDescent="0.3">
      <c r="A2648" t="s">
        <v>24</v>
      </c>
      <c r="B2648" t="s">
        <v>61</v>
      </c>
      <c r="C2648">
        <v>80.633637040860137</v>
      </c>
      <c r="D2648">
        <v>4.4485508314784461</v>
      </c>
      <c r="E2648">
        <v>5.1414877018167324</v>
      </c>
      <c r="F2648">
        <v>10.820774146603981</v>
      </c>
      <c r="G2648">
        <v>6.3727641676387359</v>
      </c>
      <c r="H2648">
        <v>14.56776180092788</v>
      </c>
      <c r="I2648">
        <v>34.819146158215993</v>
      </c>
      <c r="J2648">
        <v>30.951149737592161</v>
      </c>
      <c r="K2648">
        <v>47.88167672111399</v>
      </c>
      <c r="L2648">
        <v>-1</v>
      </c>
      <c r="M2648" t="s">
        <v>69</v>
      </c>
    </row>
    <row r="2649" spans="1:13" x14ac:dyDescent="0.3">
      <c r="A2649" t="s">
        <v>19</v>
      </c>
      <c r="B2649" t="s">
        <v>47</v>
      </c>
      <c r="C2649">
        <v>31.5038232563743</v>
      </c>
      <c r="D2649">
        <v>0.97725010870689832</v>
      </c>
      <c r="E2649">
        <v>2.0074958393647622</v>
      </c>
      <c r="F2649">
        <v>3.7316389883124148</v>
      </c>
      <c r="G2649">
        <v>5.8253514553428563</v>
      </c>
      <c r="H2649">
        <v>21.46971077141492</v>
      </c>
      <c r="I2649">
        <v>29.356126127114951</v>
      </c>
      <c r="J2649">
        <v>25.911461739331759</v>
      </c>
      <c r="K2649">
        <v>739.01183235201415</v>
      </c>
      <c r="L2649">
        <v>-1</v>
      </c>
      <c r="M2649" t="s">
        <v>69</v>
      </c>
    </row>
    <row r="2650" spans="1:13" x14ac:dyDescent="0.3">
      <c r="A2650" t="s">
        <v>24</v>
      </c>
      <c r="B2650" t="s">
        <v>61</v>
      </c>
      <c r="C2650">
        <v>127.931562794068</v>
      </c>
      <c r="D2650">
        <v>5.9846124045557438</v>
      </c>
      <c r="E2650">
        <v>8.5122675393954541</v>
      </c>
      <c r="F2650">
        <v>21.900153250540448</v>
      </c>
      <c r="G2650">
        <v>6.3253933830276852</v>
      </c>
      <c r="H2650">
        <v>19.539504985808609</v>
      </c>
      <c r="I2650">
        <v>29.875424862508169</v>
      </c>
      <c r="J2650">
        <v>31.05772420046107</v>
      </c>
      <c r="K2650">
        <v>47.853830749022791</v>
      </c>
      <c r="L2650">
        <v>-1</v>
      </c>
      <c r="M2650" t="s">
        <v>69</v>
      </c>
    </row>
    <row r="2651" spans="1:13" x14ac:dyDescent="0.3">
      <c r="A2651" t="s">
        <v>24</v>
      </c>
      <c r="B2651" t="s">
        <v>61</v>
      </c>
      <c r="C2651">
        <v>191.16498169227339</v>
      </c>
      <c r="D2651">
        <v>8.4566571722835118</v>
      </c>
      <c r="E2651">
        <v>11.57786375759566</v>
      </c>
      <c r="F2651">
        <v>27.66067898058953</v>
      </c>
      <c r="G2651">
        <v>6.1096832871552884</v>
      </c>
      <c r="H2651">
        <v>24.416362022550111</v>
      </c>
      <c r="I2651">
        <v>29.99540697184441</v>
      </c>
      <c r="J2651">
        <v>32.325227170473553</v>
      </c>
      <c r="K2651">
        <v>14.04614547306778</v>
      </c>
      <c r="L2651">
        <v>-1</v>
      </c>
      <c r="M2651" t="s">
        <v>69</v>
      </c>
    </row>
    <row r="2652" spans="1:13" x14ac:dyDescent="0.3">
      <c r="A2652" t="s">
        <v>24</v>
      </c>
      <c r="B2652" t="s">
        <v>61</v>
      </c>
      <c r="C2652">
        <v>184.34778497565051</v>
      </c>
      <c r="D2652">
        <v>8.9907984198235038</v>
      </c>
      <c r="E2652">
        <v>11.28461891053502</v>
      </c>
      <c r="F2652">
        <v>30.800546646075599</v>
      </c>
      <c r="G2652">
        <v>6.4587290641088444</v>
      </c>
      <c r="H2652">
        <v>25.68212510596069</v>
      </c>
      <c r="I2652">
        <v>29.65122554110836</v>
      </c>
      <c r="J2652">
        <v>29.943193382493369</v>
      </c>
      <c r="K2652">
        <v>13.885735620293421</v>
      </c>
      <c r="L2652">
        <v>-1</v>
      </c>
      <c r="M2652" t="s">
        <v>69</v>
      </c>
    </row>
    <row r="2653" spans="1:13" x14ac:dyDescent="0.3">
      <c r="A2653" t="s">
        <v>19</v>
      </c>
      <c r="B2653" t="s">
        <v>47</v>
      </c>
      <c r="C2653">
        <v>34.740215590557632</v>
      </c>
      <c r="D2653">
        <v>1.3512238051527321</v>
      </c>
      <c r="E2653">
        <v>1.656158910391782</v>
      </c>
      <c r="F2653">
        <v>3.624789304208742</v>
      </c>
      <c r="G2653">
        <v>6.0685461660059161</v>
      </c>
      <c r="H2653">
        <v>19.78333536742354</v>
      </c>
      <c r="I2653">
        <v>30.544038496611989</v>
      </c>
      <c r="J2653">
        <v>26.253926251652771</v>
      </c>
      <c r="K2653">
        <v>732.45762413822183</v>
      </c>
      <c r="L2653">
        <v>-1</v>
      </c>
      <c r="M2653" t="s">
        <v>69</v>
      </c>
    </row>
    <row r="2654" spans="1:13" x14ac:dyDescent="0.3">
      <c r="A2654" t="s">
        <v>24</v>
      </c>
      <c r="B2654" t="s">
        <v>61</v>
      </c>
      <c r="C2654">
        <v>177.647360595311</v>
      </c>
      <c r="D2654">
        <v>8.061773555005626</v>
      </c>
      <c r="E2654">
        <v>13.328635876665469</v>
      </c>
      <c r="F2654">
        <v>31.16223648921887</v>
      </c>
      <c r="G2654">
        <v>6.0733147685435132</v>
      </c>
      <c r="H2654">
        <v>24.0572388139813</v>
      </c>
      <c r="I2654">
        <v>29.31936853299322</v>
      </c>
      <c r="J2654">
        <v>30.961893848129129</v>
      </c>
      <c r="K2654">
        <v>14.054380955619539</v>
      </c>
      <c r="L2654">
        <v>-1</v>
      </c>
      <c r="M2654" t="s">
        <v>69</v>
      </c>
    </row>
    <row r="2655" spans="1:13" x14ac:dyDescent="0.3">
      <c r="A2655" t="s">
        <v>24</v>
      </c>
      <c r="B2655" t="s">
        <v>61</v>
      </c>
      <c r="C2655">
        <v>75.531500280569645</v>
      </c>
      <c r="D2655">
        <v>3.9650249850283088</v>
      </c>
      <c r="E2655">
        <v>4.529927972405404</v>
      </c>
      <c r="F2655">
        <v>11.96329734173165</v>
      </c>
      <c r="G2655">
        <v>6.1458849731362903</v>
      </c>
      <c r="H2655">
        <v>15.20288454285398</v>
      </c>
      <c r="I2655">
        <v>35.747345076227262</v>
      </c>
      <c r="J2655">
        <v>31.35463325218937</v>
      </c>
      <c r="K2655">
        <v>48.378112083968063</v>
      </c>
      <c r="L2655">
        <v>-1</v>
      </c>
      <c r="M2655" t="s">
        <v>69</v>
      </c>
    </row>
    <row r="2656" spans="1:13" x14ac:dyDescent="0.3">
      <c r="A2656" t="s">
        <v>24</v>
      </c>
      <c r="B2656" t="s">
        <v>61</v>
      </c>
      <c r="C2656">
        <v>189.69036919485421</v>
      </c>
      <c r="D2656">
        <v>8.4638504658207374</v>
      </c>
      <c r="E2656">
        <v>12.312017203306221</v>
      </c>
      <c r="F2656">
        <v>28.957359158349409</v>
      </c>
      <c r="G2656">
        <v>6.084227010419033</v>
      </c>
      <c r="H2656">
        <v>23.905280008141069</v>
      </c>
      <c r="I2656">
        <v>29.30283444886366</v>
      </c>
      <c r="J2656">
        <v>32.624903644893372</v>
      </c>
      <c r="K2656">
        <v>13.94412476718003</v>
      </c>
      <c r="L2656">
        <v>-1</v>
      </c>
      <c r="M2656" t="s">
        <v>69</v>
      </c>
    </row>
    <row r="2657" spans="1:13" x14ac:dyDescent="0.3">
      <c r="A2657" t="s">
        <v>19</v>
      </c>
      <c r="B2657" t="s">
        <v>46</v>
      </c>
      <c r="C2657">
        <v>46.736967397177132</v>
      </c>
      <c r="D2657">
        <v>1.9389154619788389</v>
      </c>
      <c r="E2657">
        <v>2.8703085618914592</v>
      </c>
      <c r="F2657">
        <v>2.0550271036863101</v>
      </c>
      <c r="G2657">
        <v>6.184889075425172</v>
      </c>
      <c r="H2657">
        <v>20.51121408649843</v>
      </c>
      <c r="I2657">
        <v>29.419980481897369</v>
      </c>
      <c r="J2657">
        <v>26.08649161987481</v>
      </c>
      <c r="K2657">
        <v>735.09083057202452</v>
      </c>
      <c r="L2657">
        <v>-1</v>
      </c>
      <c r="M2657" t="s">
        <v>69</v>
      </c>
    </row>
    <row r="2658" spans="1:13" x14ac:dyDescent="0.3">
      <c r="A2658" t="s">
        <v>24</v>
      </c>
      <c r="B2658" t="s">
        <v>61</v>
      </c>
      <c r="C2658">
        <v>80.236845465304455</v>
      </c>
      <c r="D2658">
        <v>3.9994490342588871</v>
      </c>
      <c r="E2658">
        <v>5.1803335960998496</v>
      </c>
      <c r="F2658">
        <v>12.70673289793689</v>
      </c>
      <c r="G2658">
        <v>6.2268419741588357</v>
      </c>
      <c r="H2658">
        <v>14.739976388660679</v>
      </c>
      <c r="I2658">
        <v>34.791458988382807</v>
      </c>
      <c r="J2658">
        <v>31.172376409303411</v>
      </c>
      <c r="K2658">
        <v>47.661722851366683</v>
      </c>
      <c r="L2658">
        <v>-1</v>
      </c>
      <c r="M2658" t="s">
        <v>69</v>
      </c>
    </row>
    <row r="2659" spans="1:13" x14ac:dyDescent="0.3">
      <c r="A2659" t="s">
        <v>25</v>
      </c>
      <c r="B2659" t="s">
        <v>62</v>
      </c>
      <c r="C2659">
        <v>91.70529949560887</v>
      </c>
      <c r="D2659">
        <v>4.4225383511181553</v>
      </c>
      <c r="E2659">
        <v>5.4427733023934524</v>
      </c>
      <c r="F2659">
        <v>12.19132276027004</v>
      </c>
      <c r="G2659">
        <v>6.7831298761595846</v>
      </c>
      <c r="H2659">
        <v>13.9</v>
      </c>
      <c r="I2659">
        <v>32.348841601877638</v>
      </c>
      <c r="J2659">
        <v>30.593031664562741</v>
      </c>
      <c r="K2659">
        <v>47.649720198324992</v>
      </c>
      <c r="L2659">
        <v>-1</v>
      </c>
      <c r="M2659" t="s">
        <v>69</v>
      </c>
    </row>
    <row r="2660" spans="1:13" x14ac:dyDescent="0.3">
      <c r="A2660" t="s">
        <v>24</v>
      </c>
      <c r="B2660" t="s">
        <v>60</v>
      </c>
      <c r="C2660">
        <v>605.85355701052117</v>
      </c>
      <c r="D2660">
        <v>28.588042269112421</v>
      </c>
      <c r="E2660">
        <v>34.847396754326617</v>
      </c>
      <c r="F2660">
        <v>101.13935785783779</v>
      </c>
      <c r="G2660">
        <v>5.9991363758512417</v>
      </c>
      <c r="H2660">
        <v>77.496636196557944</v>
      </c>
      <c r="I2660">
        <v>29.408558775555381</v>
      </c>
      <c r="J2660">
        <v>31.24210062164159</v>
      </c>
      <c r="K2660">
        <v>11.467709446049639</v>
      </c>
      <c r="L2660">
        <v>-1</v>
      </c>
      <c r="M2660" t="s">
        <v>69</v>
      </c>
    </row>
    <row r="2661" spans="1:13" x14ac:dyDescent="0.3">
      <c r="A2661" t="s">
        <v>19</v>
      </c>
      <c r="B2661" t="s">
        <v>47</v>
      </c>
      <c r="C2661">
        <v>32.222230104037017</v>
      </c>
      <c r="D2661">
        <v>0.807863099398344</v>
      </c>
      <c r="E2661">
        <v>1.883764389631607</v>
      </c>
      <c r="F2661">
        <v>3.8351547846798439</v>
      </c>
      <c r="G2661">
        <v>5.9490073613777659</v>
      </c>
      <c r="H2661">
        <v>20.311291980318931</v>
      </c>
      <c r="I2661">
        <v>28.660614556745681</v>
      </c>
      <c r="J2661">
        <v>26.074056914827171</v>
      </c>
      <c r="K2661">
        <v>728.88865701192242</v>
      </c>
      <c r="L2661">
        <v>-1</v>
      </c>
      <c r="M2661" t="s">
        <v>69</v>
      </c>
    </row>
    <row r="2662" spans="1:13" x14ac:dyDescent="0.3">
      <c r="A2662" t="s">
        <v>24</v>
      </c>
      <c r="B2662" t="s">
        <v>61</v>
      </c>
      <c r="C2662">
        <v>334.71442299285599</v>
      </c>
      <c r="D2662">
        <v>18.720742701660079</v>
      </c>
      <c r="E2662">
        <v>23.73048433342699</v>
      </c>
      <c r="F2662">
        <v>53.892291730377501</v>
      </c>
      <c r="G2662">
        <v>5.3471236690766961</v>
      </c>
      <c r="H2662">
        <v>71.620472547735574</v>
      </c>
      <c r="I2662">
        <v>30.526963437196269</v>
      </c>
      <c r="J2662">
        <v>31.382128945826061</v>
      </c>
      <c r="K2662">
        <v>11.01266048097682</v>
      </c>
      <c r="L2662">
        <v>-1</v>
      </c>
      <c r="M2662" t="s">
        <v>69</v>
      </c>
    </row>
    <row r="2663" spans="1:13" x14ac:dyDescent="0.3">
      <c r="A2663" t="s">
        <v>24</v>
      </c>
      <c r="B2663" t="s">
        <v>59</v>
      </c>
      <c r="C2663">
        <v>353.65303001133822</v>
      </c>
      <c r="D2663">
        <v>18.338477663567708</v>
      </c>
      <c r="E2663">
        <v>24.321481579385889</v>
      </c>
      <c r="F2663">
        <v>55.391518804061647</v>
      </c>
      <c r="G2663">
        <v>5.3145555940865794</v>
      </c>
      <c r="H2663">
        <v>70.439550172994586</v>
      </c>
      <c r="I2663">
        <v>30.307339760774141</v>
      </c>
      <c r="J2663">
        <v>30.905258224913808</v>
      </c>
      <c r="K2663">
        <v>11.113917579254119</v>
      </c>
      <c r="L2663">
        <v>-1</v>
      </c>
      <c r="M2663" t="s">
        <v>69</v>
      </c>
    </row>
    <row r="2664" spans="1:13" x14ac:dyDescent="0.3">
      <c r="A2664" t="s">
        <v>24</v>
      </c>
      <c r="B2664" t="s">
        <v>61</v>
      </c>
      <c r="C2664">
        <v>170.4505175036702</v>
      </c>
      <c r="D2664">
        <v>9.6762774991746134</v>
      </c>
      <c r="E2664">
        <v>10.78071849145196</v>
      </c>
      <c r="F2664">
        <v>30.016112891450149</v>
      </c>
      <c r="G2664">
        <v>6.0171281201762117</v>
      </c>
      <c r="H2664">
        <v>26.877686021690359</v>
      </c>
      <c r="I2664">
        <v>29.985396447961492</v>
      </c>
      <c r="J2664">
        <v>31.367750673009329</v>
      </c>
      <c r="K2664">
        <v>14.247088946892751</v>
      </c>
      <c r="L2664">
        <v>-1</v>
      </c>
      <c r="M2664" t="s">
        <v>69</v>
      </c>
    </row>
    <row r="2665" spans="1:13" x14ac:dyDescent="0.3">
      <c r="A2665" t="s">
        <v>24</v>
      </c>
      <c r="B2665" t="s">
        <v>61</v>
      </c>
      <c r="C2665">
        <v>192.85645456866311</v>
      </c>
      <c r="D2665">
        <v>8.6537499850614594</v>
      </c>
      <c r="E2665">
        <v>10.62170646170912</v>
      </c>
      <c r="F2665">
        <v>27.530518437447629</v>
      </c>
      <c r="G2665">
        <v>6.2012384542308441</v>
      </c>
      <c r="H2665">
        <v>25.405130804015819</v>
      </c>
      <c r="I2665">
        <v>30.60452443396354</v>
      </c>
      <c r="J2665">
        <v>31.56567732895364</v>
      </c>
      <c r="K2665">
        <v>14.15393241598326</v>
      </c>
      <c r="L2665">
        <v>-1</v>
      </c>
      <c r="M2665" t="s">
        <v>69</v>
      </c>
    </row>
    <row r="2666" spans="1:13" x14ac:dyDescent="0.3">
      <c r="A2666" t="s">
        <v>24</v>
      </c>
      <c r="B2666" t="s">
        <v>61</v>
      </c>
      <c r="C2666">
        <v>706.11951505373861</v>
      </c>
      <c r="D2666">
        <v>34.334714112179029</v>
      </c>
      <c r="E2666">
        <v>46.098110350989472</v>
      </c>
      <c r="F2666">
        <v>112.3161787163546</v>
      </c>
      <c r="G2666">
        <v>5.9615111048859024</v>
      </c>
      <c r="H2666">
        <v>70.914726410426155</v>
      </c>
      <c r="I2666">
        <v>29.832719936032749</v>
      </c>
      <c r="J2666">
        <v>30.695717513357319</v>
      </c>
      <c r="K2666">
        <v>11.054633926226639</v>
      </c>
      <c r="L2666">
        <v>-1</v>
      </c>
      <c r="M2666" t="s">
        <v>69</v>
      </c>
    </row>
    <row r="2667" spans="1:13" x14ac:dyDescent="0.3">
      <c r="A2667" t="s">
        <v>24</v>
      </c>
      <c r="B2667" t="s">
        <v>60</v>
      </c>
      <c r="C2667">
        <v>506.47226790321872</v>
      </c>
      <c r="D2667">
        <v>21.723631598015459</v>
      </c>
      <c r="E2667">
        <v>35.949925525616493</v>
      </c>
      <c r="F2667">
        <v>81.538405745323928</v>
      </c>
      <c r="G2667">
        <v>5.5066864129501409</v>
      </c>
      <c r="H2667">
        <v>62.78811582277141</v>
      </c>
      <c r="I2667">
        <v>30.08355306239087</v>
      </c>
      <c r="J2667">
        <v>31.19009509355902</v>
      </c>
      <c r="K2667">
        <v>11.18450288646568</v>
      </c>
      <c r="L2667">
        <v>-1</v>
      </c>
      <c r="M2667" t="s">
        <v>69</v>
      </c>
    </row>
    <row r="2668" spans="1:13" x14ac:dyDescent="0.3">
      <c r="A2668" t="s">
        <v>24</v>
      </c>
      <c r="B2668" t="s">
        <v>58</v>
      </c>
      <c r="C2668">
        <v>30.068075839472581</v>
      </c>
      <c r="D2668">
        <v>0.93011617346378417</v>
      </c>
      <c r="E2668">
        <v>1.901652928871375</v>
      </c>
      <c r="F2668">
        <v>4.0930310184346919</v>
      </c>
      <c r="G2668">
        <v>6.0484551494067613</v>
      </c>
      <c r="H2668">
        <v>22.632647536752401</v>
      </c>
      <c r="I2668">
        <v>29.78680841366738</v>
      </c>
      <c r="J2668">
        <v>25.722612840791431</v>
      </c>
      <c r="K2668">
        <v>748.18471045403544</v>
      </c>
      <c r="L2668">
        <v>-1</v>
      </c>
      <c r="M2668" t="s">
        <v>69</v>
      </c>
    </row>
    <row r="2669" spans="1:13" x14ac:dyDescent="0.3">
      <c r="A2669" t="s">
        <v>19</v>
      </c>
      <c r="B2669" t="s">
        <v>46</v>
      </c>
      <c r="C2669">
        <v>25.171476515337861</v>
      </c>
      <c r="D2669">
        <v>0.81686879132440149</v>
      </c>
      <c r="E2669">
        <v>0.9393270265045004</v>
      </c>
      <c r="F2669">
        <v>4.4876181617533977</v>
      </c>
      <c r="G2669">
        <v>5.7351801929519786</v>
      </c>
      <c r="H2669">
        <v>17.861704565854801</v>
      </c>
      <c r="I2669">
        <v>30.86389925156012</v>
      </c>
      <c r="J2669">
        <v>26.618688182142051</v>
      </c>
      <c r="K2669">
        <v>721.2497752673811</v>
      </c>
      <c r="L2669">
        <v>-1</v>
      </c>
      <c r="M2669" t="s">
        <v>69</v>
      </c>
    </row>
    <row r="2670" spans="1:13" x14ac:dyDescent="0.3">
      <c r="A2670" t="s">
        <v>24</v>
      </c>
      <c r="B2670" t="s">
        <v>61</v>
      </c>
      <c r="C2670">
        <v>343.15657291699341</v>
      </c>
      <c r="D2670">
        <v>17.19316910116326</v>
      </c>
      <c r="E2670">
        <v>24.489742894040589</v>
      </c>
      <c r="F2670">
        <v>55.303894079698438</v>
      </c>
      <c r="G2670">
        <v>4.6150438581334754</v>
      </c>
      <c r="H2670">
        <v>53.318022882573167</v>
      </c>
      <c r="I2670">
        <v>30.468851939992589</v>
      </c>
      <c r="J2670">
        <v>30.896711971381251</v>
      </c>
      <c r="K2670">
        <v>13.974924057219599</v>
      </c>
      <c r="L2670">
        <v>-1</v>
      </c>
      <c r="M2670" t="s">
        <v>69</v>
      </c>
    </row>
    <row r="2671" spans="1:13" x14ac:dyDescent="0.3">
      <c r="A2671" t="s">
        <v>24</v>
      </c>
      <c r="B2671" t="s">
        <v>59</v>
      </c>
      <c r="C2671">
        <v>358.14996980224288</v>
      </c>
      <c r="D2671">
        <v>16.676234993858898</v>
      </c>
      <c r="E2671">
        <v>23.89212000765971</v>
      </c>
      <c r="F2671">
        <v>63.397412678552797</v>
      </c>
      <c r="G2671">
        <v>5.1725139350246163</v>
      </c>
      <c r="H2671">
        <v>79.833535854839809</v>
      </c>
      <c r="I2671">
        <v>31.446916872774839</v>
      </c>
      <c r="J2671">
        <v>31.618802578024141</v>
      </c>
      <c r="K2671">
        <v>11</v>
      </c>
      <c r="L2671">
        <v>-1</v>
      </c>
      <c r="M2671" t="s">
        <v>69</v>
      </c>
    </row>
    <row r="2672" spans="1:13" x14ac:dyDescent="0.3">
      <c r="A2672" t="s">
        <v>24</v>
      </c>
      <c r="B2672" t="s">
        <v>61</v>
      </c>
      <c r="C2672">
        <v>132.78840170603729</v>
      </c>
      <c r="D2672">
        <v>5.5980455767072259</v>
      </c>
      <c r="E2672">
        <v>7.4117317845596649</v>
      </c>
      <c r="F2672">
        <v>20.373112735496768</v>
      </c>
      <c r="G2672">
        <v>6.341352229562756</v>
      </c>
      <c r="H2672">
        <v>18.337522010675311</v>
      </c>
      <c r="I2672">
        <v>30.157637915451801</v>
      </c>
      <c r="J2672">
        <v>30.712897778119149</v>
      </c>
      <c r="K2672">
        <v>48.052964398489848</v>
      </c>
      <c r="L2672">
        <v>-1</v>
      </c>
      <c r="M2672" t="s">
        <v>69</v>
      </c>
    </row>
    <row r="2673" spans="1:13" x14ac:dyDescent="0.3">
      <c r="A2673" t="s">
        <v>24</v>
      </c>
      <c r="B2673" t="s">
        <v>61</v>
      </c>
      <c r="C2673">
        <v>339.34092754157848</v>
      </c>
      <c r="D2673">
        <v>17.899980217559651</v>
      </c>
      <c r="E2673">
        <v>26.135488950012611</v>
      </c>
      <c r="F2673">
        <v>56.290439713054091</v>
      </c>
      <c r="G2673">
        <v>4.6665844232815434</v>
      </c>
      <c r="H2673">
        <v>51.303441867918288</v>
      </c>
      <c r="I2673">
        <v>30.815990024768709</v>
      </c>
      <c r="J2673">
        <v>30.524892246121379</v>
      </c>
      <c r="K2673">
        <v>13.907298528766431</v>
      </c>
      <c r="L2673">
        <v>-1</v>
      </c>
      <c r="M2673" t="s">
        <v>69</v>
      </c>
    </row>
    <row r="2674" spans="1:13" x14ac:dyDescent="0.3">
      <c r="A2674" t="s">
        <v>25</v>
      </c>
      <c r="B2674" t="s">
        <v>62</v>
      </c>
      <c r="C2674">
        <v>91.610905779949704</v>
      </c>
      <c r="D2674">
        <v>3.9667957090211901</v>
      </c>
      <c r="E2674">
        <v>5.7265950322370456</v>
      </c>
      <c r="F2674">
        <v>12.605541713166691</v>
      </c>
      <c r="G2674">
        <v>6.7192854501352652</v>
      </c>
      <c r="H2674">
        <v>14.3886585482224</v>
      </c>
      <c r="I2674">
        <v>31.127157341078149</v>
      </c>
      <c r="J2674">
        <v>29.160260768663061</v>
      </c>
      <c r="K2674">
        <v>46.830760513911173</v>
      </c>
      <c r="L2674">
        <v>-1</v>
      </c>
      <c r="M2674" t="s">
        <v>69</v>
      </c>
    </row>
    <row r="2675" spans="1:13" x14ac:dyDescent="0.3">
      <c r="A2675" t="s">
        <v>19</v>
      </c>
      <c r="B2675" t="s">
        <v>46</v>
      </c>
      <c r="C2675">
        <v>28.100005079806909</v>
      </c>
      <c r="D2675">
        <v>1.0259500567114961</v>
      </c>
      <c r="E2675">
        <v>0.9697363776297161</v>
      </c>
      <c r="F2675">
        <v>3.6756838162527412</v>
      </c>
      <c r="G2675">
        <v>6.0270709115683259</v>
      </c>
      <c r="H2675">
        <v>19.961480584856819</v>
      </c>
      <c r="I2675">
        <v>31.109713159345269</v>
      </c>
      <c r="J2675">
        <v>26.403055694526671</v>
      </c>
      <c r="K2675">
        <v>737.56566958561052</v>
      </c>
      <c r="L2675">
        <v>-1</v>
      </c>
      <c r="M2675" t="s">
        <v>69</v>
      </c>
    </row>
    <row r="2676" spans="1:13" x14ac:dyDescent="0.3">
      <c r="A2676" t="s">
        <v>19</v>
      </c>
      <c r="B2676" t="s">
        <v>47</v>
      </c>
      <c r="C2676">
        <v>31.961011246584359</v>
      </c>
      <c r="D2676">
        <v>0.85558234183933779</v>
      </c>
      <c r="E2676">
        <v>1.935218694165928</v>
      </c>
      <c r="F2676">
        <v>3.7962224859972369</v>
      </c>
      <c r="G2676">
        <v>5.9302042393014629</v>
      </c>
      <c r="H2676">
        <v>20.596881868449341</v>
      </c>
      <c r="I2676">
        <v>28.88001786373826</v>
      </c>
      <c r="J2676">
        <v>25.94054820323877</v>
      </c>
      <c r="K2676">
        <v>728.75294043805445</v>
      </c>
      <c r="L2676">
        <v>-1</v>
      </c>
      <c r="M2676" t="s">
        <v>69</v>
      </c>
    </row>
    <row r="2677" spans="1:13" x14ac:dyDescent="0.3">
      <c r="A2677" t="s">
        <v>24</v>
      </c>
      <c r="B2677" t="s">
        <v>60</v>
      </c>
      <c r="C2677">
        <v>510.0807545525775</v>
      </c>
      <c r="D2677">
        <v>26.716287996890831</v>
      </c>
      <c r="E2677">
        <v>31.801885531460432</v>
      </c>
      <c r="F2677">
        <v>79.038090729358601</v>
      </c>
      <c r="G2677">
        <v>5.4303311407328074</v>
      </c>
      <c r="H2677">
        <v>64.601968297821912</v>
      </c>
      <c r="I2677">
        <v>31.23630625017493</v>
      </c>
      <c r="J2677">
        <v>32.148866225030091</v>
      </c>
      <c r="K2677">
        <v>11.276367760648331</v>
      </c>
      <c r="L2677">
        <v>-1</v>
      </c>
      <c r="M2677" t="s">
        <v>69</v>
      </c>
    </row>
    <row r="2678" spans="1:13" x14ac:dyDescent="0.3">
      <c r="A2678" t="s">
        <v>19</v>
      </c>
      <c r="B2678" t="s">
        <v>47</v>
      </c>
      <c r="C2678">
        <v>30.501970094710199</v>
      </c>
      <c r="D2678">
        <v>1.0399751942249309</v>
      </c>
      <c r="E2678">
        <v>1.8829586132996301</v>
      </c>
      <c r="F2678">
        <v>4.0044626608847977</v>
      </c>
      <c r="G2678">
        <v>5.8431783018746906</v>
      </c>
      <c r="H2678">
        <v>21.034950557448958</v>
      </c>
      <c r="I2678">
        <v>30.01429521213014</v>
      </c>
      <c r="J2678">
        <v>26.04556005576071</v>
      </c>
      <c r="K2678">
        <v>732.67412517401078</v>
      </c>
      <c r="L2678">
        <v>-1</v>
      </c>
      <c r="M2678" t="s">
        <v>69</v>
      </c>
    </row>
    <row r="2679" spans="1:13" x14ac:dyDescent="0.3">
      <c r="A2679" t="s">
        <v>24</v>
      </c>
      <c r="B2679" t="s">
        <v>61</v>
      </c>
      <c r="C2679">
        <v>76.355871690445596</v>
      </c>
      <c r="D2679">
        <v>4.3931085882293184</v>
      </c>
      <c r="E2679">
        <v>5.4968902844350307</v>
      </c>
      <c r="F2679">
        <v>10.44122083842255</v>
      </c>
      <c r="G2679">
        <v>6.1573536614168392</v>
      </c>
      <c r="H2679">
        <v>14.323640262902041</v>
      </c>
      <c r="I2679">
        <v>34.024435440124662</v>
      </c>
      <c r="J2679">
        <v>30.577254263494481</v>
      </c>
      <c r="K2679">
        <v>49.189615116112243</v>
      </c>
      <c r="L2679">
        <v>-1</v>
      </c>
      <c r="M2679" t="s">
        <v>69</v>
      </c>
    </row>
    <row r="2680" spans="1:13" x14ac:dyDescent="0.3">
      <c r="A2680" t="s">
        <v>24</v>
      </c>
      <c r="B2680" t="s">
        <v>61</v>
      </c>
      <c r="C2680">
        <v>122.32024897301559</v>
      </c>
      <c r="D2680">
        <v>5.8789082987550607</v>
      </c>
      <c r="E2680">
        <v>7.687522671620437</v>
      </c>
      <c r="F2680">
        <v>21.585758485640842</v>
      </c>
      <c r="G2680">
        <v>6.0841979691134744</v>
      </c>
      <c r="H2680">
        <v>20.607940409570631</v>
      </c>
      <c r="I2680">
        <v>31.029794769588332</v>
      </c>
      <c r="J2680">
        <v>31.071540679021329</v>
      </c>
      <c r="K2680">
        <v>47.705213766083723</v>
      </c>
      <c r="L2680">
        <v>-1</v>
      </c>
      <c r="M2680" t="s">
        <v>69</v>
      </c>
    </row>
    <row r="2681" spans="1:13" x14ac:dyDescent="0.3">
      <c r="A2681" t="s">
        <v>24</v>
      </c>
      <c r="B2681" t="s">
        <v>59</v>
      </c>
      <c r="C2681">
        <v>352.54672292473549</v>
      </c>
      <c r="D2681">
        <v>16.650709528771419</v>
      </c>
      <c r="E2681">
        <v>25.48217913636725</v>
      </c>
      <c r="F2681">
        <v>54.893013745215377</v>
      </c>
      <c r="G2681">
        <v>5.2090618711005821</v>
      </c>
      <c r="H2681">
        <v>74.40389298329427</v>
      </c>
      <c r="I2681">
        <v>30.060813000960842</v>
      </c>
      <c r="J2681">
        <v>30.764738430586771</v>
      </c>
      <c r="K2681">
        <v>11.271368300218681</v>
      </c>
      <c r="L2681">
        <v>-1</v>
      </c>
      <c r="M2681" t="s">
        <v>69</v>
      </c>
    </row>
    <row r="2682" spans="1:13" x14ac:dyDescent="0.3">
      <c r="A2682" t="s">
        <v>19</v>
      </c>
      <c r="B2682" t="s">
        <v>46</v>
      </c>
      <c r="C2682">
        <v>27.605592009168749</v>
      </c>
      <c r="D2682">
        <v>1.0187477570520871</v>
      </c>
      <c r="E2682">
        <v>1.004080009907709</v>
      </c>
      <c r="F2682">
        <v>3.4790454679957161</v>
      </c>
      <c r="G2682">
        <v>6.0122393869002337</v>
      </c>
      <c r="H2682">
        <v>20.3969041059867</v>
      </c>
      <c r="I2682">
        <v>31.639185137691811</v>
      </c>
      <c r="J2682">
        <v>26.122000115776281</v>
      </c>
      <c r="K2682">
        <v>742.27214231765811</v>
      </c>
      <c r="L2682">
        <v>-1</v>
      </c>
      <c r="M2682" t="s">
        <v>69</v>
      </c>
    </row>
    <row r="2683" spans="1:13" x14ac:dyDescent="0.3">
      <c r="A2683" t="s">
        <v>24</v>
      </c>
      <c r="B2683" t="s">
        <v>60</v>
      </c>
      <c r="C2683">
        <v>592.60091425861879</v>
      </c>
      <c r="D2683">
        <v>31.46463592321324</v>
      </c>
      <c r="E2683">
        <v>42.908781693852163</v>
      </c>
      <c r="F2683">
        <v>94.433418220095092</v>
      </c>
      <c r="G2683">
        <v>6.3257795199495419</v>
      </c>
      <c r="H2683">
        <v>83.281343670285935</v>
      </c>
      <c r="I2683">
        <v>31.632724345796291</v>
      </c>
      <c r="J2683">
        <v>31.23332057607897</v>
      </c>
      <c r="K2683">
        <v>11</v>
      </c>
      <c r="L2683">
        <v>-1</v>
      </c>
      <c r="M2683" t="s">
        <v>69</v>
      </c>
    </row>
    <row r="2684" spans="1:13" x14ac:dyDescent="0.3">
      <c r="A2684" t="s">
        <v>24</v>
      </c>
      <c r="B2684" t="s">
        <v>61</v>
      </c>
      <c r="C2684">
        <v>123.57766191617721</v>
      </c>
      <c r="D2684">
        <v>5.6018445022857994</v>
      </c>
      <c r="E2684">
        <v>8.3633633124366842</v>
      </c>
      <c r="F2684">
        <v>18.29819298773608</v>
      </c>
      <c r="G2684">
        <v>6.3571922167624884</v>
      </c>
      <c r="H2684">
        <v>19.846479617861132</v>
      </c>
      <c r="I2684">
        <v>29.531656100101809</v>
      </c>
      <c r="J2684">
        <v>30.637685654082201</v>
      </c>
      <c r="K2684">
        <v>49.315457627450542</v>
      </c>
      <c r="L2684">
        <v>-1</v>
      </c>
      <c r="M2684" t="s">
        <v>69</v>
      </c>
    </row>
    <row r="2685" spans="1:13" x14ac:dyDescent="0.3">
      <c r="A2685" t="s">
        <v>24</v>
      </c>
      <c r="B2685" t="s">
        <v>61</v>
      </c>
      <c r="C2685">
        <v>337.14839811463628</v>
      </c>
      <c r="D2685">
        <v>18.04928557525016</v>
      </c>
      <c r="E2685">
        <v>21.788392282491561</v>
      </c>
      <c r="F2685">
        <v>66.211939595359667</v>
      </c>
      <c r="G2685">
        <v>4.3706581426168691</v>
      </c>
      <c r="H2685">
        <v>59.313933508422721</v>
      </c>
      <c r="I2685">
        <v>30.105050586774361</v>
      </c>
      <c r="J2685">
        <v>32.187755579370837</v>
      </c>
      <c r="K2685">
        <v>14.05826599805164</v>
      </c>
      <c r="L2685">
        <v>-1</v>
      </c>
      <c r="M2685" t="s">
        <v>69</v>
      </c>
    </row>
    <row r="2686" spans="1:13" x14ac:dyDescent="0.3">
      <c r="A2686" t="s">
        <v>24</v>
      </c>
      <c r="B2686" t="s">
        <v>60</v>
      </c>
      <c r="C2686">
        <v>598.54894361537526</v>
      </c>
      <c r="D2686">
        <v>27.274265201457421</v>
      </c>
      <c r="E2686">
        <v>46.283221303200477</v>
      </c>
      <c r="F2686">
        <v>83.208684293915979</v>
      </c>
      <c r="G2686">
        <v>6.0593910598703209</v>
      </c>
      <c r="H2686">
        <v>79.309470901271993</v>
      </c>
      <c r="I2686">
        <v>30.221704855127939</v>
      </c>
      <c r="J2686">
        <v>30.64212015315341</v>
      </c>
      <c r="K2686">
        <v>11.01580662110314</v>
      </c>
      <c r="L2686">
        <v>-1</v>
      </c>
      <c r="M2686" t="s">
        <v>69</v>
      </c>
    </row>
    <row r="2687" spans="1:13" x14ac:dyDescent="0.3">
      <c r="A2687" t="s">
        <v>24</v>
      </c>
      <c r="B2687" t="s">
        <v>60</v>
      </c>
      <c r="C2687">
        <v>499.61351154028921</v>
      </c>
      <c r="D2687">
        <v>22.20631325529444</v>
      </c>
      <c r="E2687">
        <v>36.756745643584729</v>
      </c>
      <c r="F2687">
        <v>93.688897005588359</v>
      </c>
      <c r="G2687">
        <v>5.4356012319507068</v>
      </c>
      <c r="H2687">
        <v>66.695725974553582</v>
      </c>
      <c r="I2687">
        <v>30.681117202096839</v>
      </c>
      <c r="J2687">
        <v>32.64480352000016</v>
      </c>
      <c r="K2687">
        <v>11</v>
      </c>
      <c r="L2687">
        <v>-1</v>
      </c>
      <c r="M2687" t="s">
        <v>69</v>
      </c>
    </row>
    <row r="2688" spans="1:13" x14ac:dyDescent="0.3">
      <c r="A2688" t="s">
        <v>24</v>
      </c>
      <c r="B2688" t="s">
        <v>61</v>
      </c>
      <c r="C2688">
        <v>345.19972541579608</v>
      </c>
      <c r="D2688">
        <v>16.728289169340151</v>
      </c>
      <c r="E2688">
        <v>21.763166838742091</v>
      </c>
      <c r="F2688">
        <v>53.144873432009327</v>
      </c>
      <c r="G2688">
        <v>4.3568914558540186</v>
      </c>
      <c r="H2688">
        <v>55.670907813720497</v>
      </c>
      <c r="I2688">
        <v>30.569119849226951</v>
      </c>
      <c r="J2688">
        <v>30.78427789531677</v>
      </c>
      <c r="K2688">
        <v>14.295194510824791</v>
      </c>
      <c r="L2688">
        <v>-1</v>
      </c>
      <c r="M2688" t="s">
        <v>69</v>
      </c>
    </row>
    <row r="2689" spans="1:13" x14ac:dyDescent="0.3">
      <c r="A2689" t="s">
        <v>24</v>
      </c>
      <c r="B2689" t="s">
        <v>60</v>
      </c>
      <c r="C2689">
        <v>557.82019483162605</v>
      </c>
      <c r="D2689">
        <v>27.276509718903821</v>
      </c>
      <c r="E2689">
        <v>43.006192496376372</v>
      </c>
      <c r="F2689">
        <v>81.074241798226382</v>
      </c>
      <c r="G2689">
        <v>6.2464462956780729</v>
      </c>
      <c r="H2689">
        <v>80.934578150914831</v>
      </c>
      <c r="I2689">
        <v>32.329782520845612</v>
      </c>
      <c r="J2689">
        <v>31.333254983241542</v>
      </c>
      <c r="K2689">
        <v>11.16846645171654</v>
      </c>
      <c r="L2689">
        <v>-1</v>
      </c>
      <c r="M2689" t="s">
        <v>69</v>
      </c>
    </row>
    <row r="2690" spans="1:13" x14ac:dyDescent="0.3">
      <c r="A2690" t="s">
        <v>24</v>
      </c>
      <c r="B2690" t="s">
        <v>61</v>
      </c>
      <c r="C2690">
        <v>354.22690859101829</v>
      </c>
      <c r="D2690">
        <v>15.414819141088129</v>
      </c>
      <c r="E2690">
        <v>24.574180190510159</v>
      </c>
      <c r="F2690">
        <v>59.211526933589937</v>
      </c>
      <c r="G2690">
        <v>4.3</v>
      </c>
      <c r="H2690">
        <v>57.005882707092738</v>
      </c>
      <c r="I2690">
        <v>29.623619758150689</v>
      </c>
      <c r="J2690">
        <v>30.35548852288774</v>
      </c>
      <c r="K2690">
        <v>13.97424244391323</v>
      </c>
      <c r="L2690">
        <v>-1</v>
      </c>
      <c r="M2690" t="s">
        <v>69</v>
      </c>
    </row>
    <row r="2691" spans="1:13" x14ac:dyDescent="0.3">
      <c r="A2691" t="s">
        <v>25</v>
      </c>
      <c r="B2691" t="s">
        <v>62</v>
      </c>
      <c r="C2691">
        <v>89.109918120524981</v>
      </c>
      <c r="D2691">
        <v>3.9900263124984452</v>
      </c>
      <c r="E2691">
        <v>5.5429102340823606</v>
      </c>
      <c r="F2691">
        <v>11.86732883399587</v>
      </c>
      <c r="G2691">
        <v>6.5642216574251551</v>
      </c>
      <c r="H2691">
        <v>13.9</v>
      </c>
      <c r="I2691">
        <v>32.26235720298245</v>
      </c>
      <c r="J2691">
        <v>29.791325547947739</v>
      </c>
      <c r="K2691">
        <v>48.50212389454714</v>
      </c>
      <c r="L2691">
        <v>-1</v>
      </c>
      <c r="M2691" t="s">
        <v>69</v>
      </c>
    </row>
    <row r="2692" spans="1:13" x14ac:dyDescent="0.3">
      <c r="A2692" t="s">
        <v>19</v>
      </c>
      <c r="B2692" t="s">
        <v>46</v>
      </c>
      <c r="C2692">
        <v>25.882702101245869</v>
      </c>
      <c r="D2692">
        <v>0.88882642911222653</v>
      </c>
      <c r="E2692">
        <v>0.96854226762782591</v>
      </c>
      <c r="F2692">
        <v>4.2939753979414501</v>
      </c>
      <c r="G2692">
        <v>5.847293674920631</v>
      </c>
      <c r="H2692">
        <v>18.600592745028798</v>
      </c>
      <c r="I2692">
        <v>30.809701666399619</v>
      </c>
      <c r="J2692">
        <v>26.352804292995049</v>
      </c>
      <c r="K2692">
        <v>723.42647431385308</v>
      </c>
      <c r="L2692">
        <v>-1</v>
      </c>
      <c r="M2692" t="s">
        <v>69</v>
      </c>
    </row>
    <row r="2693" spans="1:13" x14ac:dyDescent="0.3">
      <c r="A2693" t="s">
        <v>25</v>
      </c>
      <c r="B2693" t="s">
        <v>62</v>
      </c>
      <c r="C2693">
        <v>91.181695676395933</v>
      </c>
      <c r="D2693">
        <v>3.8512043308574651</v>
      </c>
      <c r="E2693">
        <v>6.0320513132677629</v>
      </c>
      <c r="F2693">
        <v>13.9663803263921</v>
      </c>
      <c r="G2693">
        <v>6.8365818734542376</v>
      </c>
      <c r="H2693">
        <v>14.613275158715989</v>
      </c>
      <c r="I2693">
        <v>34.581863342904548</v>
      </c>
      <c r="J2693">
        <v>30.83652773165398</v>
      </c>
      <c r="K2693">
        <v>48.044965890631147</v>
      </c>
      <c r="L2693">
        <v>-1</v>
      </c>
      <c r="M2693" t="s">
        <v>69</v>
      </c>
    </row>
    <row r="2694" spans="1:13" x14ac:dyDescent="0.3">
      <c r="A2694" t="s">
        <v>24</v>
      </c>
      <c r="B2694" t="s">
        <v>60</v>
      </c>
      <c r="C2694">
        <v>599.16581707236298</v>
      </c>
      <c r="D2694">
        <v>27.30058120480977</v>
      </c>
      <c r="E2694">
        <v>42.936267308558257</v>
      </c>
      <c r="F2694">
        <v>94.059520682258892</v>
      </c>
      <c r="G2694">
        <v>6.1161899883893227</v>
      </c>
      <c r="H2694">
        <v>77.680430955786846</v>
      </c>
      <c r="I2694">
        <v>30.645380854878631</v>
      </c>
      <c r="J2694">
        <v>31.68424627750117</v>
      </c>
      <c r="K2694">
        <v>11.129228822217559</v>
      </c>
      <c r="L2694">
        <v>-1</v>
      </c>
      <c r="M2694" t="s">
        <v>69</v>
      </c>
    </row>
    <row r="2695" spans="1:13" x14ac:dyDescent="0.3">
      <c r="A2695" t="s">
        <v>24</v>
      </c>
      <c r="B2695" t="s">
        <v>60</v>
      </c>
      <c r="C2695">
        <v>518.10897585237944</v>
      </c>
      <c r="D2695">
        <v>24.57510881204399</v>
      </c>
      <c r="E2695">
        <v>31.92194464662596</v>
      </c>
      <c r="F2695">
        <v>81.279726641521762</v>
      </c>
      <c r="G2695">
        <v>5.3830874799732156</v>
      </c>
      <c r="H2695">
        <v>65.081972001863193</v>
      </c>
      <c r="I2695">
        <v>31.251805581482351</v>
      </c>
      <c r="J2695">
        <v>31.055331245082559</v>
      </c>
      <c r="K2695">
        <v>11</v>
      </c>
      <c r="L2695">
        <v>-1</v>
      </c>
      <c r="M2695" t="s">
        <v>69</v>
      </c>
    </row>
    <row r="2696" spans="1:13" x14ac:dyDescent="0.3">
      <c r="A2696" t="s">
        <v>24</v>
      </c>
      <c r="B2696" t="s">
        <v>61</v>
      </c>
      <c r="C2696">
        <v>85.728811899881791</v>
      </c>
      <c r="D2696">
        <v>4.1290634986856434</v>
      </c>
      <c r="E2696">
        <v>5.0608225272634799</v>
      </c>
      <c r="F2696">
        <v>10.87901703755729</v>
      </c>
      <c r="G2696">
        <v>6.1620895236832176</v>
      </c>
      <c r="H2696">
        <v>15.18062782652302</v>
      </c>
      <c r="I2696">
        <v>34.565321409793093</v>
      </c>
      <c r="J2696">
        <v>29.941135164237568</v>
      </c>
      <c r="K2696">
        <v>48.487181369999917</v>
      </c>
      <c r="L2696">
        <v>-1</v>
      </c>
      <c r="M2696" t="s">
        <v>69</v>
      </c>
    </row>
    <row r="2697" spans="1:13" x14ac:dyDescent="0.3">
      <c r="A2697" t="s">
        <v>24</v>
      </c>
      <c r="B2697" t="s">
        <v>60</v>
      </c>
      <c r="C2697">
        <v>568.91438572909772</v>
      </c>
      <c r="D2697">
        <v>31.557784380949869</v>
      </c>
      <c r="E2697">
        <v>41.202961986462263</v>
      </c>
      <c r="F2697">
        <v>87.463428567962609</v>
      </c>
      <c r="G2697">
        <v>5.9915639851257829</v>
      </c>
      <c r="H2697">
        <v>81.018315199912124</v>
      </c>
      <c r="I2697">
        <v>31.059559325387671</v>
      </c>
      <c r="J2697">
        <v>30.363522193828441</v>
      </c>
      <c r="K2697">
        <v>11</v>
      </c>
      <c r="L2697">
        <v>-1</v>
      </c>
      <c r="M2697" t="s">
        <v>69</v>
      </c>
    </row>
    <row r="2698" spans="1:13" x14ac:dyDescent="0.3">
      <c r="A2698" t="s">
        <v>24</v>
      </c>
      <c r="B2698" t="s">
        <v>61</v>
      </c>
      <c r="C2698">
        <v>122.8275586705098</v>
      </c>
      <c r="D2698">
        <v>6.7137256280633926</v>
      </c>
      <c r="E2698">
        <v>6.4825211654705246</v>
      </c>
      <c r="F2698">
        <v>19.497099626823729</v>
      </c>
      <c r="G2698">
        <v>6.1638947067797529</v>
      </c>
      <c r="H2698">
        <v>20.763440542486649</v>
      </c>
      <c r="I2698">
        <v>31.01178122620361</v>
      </c>
      <c r="J2698">
        <v>30.37281173359516</v>
      </c>
      <c r="K2698">
        <v>46.790310580003514</v>
      </c>
      <c r="L2698">
        <v>-1</v>
      </c>
      <c r="M2698" t="s">
        <v>69</v>
      </c>
    </row>
    <row r="2699" spans="1:13" x14ac:dyDescent="0.3">
      <c r="A2699" t="s">
        <v>24</v>
      </c>
      <c r="B2699" t="s">
        <v>60</v>
      </c>
      <c r="C2699">
        <v>525.06629311208974</v>
      </c>
      <c r="D2699">
        <v>21.739845830879219</v>
      </c>
      <c r="E2699">
        <v>37.534181398218188</v>
      </c>
      <c r="F2699">
        <v>84.501519219205136</v>
      </c>
      <c r="G2699">
        <v>5.2272196763965644</v>
      </c>
      <c r="H2699">
        <v>68.310805635232171</v>
      </c>
      <c r="I2699">
        <v>30.639463557805929</v>
      </c>
      <c r="J2699">
        <v>31.12303890850766</v>
      </c>
      <c r="K2699">
        <v>11</v>
      </c>
      <c r="L2699">
        <v>-1</v>
      </c>
      <c r="M2699" t="s">
        <v>69</v>
      </c>
    </row>
    <row r="2700" spans="1:13" x14ac:dyDescent="0.3">
      <c r="A2700" t="s">
        <v>24</v>
      </c>
      <c r="B2700" t="s">
        <v>60</v>
      </c>
      <c r="C2700">
        <v>506.51030220257769</v>
      </c>
      <c r="D2700">
        <v>26.402753319694099</v>
      </c>
      <c r="E2700">
        <v>31.37231853968893</v>
      </c>
      <c r="F2700">
        <v>78.602153299189069</v>
      </c>
      <c r="G2700">
        <v>5.4472898447256881</v>
      </c>
      <c r="H2700">
        <v>63.892281679463508</v>
      </c>
      <c r="I2700">
        <v>31.469312074580731</v>
      </c>
      <c r="J2700">
        <v>32.304654237256933</v>
      </c>
      <c r="K2700">
        <v>11.35119274394242</v>
      </c>
      <c r="L2700">
        <v>-1</v>
      </c>
      <c r="M2700" t="s">
        <v>69</v>
      </c>
    </row>
    <row r="2701" spans="1:13" x14ac:dyDescent="0.3">
      <c r="A2701" t="s">
        <v>19</v>
      </c>
      <c r="B2701" t="s">
        <v>47</v>
      </c>
      <c r="C2701">
        <v>31.20844529999577</v>
      </c>
      <c r="D2701">
        <v>0.97866214878511038</v>
      </c>
      <c r="E2701">
        <v>2.0568422260422059</v>
      </c>
      <c r="F2701">
        <v>3.6265304073234819</v>
      </c>
      <c r="G2701">
        <v>5.8918863598690132</v>
      </c>
      <c r="H2701">
        <v>21.469973964435749</v>
      </c>
      <c r="I2701">
        <v>29.429954038589091</v>
      </c>
      <c r="J2701">
        <v>25.78710017691002</v>
      </c>
      <c r="K2701">
        <v>734.16163016645021</v>
      </c>
      <c r="L2701">
        <v>-1</v>
      </c>
      <c r="M2701" t="s">
        <v>69</v>
      </c>
    </row>
    <row r="2702" spans="1:13" x14ac:dyDescent="0.3">
      <c r="A2702" t="s">
        <v>24</v>
      </c>
      <c r="B2702" t="s">
        <v>61</v>
      </c>
      <c r="C2702">
        <v>190.39389714750331</v>
      </c>
      <c r="D2702">
        <v>8.410940953382875</v>
      </c>
      <c r="E2702">
        <v>12.21693699793417</v>
      </c>
      <c r="F2702">
        <v>28.732191999590881</v>
      </c>
      <c r="G2702">
        <v>6.0774066014431254</v>
      </c>
      <c r="H2702">
        <v>23.829042822300789</v>
      </c>
      <c r="I2702">
        <v>29.392257635815511</v>
      </c>
      <c r="J2702">
        <v>32.73045094435038</v>
      </c>
      <c r="K2702">
        <v>13.95613094783084</v>
      </c>
      <c r="L2702">
        <v>-1</v>
      </c>
      <c r="M2702" t="s">
        <v>69</v>
      </c>
    </row>
    <row r="2703" spans="1:13" x14ac:dyDescent="0.3">
      <c r="A2703" t="s">
        <v>24</v>
      </c>
      <c r="B2703" t="s">
        <v>61</v>
      </c>
      <c r="C2703">
        <v>655.90037072113671</v>
      </c>
      <c r="D2703">
        <v>37.437986913506869</v>
      </c>
      <c r="E2703">
        <v>50.329497103204723</v>
      </c>
      <c r="F2703">
        <v>112.4253755552438</v>
      </c>
      <c r="G2703">
        <v>5.8805069525247227</v>
      </c>
      <c r="H2703">
        <v>74.756142749290774</v>
      </c>
      <c r="I2703">
        <v>29.391901952963401</v>
      </c>
      <c r="J2703">
        <v>31.49087622269203</v>
      </c>
      <c r="K2703">
        <v>11.18354244804118</v>
      </c>
      <c r="L2703">
        <v>-1</v>
      </c>
      <c r="M2703" t="s">
        <v>69</v>
      </c>
    </row>
    <row r="2704" spans="1:13" x14ac:dyDescent="0.3">
      <c r="A2704" t="s">
        <v>25</v>
      </c>
      <c r="B2704" t="s">
        <v>62</v>
      </c>
      <c r="C2704">
        <v>91.469871214975157</v>
      </c>
      <c r="D2704">
        <v>3.9036044842680599</v>
      </c>
      <c r="E2704">
        <v>6.020764064506289</v>
      </c>
      <c r="F2704">
        <v>13.97821989178281</v>
      </c>
      <c r="G2704">
        <v>6.8589153162161178</v>
      </c>
      <c r="H2704">
        <v>14.64381633652029</v>
      </c>
      <c r="I2704">
        <v>34.412169471862157</v>
      </c>
      <c r="J2704">
        <v>30.894096422927539</v>
      </c>
      <c r="K2704">
        <v>48.029130620821888</v>
      </c>
      <c r="L2704">
        <v>-1</v>
      </c>
      <c r="M2704" t="s">
        <v>69</v>
      </c>
    </row>
    <row r="2705" spans="1:13" x14ac:dyDescent="0.3">
      <c r="A2705" t="s">
        <v>24</v>
      </c>
      <c r="B2705" t="s">
        <v>59</v>
      </c>
      <c r="C2705">
        <v>356.76916581060482</v>
      </c>
      <c r="D2705">
        <v>18.44400268426789</v>
      </c>
      <c r="E2705">
        <v>22.98659666217705</v>
      </c>
      <c r="F2705">
        <v>52.368195657178511</v>
      </c>
      <c r="G2705">
        <v>5.3426679352579942</v>
      </c>
      <c r="H2705">
        <v>71.863929472725886</v>
      </c>
      <c r="I2705">
        <v>30.308262828669889</v>
      </c>
      <c r="J2705">
        <v>30.886425547694401</v>
      </c>
      <c r="K2705">
        <v>11.057319275598051</v>
      </c>
      <c r="L2705">
        <v>-1</v>
      </c>
      <c r="M2705" t="s">
        <v>69</v>
      </c>
    </row>
    <row r="2706" spans="1:13" x14ac:dyDescent="0.3">
      <c r="A2706" t="s">
        <v>24</v>
      </c>
      <c r="B2706" t="s">
        <v>60</v>
      </c>
      <c r="C2706">
        <v>527.49071591608856</v>
      </c>
      <c r="D2706">
        <v>25.430251609822399</v>
      </c>
      <c r="E2706">
        <v>33.173461400753673</v>
      </c>
      <c r="F2706">
        <v>82.430869474835504</v>
      </c>
      <c r="G2706">
        <v>5.3895276563545664</v>
      </c>
      <c r="H2706">
        <v>61.941010533791427</v>
      </c>
      <c r="I2706">
        <v>30.68963108346739</v>
      </c>
      <c r="J2706">
        <v>32.209474314492176</v>
      </c>
      <c r="K2706">
        <v>11.298697532195771</v>
      </c>
      <c r="L2706">
        <v>-1</v>
      </c>
      <c r="M2706" t="s">
        <v>69</v>
      </c>
    </row>
    <row r="2707" spans="1:13" x14ac:dyDescent="0.3">
      <c r="A2707" t="s">
        <v>24</v>
      </c>
      <c r="B2707" t="s">
        <v>61</v>
      </c>
      <c r="C2707">
        <v>130.43317639151809</v>
      </c>
      <c r="D2707">
        <v>5.134268068630778</v>
      </c>
      <c r="E2707">
        <v>6.6783570363916107</v>
      </c>
      <c r="F2707">
        <v>19.806582359475261</v>
      </c>
      <c r="G2707">
        <v>6.3910786477374923</v>
      </c>
      <c r="H2707">
        <v>18.84256018537479</v>
      </c>
      <c r="I2707">
        <v>30.599729380433271</v>
      </c>
      <c r="J2707">
        <v>30.281946955793259</v>
      </c>
      <c r="K2707">
        <v>48.413976513668104</v>
      </c>
      <c r="L2707">
        <v>-1</v>
      </c>
      <c r="M2707" t="s">
        <v>69</v>
      </c>
    </row>
    <row r="2708" spans="1:13" x14ac:dyDescent="0.3">
      <c r="A2708" t="s">
        <v>24</v>
      </c>
      <c r="B2708" t="s">
        <v>60</v>
      </c>
      <c r="C2708">
        <v>493.5116110767259</v>
      </c>
      <c r="D2708">
        <v>24.738129091465481</v>
      </c>
      <c r="E2708">
        <v>38.351584375633351</v>
      </c>
      <c r="F2708">
        <v>78.824129845184856</v>
      </c>
      <c r="G2708">
        <v>5.473088085815875</v>
      </c>
      <c r="H2708">
        <v>66.94304709281279</v>
      </c>
      <c r="I2708">
        <v>31.638150261587128</v>
      </c>
      <c r="J2708">
        <v>29.100954086814131</v>
      </c>
      <c r="K2708">
        <v>11.051568251381241</v>
      </c>
      <c r="L2708">
        <v>-1</v>
      </c>
      <c r="M2708" t="s">
        <v>69</v>
      </c>
    </row>
    <row r="2709" spans="1:13" x14ac:dyDescent="0.3">
      <c r="A2709" t="s">
        <v>24</v>
      </c>
      <c r="B2709" t="s">
        <v>61</v>
      </c>
      <c r="C2709">
        <v>76.045429607290529</v>
      </c>
      <c r="D2709">
        <v>4.1946155049897813</v>
      </c>
      <c r="E2709">
        <v>4.9232492527084162</v>
      </c>
      <c r="F2709">
        <v>12.30159874529121</v>
      </c>
      <c r="G2709">
        <v>6.1283413151453647</v>
      </c>
      <c r="H2709">
        <v>14.786859170347849</v>
      </c>
      <c r="I2709">
        <v>34.205927962078718</v>
      </c>
      <c r="J2709">
        <v>31.30852330404635</v>
      </c>
      <c r="K2709">
        <v>46.594671058521733</v>
      </c>
      <c r="L2709">
        <v>-1</v>
      </c>
      <c r="M2709" t="s">
        <v>69</v>
      </c>
    </row>
    <row r="2710" spans="1:13" x14ac:dyDescent="0.3">
      <c r="A2710" t="s">
        <v>24</v>
      </c>
      <c r="B2710" t="s">
        <v>61</v>
      </c>
      <c r="C2710">
        <v>678.32278145881583</v>
      </c>
      <c r="D2710">
        <v>37.064017520455003</v>
      </c>
      <c r="E2710">
        <v>50.256691570481458</v>
      </c>
      <c r="F2710">
        <v>118.6805064453762</v>
      </c>
      <c r="G2710">
        <v>5.890575079869631</v>
      </c>
      <c r="H2710">
        <v>71.767908548618692</v>
      </c>
      <c r="I2710">
        <v>29.078253582714119</v>
      </c>
      <c r="J2710">
        <v>30.893465798846758</v>
      </c>
      <c r="K2710">
        <v>11.069393474039771</v>
      </c>
      <c r="L2710">
        <v>-1</v>
      </c>
      <c r="M2710" t="s">
        <v>69</v>
      </c>
    </row>
    <row r="2711" spans="1:13" x14ac:dyDescent="0.3">
      <c r="A2711" t="s">
        <v>24</v>
      </c>
      <c r="B2711" t="s">
        <v>61</v>
      </c>
      <c r="C2711">
        <v>326.18286762838932</v>
      </c>
      <c r="D2711">
        <v>17.571378534689231</v>
      </c>
      <c r="E2711">
        <v>25.01902604569938</v>
      </c>
      <c r="F2711">
        <v>47.282552218039818</v>
      </c>
      <c r="G2711">
        <v>4.3055470902114932</v>
      </c>
      <c r="H2711">
        <v>59.732691186597577</v>
      </c>
      <c r="I2711">
        <v>29.631212537865299</v>
      </c>
      <c r="J2711">
        <v>31.694849772400829</v>
      </c>
      <c r="K2711">
        <v>14.037182636215681</v>
      </c>
      <c r="L2711">
        <v>-1</v>
      </c>
      <c r="M2711" t="s">
        <v>69</v>
      </c>
    </row>
    <row r="2712" spans="1:13" x14ac:dyDescent="0.3">
      <c r="A2712" t="s">
        <v>24</v>
      </c>
      <c r="B2712" t="s">
        <v>61</v>
      </c>
      <c r="C2712">
        <v>126.7205195051195</v>
      </c>
      <c r="D2712">
        <v>5.6948638437359156</v>
      </c>
      <c r="E2712">
        <v>8.4211588983633305</v>
      </c>
      <c r="F2712">
        <v>20.193822246931141</v>
      </c>
      <c r="G2712">
        <v>6.2775153451759023</v>
      </c>
      <c r="H2712">
        <v>20.396770933293158</v>
      </c>
      <c r="I2712">
        <v>30.30425116389651</v>
      </c>
      <c r="J2712">
        <v>30.94587843146083</v>
      </c>
      <c r="K2712">
        <v>48.173966408614213</v>
      </c>
      <c r="L2712">
        <v>-1</v>
      </c>
      <c r="M2712" t="s">
        <v>69</v>
      </c>
    </row>
    <row r="2713" spans="1:13" x14ac:dyDescent="0.3">
      <c r="A2713" t="s">
        <v>25</v>
      </c>
      <c r="B2713" t="s">
        <v>62</v>
      </c>
      <c r="C2713">
        <v>87.115921364353383</v>
      </c>
      <c r="D2713">
        <v>4.4346207060449752</v>
      </c>
      <c r="E2713">
        <v>5.633287943157848</v>
      </c>
      <c r="F2713">
        <v>11.602623147768179</v>
      </c>
      <c r="G2713">
        <v>6.8087948117067612</v>
      </c>
      <c r="H2713">
        <v>13.981392126556679</v>
      </c>
      <c r="I2713">
        <v>30.018727356081879</v>
      </c>
      <c r="J2713">
        <v>32.275176275508848</v>
      </c>
      <c r="K2713">
        <v>47.313994711243588</v>
      </c>
      <c r="L2713">
        <v>-1</v>
      </c>
      <c r="M2713" t="s">
        <v>69</v>
      </c>
    </row>
    <row r="2714" spans="1:13" x14ac:dyDescent="0.3">
      <c r="A2714" t="s">
        <v>24</v>
      </c>
      <c r="B2714" t="s">
        <v>61</v>
      </c>
      <c r="C2714">
        <v>81.587533310686226</v>
      </c>
      <c r="D2714">
        <v>4.314600588345769</v>
      </c>
      <c r="E2714">
        <v>5.192402849995557</v>
      </c>
      <c r="F2714">
        <v>10.62343251410466</v>
      </c>
      <c r="G2714">
        <v>6.3347905329206471</v>
      </c>
      <c r="H2714">
        <v>14.875531071116409</v>
      </c>
      <c r="I2714">
        <v>34.934958354717843</v>
      </c>
      <c r="J2714">
        <v>30.834942899002211</v>
      </c>
      <c r="K2714">
        <v>47.635499798686169</v>
      </c>
      <c r="L2714">
        <v>-1</v>
      </c>
      <c r="M2714" t="s">
        <v>69</v>
      </c>
    </row>
    <row r="2715" spans="1:13" x14ac:dyDescent="0.3">
      <c r="A2715" t="s">
        <v>24</v>
      </c>
      <c r="B2715" t="s">
        <v>61</v>
      </c>
      <c r="C2715">
        <v>189.06902213414651</v>
      </c>
      <c r="D2715">
        <v>8.8806430300217478</v>
      </c>
      <c r="E2715">
        <v>11.15281122141428</v>
      </c>
      <c r="F2715">
        <v>32.168163957099878</v>
      </c>
      <c r="G2715">
        <v>6.3341298310143399</v>
      </c>
      <c r="H2715">
        <v>25.889406260742049</v>
      </c>
      <c r="I2715">
        <v>29.47736049162625</v>
      </c>
      <c r="J2715">
        <v>31.334652410455231</v>
      </c>
      <c r="K2715">
        <v>14.03203613988671</v>
      </c>
      <c r="L2715">
        <v>-1</v>
      </c>
      <c r="M2715" t="s">
        <v>69</v>
      </c>
    </row>
    <row r="2716" spans="1:13" x14ac:dyDescent="0.3">
      <c r="A2716" t="s">
        <v>25</v>
      </c>
      <c r="B2716" t="s">
        <v>62</v>
      </c>
      <c r="C2716">
        <v>96.72962118856789</v>
      </c>
      <c r="D2716">
        <v>3.775892164635851</v>
      </c>
      <c r="E2716">
        <v>5.4087146095717618</v>
      </c>
      <c r="F2716">
        <v>13.66746610899296</v>
      </c>
      <c r="G2716">
        <v>6.839412274278418</v>
      </c>
      <c r="H2716">
        <v>14.641519047762941</v>
      </c>
      <c r="I2716">
        <v>33.623549156223888</v>
      </c>
      <c r="J2716">
        <v>30.218106661721428</v>
      </c>
      <c r="K2716">
        <v>46.924963935925689</v>
      </c>
      <c r="L2716">
        <v>-1</v>
      </c>
      <c r="M2716" t="s">
        <v>69</v>
      </c>
    </row>
    <row r="2717" spans="1:13" x14ac:dyDescent="0.3">
      <c r="A2717" t="s">
        <v>24</v>
      </c>
      <c r="B2717" t="s">
        <v>61</v>
      </c>
      <c r="C2717">
        <v>190.80710750354899</v>
      </c>
      <c r="D2717">
        <v>8.5132234653739722</v>
      </c>
      <c r="E2717">
        <v>10.67154324458742</v>
      </c>
      <c r="F2717">
        <v>26.28473565805162</v>
      </c>
      <c r="G2717">
        <v>6.1762170458285226</v>
      </c>
      <c r="H2717">
        <v>25.49066598575617</v>
      </c>
      <c r="I2717">
        <v>30.86221345145476</v>
      </c>
      <c r="J2717">
        <v>31.676345767841841</v>
      </c>
      <c r="K2717">
        <v>14.17827974766351</v>
      </c>
      <c r="L2717">
        <v>-1</v>
      </c>
      <c r="M2717" t="s">
        <v>69</v>
      </c>
    </row>
    <row r="2718" spans="1:13" x14ac:dyDescent="0.3">
      <c r="A2718" t="s">
        <v>24</v>
      </c>
      <c r="B2718" t="s">
        <v>61</v>
      </c>
      <c r="C2718">
        <v>76.829718962777704</v>
      </c>
      <c r="D2718">
        <v>4.3809253580899021</v>
      </c>
      <c r="E2718">
        <v>5.5077854099053267</v>
      </c>
      <c r="F2718">
        <v>10.66092172555723</v>
      </c>
      <c r="G2718">
        <v>6.1614526531166813</v>
      </c>
      <c r="H2718">
        <v>14.29485421934546</v>
      </c>
      <c r="I2718">
        <v>34.005648737693527</v>
      </c>
      <c r="J2718">
        <v>30.475647615740598</v>
      </c>
      <c r="K2718">
        <v>49.116844295567262</v>
      </c>
      <c r="L2718">
        <v>-1</v>
      </c>
      <c r="M2718" t="s">
        <v>69</v>
      </c>
    </row>
    <row r="2719" spans="1:13" x14ac:dyDescent="0.3">
      <c r="A2719" t="s">
        <v>24</v>
      </c>
      <c r="B2719" t="s">
        <v>60</v>
      </c>
      <c r="C2719">
        <v>520.84634714664696</v>
      </c>
      <c r="D2719">
        <v>23.051372907625002</v>
      </c>
      <c r="E2719">
        <v>35.354589761019348</v>
      </c>
      <c r="F2719">
        <v>82.925404677965787</v>
      </c>
      <c r="G2719">
        <v>5.4416357402685858</v>
      </c>
      <c r="H2719">
        <v>62.114639945801457</v>
      </c>
      <c r="I2719">
        <v>30.090327195952479</v>
      </c>
      <c r="J2719">
        <v>31.547426855954839</v>
      </c>
      <c r="K2719">
        <v>11.202474037980661</v>
      </c>
      <c r="L2719">
        <v>-1</v>
      </c>
      <c r="M2719" t="s">
        <v>69</v>
      </c>
    </row>
    <row r="2720" spans="1:13" x14ac:dyDescent="0.3">
      <c r="A2720" t="s">
        <v>24</v>
      </c>
      <c r="B2720" t="s">
        <v>61</v>
      </c>
      <c r="C2720">
        <v>345.27958470220688</v>
      </c>
      <c r="D2720">
        <v>18.731167541958939</v>
      </c>
      <c r="E2720">
        <v>21.179713595228879</v>
      </c>
      <c r="F2720">
        <v>66.034640223158675</v>
      </c>
      <c r="G2720">
        <v>4.338392143981272</v>
      </c>
      <c r="H2720">
        <v>60.287797378325742</v>
      </c>
      <c r="I2720">
        <v>30.167003971821739</v>
      </c>
      <c r="J2720">
        <v>32.674546074278616</v>
      </c>
      <c r="K2720">
        <v>14.23681512198073</v>
      </c>
      <c r="L2720">
        <v>-1</v>
      </c>
      <c r="M2720" t="s">
        <v>69</v>
      </c>
    </row>
    <row r="2721" spans="1:13" x14ac:dyDescent="0.3">
      <c r="A2721" t="s">
        <v>24</v>
      </c>
      <c r="B2721" t="s">
        <v>59</v>
      </c>
      <c r="C2721">
        <v>350.56365196623148</v>
      </c>
      <c r="D2721">
        <v>16.976901220983091</v>
      </c>
      <c r="E2721">
        <v>23.603987835925111</v>
      </c>
      <c r="F2721">
        <v>52.506082515158631</v>
      </c>
      <c r="G2721">
        <v>5.2711909214589401</v>
      </c>
      <c r="H2721">
        <v>74.413937243950073</v>
      </c>
      <c r="I2721">
        <v>29.819039834575431</v>
      </c>
      <c r="J2721">
        <v>30.810214078067471</v>
      </c>
      <c r="K2721">
        <v>11.2504650546789</v>
      </c>
      <c r="L2721">
        <v>-1</v>
      </c>
      <c r="M2721" t="s">
        <v>69</v>
      </c>
    </row>
    <row r="2722" spans="1:13" x14ac:dyDescent="0.3">
      <c r="A2722" t="s">
        <v>25</v>
      </c>
      <c r="B2722" t="s">
        <v>62</v>
      </c>
      <c r="C2722">
        <v>90.827146036010632</v>
      </c>
      <c r="D2722">
        <v>3.5528652974675059</v>
      </c>
      <c r="E2722">
        <v>5.4587766392806607</v>
      </c>
      <c r="F2722">
        <v>15.50952670577129</v>
      </c>
      <c r="G2722">
        <v>6.9826982563865618</v>
      </c>
      <c r="H2722">
        <v>15.299127423406659</v>
      </c>
      <c r="I2722">
        <v>33.537810790434619</v>
      </c>
      <c r="J2722">
        <v>31.160280545699869</v>
      </c>
      <c r="K2722">
        <v>48.445592114958572</v>
      </c>
      <c r="L2722">
        <v>-1</v>
      </c>
      <c r="M2722" t="s">
        <v>69</v>
      </c>
    </row>
    <row r="2723" spans="1:13" x14ac:dyDescent="0.3">
      <c r="A2723" t="s">
        <v>24</v>
      </c>
      <c r="B2723" t="s">
        <v>60</v>
      </c>
      <c r="C2723">
        <v>582.85196092645572</v>
      </c>
      <c r="D2723">
        <v>28.913584486720019</v>
      </c>
      <c r="E2723">
        <v>43.462999874501008</v>
      </c>
      <c r="F2723">
        <v>89.475960504525659</v>
      </c>
      <c r="G2723">
        <v>6.0919044659813109</v>
      </c>
      <c r="H2723">
        <v>79.023952966053145</v>
      </c>
      <c r="I2723">
        <v>30.810283426458529</v>
      </c>
      <c r="J2723">
        <v>30.318421769142791</v>
      </c>
      <c r="K2723">
        <v>11.09846767795057</v>
      </c>
      <c r="L2723">
        <v>-1</v>
      </c>
      <c r="M2723" t="s">
        <v>69</v>
      </c>
    </row>
    <row r="2724" spans="1:13" x14ac:dyDescent="0.3">
      <c r="A2724" t="s">
        <v>25</v>
      </c>
      <c r="B2724" t="s">
        <v>62</v>
      </c>
      <c r="C2724">
        <v>91.472287682741111</v>
      </c>
      <c r="D2724">
        <v>4.0273765620526962</v>
      </c>
      <c r="E2724">
        <v>6.1697447685268418</v>
      </c>
      <c r="F2724">
        <v>12.9058947793778</v>
      </c>
      <c r="G2724">
        <v>6.8878162926407276</v>
      </c>
      <c r="H2724">
        <v>14.287456457842801</v>
      </c>
      <c r="I2724">
        <v>33.604288923767093</v>
      </c>
      <c r="J2724">
        <v>30.661675193803539</v>
      </c>
      <c r="K2724">
        <v>47.591906714613287</v>
      </c>
      <c r="L2724">
        <v>-1</v>
      </c>
      <c r="M2724" t="s">
        <v>69</v>
      </c>
    </row>
    <row r="2725" spans="1:13" x14ac:dyDescent="0.3">
      <c r="A2725" t="s">
        <v>24</v>
      </c>
      <c r="B2725" t="s">
        <v>61</v>
      </c>
      <c r="C2725">
        <v>333.3757163911817</v>
      </c>
      <c r="D2725">
        <v>17.94075884944586</v>
      </c>
      <c r="E2725">
        <v>21.883197632325899</v>
      </c>
      <c r="F2725">
        <v>50.238194529271993</v>
      </c>
      <c r="G2725">
        <v>4.3066461963652127</v>
      </c>
      <c r="H2725">
        <v>56.053685336280523</v>
      </c>
      <c r="I2725">
        <v>30.00769999673836</v>
      </c>
      <c r="J2725">
        <v>31.45273535436786</v>
      </c>
      <c r="K2725">
        <v>13.88927028230432</v>
      </c>
      <c r="L2725">
        <v>-1</v>
      </c>
      <c r="M2725" t="s">
        <v>69</v>
      </c>
    </row>
    <row r="2726" spans="1:13" x14ac:dyDescent="0.3">
      <c r="A2726" t="s">
        <v>19</v>
      </c>
      <c r="B2726" t="s">
        <v>47</v>
      </c>
      <c r="C2726">
        <v>31.666576687213041</v>
      </c>
      <c r="D2726">
        <v>0.89787125428290837</v>
      </c>
      <c r="E2726">
        <v>1.937825496885544</v>
      </c>
      <c r="F2726">
        <v>3.9384584567114591</v>
      </c>
      <c r="G2726">
        <v>5.9245932459143811</v>
      </c>
      <c r="H2726">
        <v>20.736318523544998</v>
      </c>
      <c r="I2726">
        <v>29.30499685072752</v>
      </c>
      <c r="J2726">
        <v>26.007680306031499</v>
      </c>
      <c r="K2726">
        <v>726.58692255002723</v>
      </c>
      <c r="L2726">
        <v>-1</v>
      </c>
      <c r="M2726" t="s">
        <v>69</v>
      </c>
    </row>
    <row r="2727" spans="1:13" x14ac:dyDescent="0.3">
      <c r="A2727" t="s">
        <v>24</v>
      </c>
      <c r="B2727" t="s">
        <v>61</v>
      </c>
      <c r="C2727">
        <v>75.36456183500448</v>
      </c>
      <c r="D2727">
        <v>4.221359988331808</v>
      </c>
      <c r="E2727">
        <v>4.9127019991248142</v>
      </c>
      <c r="F2727">
        <v>12.343045096751441</v>
      </c>
      <c r="G2727">
        <v>6.1184938237879472</v>
      </c>
      <c r="H2727">
        <v>14.798795545276411</v>
      </c>
      <c r="I2727">
        <v>34.138031514729157</v>
      </c>
      <c r="J2727">
        <v>31.350921243337609</v>
      </c>
      <c r="K2727">
        <v>46.401547717874109</v>
      </c>
      <c r="L2727">
        <v>-1</v>
      </c>
      <c r="M2727" t="s">
        <v>69</v>
      </c>
    </row>
    <row r="2728" spans="1:13" x14ac:dyDescent="0.3">
      <c r="A2728" t="s">
        <v>24</v>
      </c>
      <c r="B2728" t="s">
        <v>59</v>
      </c>
      <c r="C2728">
        <v>344.21933293911019</v>
      </c>
      <c r="D2728">
        <v>16.456595918299989</v>
      </c>
      <c r="E2728">
        <v>24.35998501605674</v>
      </c>
      <c r="F2728">
        <v>54.553156047581083</v>
      </c>
      <c r="G2728">
        <v>5.2429213124302514</v>
      </c>
      <c r="H2728">
        <v>73.956008597914519</v>
      </c>
      <c r="I2728">
        <v>29.527289584673699</v>
      </c>
      <c r="J2728">
        <v>30.82000991143202</v>
      </c>
      <c r="K2728">
        <v>11.371418823305479</v>
      </c>
      <c r="L2728">
        <v>-1</v>
      </c>
      <c r="M2728" t="s">
        <v>69</v>
      </c>
    </row>
    <row r="2729" spans="1:13" x14ac:dyDescent="0.3">
      <c r="A2729" t="s">
        <v>24</v>
      </c>
      <c r="B2729" t="s">
        <v>61</v>
      </c>
      <c r="C2729">
        <v>129.28680452680791</v>
      </c>
      <c r="D2729">
        <v>6.5462824478878394</v>
      </c>
      <c r="E2729">
        <v>8.4838392703157535</v>
      </c>
      <c r="F2729">
        <v>17.9443844705985</v>
      </c>
      <c r="G2729">
        <v>6.4514294870028719</v>
      </c>
      <c r="H2729">
        <v>20.548312127415489</v>
      </c>
      <c r="I2729">
        <v>30.72125541842269</v>
      </c>
      <c r="J2729">
        <v>30.83954758700078</v>
      </c>
      <c r="K2729">
        <v>48.495044596150592</v>
      </c>
      <c r="L2729">
        <v>-1</v>
      </c>
      <c r="M2729" t="s">
        <v>69</v>
      </c>
    </row>
    <row r="2730" spans="1:13" x14ac:dyDescent="0.3">
      <c r="A2730" t="s">
        <v>24</v>
      </c>
      <c r="B2730" t="s">
        <v>61</v>
      </c>
      <c r="C2730">
        <v>294.37795644487568</v>
      </c>
      <c r="D2730">
        <v>15.419100643035049</v>
      </c>
      <c r="E2730">
        <v>18.127045021824241</v>
      </c>
      <c r="F2730">
        <v>51.001746092321447</v>
      </c>
      <c r="G2730">
        <v>4.4889751601601544</v>
      </c>
      <c r="H2730">
        <v>60.095319541686642</v>
      </c>
      <c r="I2730">
        <v>30.03787924032223</v>
      </c>
      <c r="J2730">
        <v>28.825726425988311</v>
      </c>
      <c r="K2730">
        <v>14.62913312084925</v>
      </c>
      <c r="L2730">
        <v>-1</v>
      </c>
      <c r="M2730" t="s">
        <v>69</v>
      </c>
    </row>
    <row r="2731" spans="1:13" x14ac:dyDescent="0.3">
      <c r="A2731" t="s">
        <v>24</v>
      </c>
      <c r="B2731" t="s">
        <v>61</v>
      </c>
      <c r="C2731">
        <v>297.78213402247138</v>
      </c>
      <c r="D2731">
        <v>15.656925285691649</v>
      </c>
      <c r="E2731">
        <v>24.61562848585093</v>
      </c>
      <c r="F2731">
        <v>45.321023186955088</v>
      </c>
      <c r="G2731">
        <v>5.1894830420482387</v>
      </c>
      <c r="H2731">
        <v>84.09876147871455</v>
      </c>
      <c r="I2731">
        <v>30.841893564634709</v>
      </c>
      <c r="J2731">
        <v>30.158549851663029</v>
      </c>
      <c r="K2731">
        <v>11</v>
      </c>
      <c r="L2731">
        <v>-1</v>
      </c>
      <c r="M2731" t="s">
        <v>69</v>
      </c>
    </row>
    <row r="2732" spans="1:13" x14ac:dyDescent="0.3">
      <c r="A2732" t="s">
        <v>24</v>
      </c>
      <c r="B2732" t="s">
        <v>61</v>
      </c>
      <c r="C2732">
        <v>178.86884082704961</v>
      </c>
      <c r="D2732">
        <v>8.2257399588505198</v>
      </c>
      <c r="E2732">
        <v>13.10382555623398</v>
      </c>
      <c r="F2732">
        <v>30.75447132816479</v>
      </c>
      <c r="G2732">
        <v>6.0945445652148766</v>
      </c>
      <c r="H2732">
        <v>24.328085454734271</v>
      </c>
      <c r="I2732">
        <v>29.370232980564911</v>
      </c>
      <c r="J2732">
        <v>30.967134356995849</v>
      </c>
      <c r="K2732">
        <v>14.04464906695353</v>
      </c>
      <c r="L2732">
        <v>-1</v>
      </c>
      <c r="M2732" t="s">
        <v>69</v>
      </c>
    </row>
    <row r="2733" spans="1:13" x14ac:dyDescent="0.3">
      <c r="A2733" t="s">
        <v>24</v>
      </c>
      <c r="B2733" t="s">
        <v>58</v>
      </c>
      <c r="C2733">
        <v>29.907962294387939</v>
      </c>
      <c r="D2733">
        <v>1.0042900040894669</v>
      </c>
      <c r="E2733">
        <v>1.955458685246154</v>
      </c>
      <c r="F2733">
        <v>4.4073398467060976</v>
      </c>
      <c r="G2733">
        <v>6.1455328832437131</v>
      </c>
      <c r="H2733">
        <v>22.36312704433902</v>
      </c>
      <c r="I2733">
        <v>29.797342162906741</v>
      </c>
      <c r="J2733">
        <v>25.870294880497429</v>
      </c>
      <c r="K2733">
        <v>751.56049288332019</v>
      </c>
      <c r="L2733">
        <v>-1</v>
      </c>
      <c r="M2733" t="s">
        <v>69</v>
      </c>
    </row>
    <row r="2734" spans="1:13" x14ac:dyDescent="0.3">
      <c r="A2734" t="s">
        <v>19</v>
      </c>
      <c r="B2734" t="s">
        <v>47</v>
      </c>
      <c r="C2734">
        <v>31.02471181432287</v>
      </c>
      <c r="D2734">
        <v>0.99727574135172947</v>
      </c>
      <c r="E2734">
        <v>2.0070468624227962</v>
      </c>
      <c r="F2734">
        <v>3.954431771019383</v>
      </c>
      <c r="G2734">
        <v>5.898935705851585</v>
      </c>
      <c r="H2734">
        <v>21.320318539641171</v>
      </c>
      <c r="I2734">
        <v>29.92984308472602</v>
      </c>
      <c r="J2734">
        <v>25.97375092031622</v>
      </c>
      <c r="K2734">
        <v>727.86826584591404</v>
      </c>
      <c r="L2734">
        <v>-1</v>
      </c>
      <c r="M2734" t="s">
        <v>69</v>
      </c>
    </row>
    <row r="2735" spans="1:13" x14ac:dyDescent="0.3">
      <c r="A2735" t="s">
        <v>24</v>
      </c>
      <c r="B2735" t="s">
        <v>60</v>
      </c>
      <c r="C2735">
        <v>581.0529057974569</v>
      </c>
      <c r="D2735">
        <v>29.421186289800769</v>
      </c>
      <c r="E2735">
        <v>40.550660838332178</v>
      </c>
      <c r="F2735">
        <v>92.903768853376476</v>
      </c>
      <c r="G2735">
        <v>6.225333660394579</v>
      </c>
      <c r="H2735">
        <v>79.940386088279297</v>
      </c>
      <c r="I2735">
        <v>31.201116783089969</v>
      </c>
      <c r="J2735">
        <v>31.068227922568319</v>
      </c>
      <c r="K2735">
        <v>11</v>
      </c>
      <c r="L2735">
        <v>-1</v>
      </c>
      <c r="M2735" t="s">
        <v>69</v>
      </c>
    </row>
    <row r="2736" spans="1:13" x14ac:dyDescent="0.3">
      <c r="A2736" t="s">
        <v>24</v>
      </c>
      <c r="B2736" t="s">
        <v>61</v>
      </c>
      <c r="C2736">
        <v>656.56212031580355</v>
      </c>
      <c r="D2736">
        <v>40.147929164655423</v>
      </c>
      <c r="E2736">
        <v>52.080156997905952</v>
      </c>
      <c r="F2736">
        <v>120.36134511193021</v>
      </c>
      <c r="G2736">
        <v>5.9084557870032146</v>
      </c>
      <c r="H2736">
        <v>71.908827364988312</v>
      </c>
      <c r="I2736">
        <v>29.698049957425191</v>
      </c>
      <c r="J2736">
        <v>31.22181610550636</v>
      </c>
      <c r="K2736">
        <v>11.00652217575862</v>
      </c>
      <c r="L2736">
        <v>-1</v>
      </c>
      <c r="M2736" t="s">
        <v>69</v>
      </c>
    </row>
    <row r="2737" spans="1:13" x14ac:dyDescent="0.3">
      <c r="A2737" t="s">
        <v>24</v>
      </c>
      <c r="B2737" t="s">
        <v>60</v>
      </c>
      <c r="C2737">
        <v>511.57587636474369</v>
      </c>
      <c r="D2737">
        <v>25.899776257703781</v>
      </c>
      <c r="E2737">
        <v>31.738307194322559</v>
      </c>
      <c r="F2737">
        <v>79.647286458159272</v>
      </c>
      <c r="G2737">
        <v>5.4373343650566017</v>
      </c>
      <c r="H2737">
        <v>62.837966367292367</v>
      </c>
      <c r="I2737">
        <v>31.33722437627743</v>
      </c>
      <c r="J2737">
        <v>32.359819075336887</v>
      </c>
      <c r="K2737">
        <v>11.375405401131269</v>
      </c>
      <c r="L2737">
        <v>-1</v>
      </c>
      <c r="M2737" t="s">
        <v>69</v>
      </c>
    </row>
    <row r="2738" spans="1:13" x14ac:dyDescent="0.3">
      <c r="A2738" t="s">
        <v>24</v>
      </c>
      <c r="B2738" t="s">
        <v>58</v>
      </c>
      <c r="C2738">
        <v>30.726789645209319</v>
      </c>
      <c r="D2738">
        <v>0.92067163790028861</v>
      </c>
      <c r="E2738">
        <v>1.989981874927317</v>
      </c>
      <c r="F2738">
        <v>4.0917961564429586</v>
      </c>
      <c r="G2738">
        <v>6.0325488665666356</v>
      </c>
      <c r="H2738">
        <v>22.478658977001761</v>
      </c>
      <c r="I2738">
        <v>30.028568647329401</v>
      </c>
      <c r="J2738">
        <v>25.737403943509332</v>
      </c>
      <c r="K2738">
        <v>753.38719536401209</v>
      </c>
      <c r="L2738">
        <v>-1</v>
      </c>
      <c r="M2738" t="s">
        <v>69</v>
      </c>
    </row>
    <row r="2739" spans="1:13" x14ac:dyDescent="0.3">
      <c r="A2739" t="s">
        <v>24</v>
      </c>
      <c r="B2739" t="s">
        <v>61</v>
      </c>
      <c r="C2739">
        <v>123.7147683697242</v>
      </c>
      <c r="D2739">
        <v>5.6687767701468346</v>
      </c>
      <c r="E2739">
        <v>8.1211582338947501</v>
      </c>
      <c r="F2739">
        <v>21.55725921482583</v>
      </c>
      <c r="G2739">
        <v>6.1254765839405403</v>
      </c>
      <c r="H2739">
        <v>21.218087674238689</v>
      </c>
      <c r="I2739">
        <v>30.922313874071769</v>
      </c>
      <c r="J2739">
        <v>30.979231221526121</v>
      </c>
      <c r="K2739">
        <v>48.060576270423333</v>
      </c>
      <c r="L2739">
        <v>-1</v>
      </c>
      <c r="M2739" t="s">
        <v>69</v>
      </c>
    </row>
    <row r="2740" spans="1:13" x14ac:dyDescent="0.3">
      <c r="A2740" t="s">
        <v>24</v>
      </c>
      <c r="B2740" t="s">
        <v>59</v>
      </c>
      <c r="C2740">
        <v>351.96327029719049</v>
      </c>
      <c r="D2740">
        <v>19.197873513462429</v>
      </c>
      <c r="E2740">
        <v>22.86955059077188</v>
      </c>
      <c r="F2740">
        <v>56.598132763536562</v>
      </c>
      <c r="G2740">
        <v>5.2442529412501742</v>
      </c>
      <c r="H2740">
        <v>74.697698305374843</v>
      </c>
      <c r="I2740">
        <v>29.481440121327051</v>
      </c>
      <c r="J2740">
        <v>31.38116781648904</v>
      </c>
      <c r="K2740">
        <v>11.16737870457837</v>
      </c>
      <c r="L2740">
        <v>-1</v>
      </c>
      <c r="M2740" t="s">
        <v>69</v>
      </c>
    </row>
    <row r="2741" spans="1:13" x14ac:dyDescent="0.3">
      <c r="A2741" t="s">
        <v>24</v>
      </c>
      <c r="B2741" t="s">
        <v>61</v>
      </c>
      <c r="C2741">
        <v>80.705701602682922</v>
      </c>
      <c r="D2741">
        <v>4.2976897311734703</v>
      </c>
      <c r="E2741">
        <v>4.9448560138203899</v>
      </c>
      <c r="F2741">
        <v>12.340033666371779</v>
      </c>
      <c r="G2741">
        <v>6.0003282592818064</v>
      </c>
      <c r="H2741">
        <v>15.69277759743091</v>
      </c>
      <c r="I2741">
        <v>33.109663294150401</v>
      </c>
      <c r="J2741">
        <v>29.687360246754491</v>
      </c>
      <c r="K2741">
        <v>47.991410396131869</v>
      </c>
      <c r="L2741">
        <v>-1</v>
      </c>
      <c r="M2741" t="s">
        <v>69</v>
      </c>
    </row>
    <row r="2742" spans="1:13" x14ac:dyDescent="0.3">
      <c r="A2742" t="s">
        <v>24</v>
      </c>
      <c r="B2742" t="s">
        <v>60</v>
      </c>
      <c r="C2742">
        <v>590.46907887703856</v>
      </c>
      <c r="D2742">
        <v>27.521725727323108</v>
      </c>
      <c r="E2742">
        <v>34.555165818621447</v>
      </c>
      <c r="F2742">
        <v>99.69711427106833</v>
      </c>
      <c r="G2742">
        <v>6.0416733000884983</v>
      </c>
      <c r="H2742">
        <v>77.43748505270699</v>
      </c>
      <c r="I2742">
        <v>29.626166908436829</v>
      </c>
      <c r="J2742">
        <v>30.498816072012449</v>
      </c>
      <c r="K2742">
        <v>11.35307628454575</v>
      </c>
      <c r="L2742">
        <v>-1</v>
      </c>
      <c r="M2742" t="s">
        <v>69</v>
      </c>
    </row>
    <row r="2743" spans="1:13" x14ac:dyDescent="0.3">
      <c r="A2743" t="s">
        <v>24</v>
      </c>
      <c r="B2743" t="s">
        <v>61</v>
      </c>
      <c r="C2743">
        <v>82.118854645882493</v>
      </c>
      <c r="D2743">
        <v>4.0490622957247897</v>
      </c>
      <c r="E2743">
        <v>4.2752459186037957</v>
      </c>
      <c r="F2743">
        <v>12.613282497860419</v>
      </c>
      <c r="G2743">
        <v>6.1894625224423176</v>
      </c>
      <c r="H2743">
        <v>15.72605283061421</v>
      </c>
      <c r="I2743">
        <v>33.34659597984863</v>
      </c>
      <c r="J2743">
        <v>31.242309543908121</v>
      </c>
      <c r="K2743">
        <v>48.735658927718987</v>
      </c>
      <c r="L2743">
        <v>-1</v>
      </c>
      <c r="M2743" t="s">
        <v>69</v>
      </c>
    </row>
    <row r="2744" spans="1:13" x14ac:dyDescent="0.3">
      <c r="A2744" t="s">
        <v>24</v>
      </c>
      <c r="B2744" t="s">
        <v>61</v>
      </c>
      <c r="C2744">
        <v>75.488229266394342</v>
      </c>
      <c r="D2744">
        <v>4.2173597692187776</v>
      </c>
      <c r="E2744">
        <v>4.924879960470947</v>
      </c>
      <c r="F2744">
        <v>12.28924047804143</v>
      </c>
      <c r="G2744">
        <v>6.1191010062748266</v>
      </c>
      <c r="H2744">
        <v>14.816503400173961</v>
      </c>
      <c r="I2744">
        <v>34.152553009770607</v>
      </c>
      <c r="J2744">
        <v>31.331192477269131</v>
      </c>
      <c r="K2744">
        <v>46.417163426946217</v>
      </c>
      <c r="L2744">
        <v>-1</v>
      </c>
      <c r="M2744" t="s">
        <v>69</v>
      </c>
    </row>
    <row r="2745" spans="1:13" x14ac:dyDescent="0.3">
      <c r="A2745" t="s">
        <v>24</v>
      </c>
      <c r="B2745" t="s">
        <v>61</v>
      </c>
      <c r="C2745">
        <v>77.796136607983627</v>
      </c>
      <c r="D2745">
        <v>4.1384695694183868</v>
      </c>
      <c r="E2745">
        <v>5.1014337162230738</v>
      </c>
      <c r="F2745">
        <v>11.513817106019649</v>
      </c>
      <c r="G2745">
        <v>6.1362707958248759</v>
      </c>
      <c r="H2745">
        <v>15.04874853454651</v>
      </c>
      <c r="I2745">
        <v>34.412736992593899</v>
      </c>
      <c r="J2745">
        <v>31.022449751368729</v>
      </c>
      <c r="K2745">
        <v>46.804762696633126</v>
      </c>
      <c r="L2745">
        <v>-1</v>
      </c>
      <c r="M2745" t="s">
        <v>69</v>
      </c>
    </row>
    <row r="2746" spans="1:13" x14ac:dyDescent="0.3">
      <c r="A2746" t="s">
        <v>25</v>
      </c>
      <c r="B2746" t="s">
        <v>62</v>
      </c>
      <c r="C2746">
        <v>91.67304744394275</v>
      </c>
      <c r="D2746">
        <v>3.4131593681476429</v>
      </c>
      <c r="E2746">
        <v>5.5561490848498014</v>
      </c>
      <c r="F2746">
        <v>17.193016762053791</v>
      </c>
      <c r="G2746">
        <v>6.8834303438722486</v>
      </c>
      <c r="H2746">
        <v>13.9</v>
      </c>
      <c r="I2746">
        <v>30.67281816561475</v>
      </c>
      <c r="J2746">
        <v>31.904065918738802</v>
      </c>
      <c r="K2746">
        <v>46.392816528528563</v>
      </c>
      <c r="L2746">
        <v>-1</v>
      </c>
      <c r="M2746" t="s">
        <v>69</v>
      </c>
    </row>
    <row r="2747" spans="1:13" x14ac:dyDescent="0.3">
      <c r="A2747" t="s">
        <v>24</v>
      </c>
      <c r="B2747" t="s">
        <v>58</v>
      </c>
      <c r="C2747">
        <v>31.5750995993203</v>
      </c>
      <c r="D2747">
        <v>0.91954079955278178</v>
      </c>
      <c r="E2747">
        <v>2.1002068739833608</v>
      </c>
      <c r="F2747">
        <v>4.0781084871365092</v>
      </c>
      <c r="G2747">
        <v>5.9953726288727758</v>
      </c>
      <c r="H2747">
        <v>22.132611026582001</v>
      </c>
      <c r="I2747">
        <v>30.322839462888759</v>
      </c>
      <c r="J2747">
        <v>25.790439779934179</v>
      </c>
      <c r="K2747">
        <v>756.30418389383078</v>
      </c>
      <c r="L2747">
        <v>-1</v>
      </c>
      <c r="M2747" t="s">
        <v>69</v>
      </c>
    </row>
    <row r="2748" spans="1:13" x14ac:dyDescent="0.3">
      <c r="A2748" t="s">
        <v>24</v>
      </c>
      <c r="B2748" t="s">
        <v>61</v>
      </c>
      <c r="C2748">
        <v>347.08586439267879</v>
      </c>
      <c r="D2748">
        <v>16.711561279732109</v>
      </c>
      <c r="E2748">
        <v>22.373394829731211</v>
      </c>
      <c r="F2748">
        <v>54.591196059273621</v>
      </c>
      <c r="G2748">
        <v>4.5930383105479402</v>
      </c>
      <c r="H2748">
        <v>55.835437574927909</v>
      </c>
      <c r="I2748">
        <v>30.124771311383981</v>
      </c>
      <c r="J2748">
        <v>30.674591363816582</v>
      </c>
      <c r="K2748">
        <v>14.31513354477033</v>
      </c>
      <c r="L2748">
        <v>-1</v>
      </c>
      <c r="M2748" t="s">
        <v>69</v>
      </c>
    </row>
    <row r="2749" spans="1:13" x14ac:dyDescent="0.3">
      <c r="A2749" t="s">
        <v>24</v>
      </c>
      <c r="B2749" t="s">
        <v>61</v>
      </c>
      <c r="C2749">
        <v>83.204608912664554</v>
      </c>
      <c r="D2749">
        <v>3.6439350644860951</v>
      </c>
      <c r="E2749">
        <v>6.0188380477501822</v>
      </c>
      <c r="F2749">
        <v>15.591576649490939</v>
      </c>
      <c r="G2749">
        <v>6.6853934868797289</v>
      </c>
      <c r="H2749">
        <v>14.146727042667001</v>
      </c>
      <c r="I2749">
        <v>31.882252560780241</v>
      </c>
      <c r="J2749">
        <v>30.839850024297121</v>
      </c>
      <c r="K2749">
        <v>47.741360695418962</v>
      </c>
      <c r="L2749">
        <v>-1</v>
      </c>
      <c r="M2749" t="s">
        <v>69</v>
      </c>
    </row>
    <row r="2750" spans="1:13" x14ac:dyDescent="0.3">
      <c r="A2750" t="s">
        <v>19</v>
      </c>
      <c r="B2750" t="s">
        <v>46</v>
      </c>
      <c r="C2750">
        <v>46.521880967389677</v>
      </c>
      <c r="D2750">
        <v>1.956743191195238</v>
      </c>
      <c r="E2750">
        <v>2.9081594471594019</v>
      </c>
      <c r="F2750">
        <v>2.038967257187311</v>
      </c>
      <c r="G2750">
        <v>6.2184845884575921</v>
      </c>
      <c r="H2750">
        <v>20.74142392570101</v>
      </c>
      <c r="I2750">
        <v>29.41414911061392</v>
      </c>
      <c r="J2750">
        <v>26.06124874780657</v>
      </c>
      <c r="K2750">
        <v>732.72949427897038</v>
      </c>
      <c r="L2750">
        <v>-1</v>
      </c>
      <c r="M2750" t="s">
        <v>69</v>
      </c>
    </row>
    <row r="2751" spans="1:13" x14ac:dyDescent="0.3">
      <c r="A2751" t="s">
        <v>24</v>
      </c>
      <c r="B2751" t="s">
        <v>61</v>
      </c>
      <c r="C2751">
        <v>80.200077551871686</v>
      </c>
      <c r="D2751">
        <v>3.9994224893590631</v>
      </c>
      <c r="E2751">
        <v>5.189021862694589</v>
      </c>
      <c r="F2751">
        <v>12.74078248138305</v>
      </c>
      <c r="G2751">
        <v>6.2281351898017601</v>
      </c>
      <c r="H2751">
        <v>14.741902405385741</v>
      </c>
      <c r="I2751">
        <v>34.795865377933843</v>
      </c>
      <c r="J2751">
        <v>31.18068130773089</v>
      </c>
      <c r="K2751">
        <v>47.645425044891233</v>
      </c>
      <c r="L2751">
        <v>-1</v>
      </c>
      <c r="M2751" t="s">
        <v>69</v>
      </c>
    </row>
    <row r="2752" spans="1:13" x14ac:dyDescent="0.3">
      <c r="A2752" t="s">
        <v>24</v>
      </c>
      <c r="B2752" t="s">
        <v>61</v>
      </c>
      <c r="C2752">
        <v>337.92105249708737</v>
      </c>
      <c r="D2752">
        <v>18.340480127124572</v>
      </c>
      <c r="E2752">
        <v>21.612405823144439</v>
      </c>
      <c r="F2752">
        <v>53.78262790553768</v>
      </c>
      <c r="G2752">
        <v>4.3</v>
      </c>
      <c r="H2752">
        <v>57.371219170783533</v>
      </c>
      <c r="I2752">
        <v>30.01974343383965</v>
      </c>
      <c r="J2752">
        <v>31.899037356180081</v>
      </c>
      <c r="K2752">
        <v>13.9887241211818</v>
      </c>
      <c r="L2752">
        <v>-1</v>
      </c>
      <c r="M2752" t="s">
        <v>69</v>
      </c>
    </row>
    <row r="2753" spans="1:13" x14ac:dyDescent="0.3">
      <c r="A2753" t="s">
        <v>19</v>
      </c>
      <c r="B2753" t="s">
        <v>46</v>
      </c>
      <c r="C2753">
        <v>27.274408808045759</v>
      </c>
      <c r="D2753">
        <v>0.98710352965248394</v>
      </c>
      <c r="E2753">
        <v>0.96745864657422498</v>
      </c>
      <c r="F2753">
        <v>4.2136071332341114</v>
      </c>
      <c r="G2753">
        <v>6.0475582141144759</v>
      </c>
      <c r="H2753">
        <v>19.4179817111701</v>
      </c>
      <c r="I2753">
        <v>30.326885532395341</v>
      </c>
      <c r="J2753">
        <v>26.967136591701301</v>
      </c>
      <c r="K2753">
        <v>717.35327251628075</v>
      </c>
      <c r="L2753">
        <v>-1</v>
      </c>
      <c r="M2753" t="s">
        <v>69</v>
      </c>
    </row>
    <row r="2754" spans="1:13" x14ac:dyDescent="0.3">
      <c r="A2754" t="s">
        <v>19</v>
      </c>
      <c r="B2754" t="s">
        <v>47</v>
      </c>
      <c r="C2754">
        <v>37.2504861440271</v>
      </c>
      <c r="D2754">
        <v>1.472960958481873</v>
      </c>
      <c r="E2754">
        <v>2.3484212352007732</v>
      </c>
      <c r="F2754">
        <v>3.0532786364274451</v>
      </c>
      <c r="G2754">
        <v>6.1915156869547303</v>
      </c>
      <c r="H2754">
        <v>22.143358397205329</v>
      </c>
      <c r="I2754">
        <v>29.32182334525767</v>
      </c>
      <c r="J2754">
        <v>25.843918341987159</v>
      </c>
      <c r="K2754">
        <v>731.78115656437399</v>
      </c>
      <c r="L2754">
        <v>-1</v>
      </c>
      <c r="M2754" t="s">
        <v>69</v>
      </c>
    </row>
    <row r="2755" spans="1:13" x14ac:dyDescent="0.3">
      <c r="A2755" t="s">
        <v>24</v>
      </c>
      <c r="B2755" t="s">
        <v>61</v>
      </c>
      <c r="C2755">
        <v>84.719192594263191</v>
      </c>
      <c r="D2755">
        <v>3.964689062918767</v>
      </c>
      <c r="E2755">
        <v>5.0459864077403997</v>
      </c>
      <c r="F2755">
        <v>10.67681007871597</v>
      </c>
      <c r="G2755">
        <v>6.172214421309512</v>
      </c>
      <c r="H2755">
        <v>15.34551947804027</v>
      </c>
      <c r="I2755">
        <v>34.839367383245232</v>
      </c>
      <c r="J2755">
        <v>30.256420564603609</v>
      </c>
      <c r="K2755">
        <v>48.181095197176553</v>
      </c>
      <c r="L2755">
        <v>-1</v>
      </c>
      <c r="M2755" t="s">
        <v>69</v>
      </c>
    </row>
    <row r="2756" spans="1:13" x14ac:dyDescent="0.3">
      <c r="A2756" t="s">
        <v>24</v>
      </c>
      <c r="B2756" t="s">
        <v>60</v>
      </c>
      <c r="C2756">
        <v>517.61144160626532</v>
      </c>
      <c r="D2756">
        <v>31.546857361749179</v>
      </c>
      <c r="E2756">
        <v>36.434318586144528</v>
      </c>
      <c r="F2756">
        <v>76.832248204308712</v>
      </c>
      <c r="G2756">
        <v>5.3537205554559861</v>
      </c>
      <c r="H2756">
        <v>66.937331672030695</v>
      </c>
      <c r="I2756">
        <v>30.2724253587959</v>
      </c>
      <c r="J2756">
        <v>29.927649237056709</v>
      </c>
      <c r="K2756">
        <v>11.0900698100852</v>
      </c>
      <c r="L2756">
        <v>-1</v>
      </c>
      <c r="M2756" t="s">
        <v>69</v>
      </c>
    </row>
    <row r="2757" spans="1:13" x14ac:dyDescent="0.3">
      <c r="A2757" t="s">
        <v>25</v>
      </c>
      <c r="B2757" t="s">
        <v>62</v>
      </c>
      <c r="C2757">
        <v>90.885073507565721</v>
      </c>
      <c r="D2757">
        <v>4.3554996025945441</v>
      </c>
      <c r="E2757">
        <v>5.4358209081131657</v>
      </c>
      <c r="F2757">
        <v>12.93084705064223</v>
      </c>
      <c r="G2757">
        <v>6.7303016360729462</v>
      </c>
      <c r="H2757">
        <v>13.9</v>
      </c>
      <c r="I2757">
        <v>31.774660031019369</v>
      </c>
      <c r="J2757">
        <v>30.802116314309519</v>
      </c>
      <c r="K2757">
        <v>47.883833013186631</v>
      </c>
      <c r="L2757">
        <v>-1</v>
      </c>
      <c r="M2757" t="s">
        <v>69</v>
      </c>
    </row>
    <row r="2758" spans="1:13" x14ac:dyDescent="0.3">
      <c r="A2758" t="s">
        <v>19</v>
      </c>
      <c r="B2758" t="s">
        <v>46</v>
      </c>
      <c r="C2758">
        <v>26.314484808257461</v>
      </c>
      <c r="D2758">
        <v>1.0514403178101921</v>
      </c>
      <c r="E2758">
        <v>0.84948346511670181</v>
      </c>
      <c r="F2758">
        <v>3.6683966893141959</v>
      </c>
      <c r="G2758">
        <v>6.0290590973834854</v>
      </c>
      <c r="H2758">
        <v>19.898410040734689</v>
      </c>
      <c r="I2758">
        <v>29.584212175848059</v>
      </c>
      <c r="J2758">
        <v>26.18090578389079</v>
      </c>
      <c r="K2758">
        <v>727.85882411384341</v>
      </c>
      <c r="L2758">
        <v>-1</v>
      </c>
      <c r="M2758" t="s">
        <v>69</v>
      </c>
    </row>
    <row r="2759" spans="1:13" x14ac:dyDescent="0.3">
      <c r="A2759" t="s">
        <v>25</v>
      </c>
      <c r="B2759" t="s">
        <v>62</v>
      </c>
      <c r="C2759">
        <v>92.468168517052803</v>
      </c>
      <c r="D2759">
        <v>4.0785847451446253</v>
      </c>
      <c r="E2759">
        <v>6.3215625284208201</v>
      </c>
      <c r="F2759">
        <v>12.687496621998401</v>
      </c>
      <c r="G2759">
        <v>6.9459782597794968</v>
      </c>
      <c r="H2759">
        <v>14.138781132901229</v>
      </c>
      <c r="I2759">
        <v>31.771559877469301</v>
      </c>
      <c r="J2759">
        <v>31.572898707991701</v>
      </c>
      <c r="K2759">
        <v>49.539627327961398</v>
      </c>
      <c r="L2759">
        <v>-1</v>
      </c>
      <c r="M2759" t="s">
        <v>69</v>
      </c>
    </row>
    <row r="2760" spans="1:13" x14ac:dyDescent="0.3">
      <c r="A2760" t="s">
        <v>24</v>
      </c>
      <c r="B2760" t="s">
        <v>61</v>
      </c>
      <c r="C2760">
        <v>353.1058059003006</v>
      </c>
      <c r="D2760">
        <v>19.279640268308469</v>
      </c>
      <c r="E2760">
        <v>20.517433746465041</v>
      </c>
      <c r="F2760">
        <v>63.961193384242229</v>
      </c>
      <c r="G2760">
        <v>4.3111445687917618</v>
      </c>
      <c r="H2760">
        <v>60.618488904805737</v>
      </c>
      <c r="I2760">
        <v>30.295418419367479</v>
      </c>
      <c r="J2760">
        <v>32.964527599928893</v>
      </c>
      <c r="K2760">
        <v>14.438582529081939</v>
      </c>
      <c r="L2760">
        <v>-1</v>
      </c>
      <c r="M2760" t="s">
        <v>69</v>
      </c>
    </row>
    <row r="2761" spans="1:13" x14ac:dyDescent="0.3">
      <c r="A2761" t="s">
        <v>24</v>
      </c>
      <c r="B2761" t="s">
        <v>59</v>
      </c>
      <c r="C2761">
        <v>349.36483339984392</v>
      </c>
      <c r="D2761">
        <v>17.064124771204721</v>
      </c>
      <c r="E2761">
        <v>23.99000809330439</v>
      </c>
      <c r="F2761">
        <v>55.915826886933047</v>
      </c>
      <c r="G2761">
        <v>5.2054383670763809</v>
      </c>
      <c r="H2761">
        <v>75.269444885362944</v>
      </c>
      <c r="I2761">
        <v>30.59885363000161</v>
      </c>
      <c r="J2761">
        <v>31.015987561479811</v>
      </c>
      <c r="K2761">
        <v>11</v>
      </c>
      <c r="L2761">
        <v>-1</v>
      </c>
      <c r="M2761" t="s">
        <v>69</v>
      </c>
    </row>
    <row r="2762" spans="1:13" x14ac:dyDescent="0.3">
      <c r="A2762" t="s">
        <v>24</v>
      </c>
      <c r="B2762" t="s">
        <v>61</v>
      </c>
      <c r="C2762">
        <v>123.96248602551</v>
      </c>
      <c r="D2762">
        <v>5.7535172560614276</v>
      </c>
      <c r="E2762">
        <v>8.3642307230677417</v>
      </c>
      <c r="F2762">
        <v>22.35901331402761</v>
      </c>
      <c r="G2762">
        <v>6.2289812430319893</v>
      </c>
      <c r="H2762">
        <v>20.81238792622743</v>
      </c>
      <c r="I2762">
        <v>31.27041766528383</v>
      </c>
      <c r="J2762">
        <v>31.205773102050891</v>
      </c>
      <c r="K2762">
        <v>47.333704422830351</v>
      </c>
      <c r="L2762">
        <v>-1</v>
      </c>
      <c r="M2762" t="s">
        <v>69</v>
      </c>
    </row>
    <row r="2763" spans="1:13" x14ac:dyDescent="0.3">
      <c r="A2763" t="s">
        <v>25</v>
      </c>
      <c r="B2763" t="s">
        <v>62</v>
      </c>
      <c r="C2763">
        <v>92.208763467559663</v>
      </c>
      <c r="D2763">
        <v>3.7030993596372328</v>
      </c>
      <c r="E2763">
        <v>5.903269084450546</v>
      </c>
      <c r="F2763">
        <v>14.01715007227491</v>
      </c>
      <c r="G2763">
        <v>6.8570400340574889</v>
      </c>
      <c r="H2763">
        <v>13.9</v>
      </c>
      <c r="I2763">
        <v>33.531450277090777</v>
      </c>
      <c r="J2763">
        <v>30.630806424481701</v>
      </c>
      <c r="K2763">
        <v>47.454749041919513</v>
      </c>
      <c r="L2763">
        <v>-1</v>
      </c>
      <c r="M2763" t="s">
        <v>69</v>
      </c>
    </row>
    <row r="2764" spans="1:13" x14ac:dyDescent="0.3">
      <c r="A2764" t="s">
        <v>25</v>
      </c>
      <c r="B2764" t="s">
        <v>62</v>
      </c>
      <c r="C2764">
        <v>91.226273039392709</v>
      </c>
      <c r="D2764">
        <v>4.1626745343620186</v>
      </c>
      <c r="E2764">
        <v>6.30434265528051</v>
      </c>
      <c r="F2764">
        <v>13.72493320836846</v>
      </c>
      <c r="G2764">
        <v>6.7747166160542927</v>
      </c>
      <c r="H2764">
        <v>14.623221429442181</v>
      </c>
      <c r="I2764">
        <v>33.989295744375177</v>
      </c>
      <c r="J2764">
        <v>31.59845905264002</v>
      </c>
      <c r="K2764">
        <v>49.19940290646241</v>
      </c>
      <c r="L2764">
        <v>-1</v>
      </c>
      <c r="M2764" t="s">
        <v>69</v>
      </c>
    </row>
    <row r="2765" spans="1:13" x14ac:dyDescent="0.3">
      <c r="A2765" t="s">
        <v>25</v>
      </c>
      <c r="B2765" t="s">
        <v>62</v>
      </c>
      <c r="C2765">
        <v>95.161878882885645</v>
      </c>
      <c r="D2765">
        <v>3.900893665572204</v>
      </c>
      <c r="E2765">
        <v>6.229567736020277</v>
      </c>
      <c r="F2765">
        <v>14.37357159275644</v>
      </c>
      <c r="G2765">
        <v>6.9461561495587043</v>
      </c>
      <c r="H2765">
        <v>14.709828616847661</v>
      </c>
      <c r="I2765">
        <v>33.538659867377433</v>
      </c>
      <c r="J2765">
        <v>30.776417411236451</v>
      </c>
      <c r="K2765">
        <v>48.16552381470774</v>
      </c>
      <c r="L2765">
        <v>-1</v>
      </c>
      <c r="M2765" t="s">
        <v>69</v>
      </c>
    </row>
    <row r="2766" spans="1:13" x14ac:dyDescent="0.3">
      <c r="A2766" t="s">
        <v>24</v>
      </c>
      <c r="B2766" t="s">
        <v>60</v>
      </c>
      <c r="C2766">
        <v>504.41908448439631</v>
      </c>
      <c r="D2766">
        <v>23.261117505303449</v>
      </c>
      <c r="E2766">
        <v>35.523302588152802</v>
      </c>
      <c r="F2766">
        <v>81.645824319560631</v>
      </c>
      <c r="G2766">
        <v>5.4586074095480024</v>
      </c>
      <c r="H2766">
        <v>63.918313516214241</v>
      </c>
      <c r="I2766">
        <v>30.546788792555471</v>
      </c>
      <c r="J2766">
        <v>31.061363668888578</v>
      </c>
      <c r="K2766">
        <v>11.0894829197955</v>
      </c>
      <c r="L2766">
        <v>-1</v>
      </c>
      <c r="M2766" t="s">
        <v>69</v>
      </c>
    </row>
    <row r="2767" spans="1:13" x14ac:dyDescent="0.3">
      <c r="A2767" t="s">
        <v>24</v>
      </c>
      <c r="B2767" t="s">
        <v>61</v>
      </c>
      <c r="C2767">
        <v>335.66311231030738</v>
      </c>
      <c r="D2767">
        <v>16.866205926635921</v>
      </c>
      <c r="E2767">
        <v>22.546503427859822</v>
      </c>
      <c r="F2767">
        <v>52.277038964942427</v>
      </c>
      <c r="G2767">
        <v>4.3</v>
      </c>
      <c r="H2767">
        <v>56.724444581144681</v>
      </c>
      <c r="I2767">
        <v>29.75461576805861</v>
      </c>
      <c r="J2767">
        <v>31.212038101324641</v>
      </c>
      <c r="K2767">
        <v>13.932799230826051</v>
      </c>
      <c r="L2767">
        <v>-1</v>
      </c>
      <c r="M2767" t="s">
        <v>69</v>
      </c>
    </row>
    <row r="2768" spans="1:13" x14ac:dyDescent="0.3">
      <c r="A2768" t="s">
        <v>24</v>
      </c>
      <c r="B2768" t="s">
        <v>61</v>
      </c>
      <c r="C2768">
        <v>340.36868887251768</v>
      </c>
      <c r="D2768">
        <v>17.637123267433282</v>
      </c>
      <c r="E2768">
        <v>21.025303263202069</v>
      </c>
      <c r="F2768">
        <v>51.836874802064457</v>
      </c>
      <c r="G2768">
        <v>4.3737386630310677</v>
      </c>
      <c r="H2768">
        <v>55.404524007353402</v>
      </c>
      <c r="I2768">
        <v>30.572105086329561</v>
      </c>
      <c r="J2768">
        <v>31.152869025621872</v>
      </c>
      <c r="K2768">
        <v>14.31496061630401</v>
      </c>
      <c r="L2768">
        <v>-1</v>
      </c>
      <c r="M2768" t="s">
        <v>69</v>
      </c>
    </row>
    <row r="2769" spans="1:13" x14ac:dyDescent="0.3">
      <c r="A2769" t="s">
        <v>24</v>
      </c>
      <c r="B2769" t="s">
        <v>61</v>
      </c>
      <c r="C2769">
        <v>77.970796198853648</v>
      </c>
      <c r="D2769">
        <v>3.9850273551249709</v>
      </c>
      <c r="E2769">
        <v>4.9895964509779329</v>
      </c>
      <c r="F2769">
        <v>12.70325350078777</v>
      </c>
      <c r="G2769">
        <v>6.2049843911350866</v>
      </c>
      <c r="H2769">
        <v>14.94786514594883</v>
      </c>
      <c r="I2769">
        <v>35.224558844493323</v>
      </c>
      <c r="J2769">
        <v>31.321354976702771</v>
      </c>
      <c r="K2769">
        <v>47.81196238685834</v>
      </c>
      <c r="L2769">
        <v>-1</v>
      </c>
      <c r="M2769" t="s">
        <v>69</v>
      </c>
    </row>
    <row r="2770" spans="1:13" x14ac:dyDescent="0.3">
      <c r="A2770" t="s">
        <v>19</v>
      </c>
      <c r="B2770" t="s">
        <v>46</v>
      </c>
      <c r="C2770">
        <v>27.86863434627972</v>
      </c>
      <c r="D2770">
        <v>0.99421909506211037</v>
      </c>
      <c r="E2770">
        <v>0.95978268237969289</v>
      </c>
      <c r="F2770">
        <v>3.3940495046053178</v>
      </c>
      <c r="G2770">
        <v>6.0141155310430774</v>
      </c>
      <c r="H2770">
        <v>20.2971315531702</v>
      </c>
      <c r="I2770">
        <v>31.193192217058371</v>
      </c>
      <c r="J2770">
        <v>26.732990803805091</v>
      </c>
      <c r="K2770">
        <v>734.4137326824283</v>
      </c>
      <c r="L2770">
        <v>-1</v>
      </c>
      <c r="M2770" t="s">
        <v>69</v>
      </c>
    </row>
    <row r="2771" spans="1:13" x14ac:dyDescent="0.3">
      <c r="A2771" t="s">
        <v>24</v>
      </c>
      <c r="B2771" t="s">
        <v>59</v>
      </c>
      <c r="C2771">
        <v>356.91156456255601</v>
      </c>
      <c r="D2771">
        <v>16.6324949681159</v>
      </c>
      <c r="E2771">
        <v>24.901303283788671</v>
      </c>
      <c r="F2771">
        <v>55.35134368703131</v>
      </c>
      <c r="G2771">
        <v>5.1397515041205359</v>
      </c>
      <c r="H2771">
        <v>79.652240493254709</v>
      </c>
      <c r="I2771">
        <v>31.04563532071111</v>
      </c>
      <c r="J2771">
        <v>29.977447805205539</v>
      </c>
      <c r="K2771">
        <v>11.05088785362727</v>
      </c>
      <c r="L2771">
        <v>-1</v>
      </c>
      <c r="M2771" t="s">
        <v>69</v>
      </c>
    </row>
    <row r="2772" spans="1:13" x14ac:dyDescent="0.3">
      <c r="A2772" t="s">
        <v>19</v>
      </c>
      <c r="B2772" t="s">
        <v>47</v>
      </c>
      <c r="C2772">
        <v>29.6640392369567</v>
      </c>
      <c r="D2772">
        <v>0.91382458568232083</v>
      </c>
      <c r="E2772">
        <v>1.5605481491477939</v>
      </c>
      <c r="F2772">
        <v>4.1683845359114322</v>
      </c>
      <c r="G2772">
        <v>5.6915129023081681</v>
      </c>
      <c r="H2772">
        <v>20.184382971406819</v>
      </c>
      <c r="I2772">
        <v>29.793819936905599</v>
      </c>
      <c r="J2772">
        <v>26.354625601113991</v>
      </c>
      <c r="K2772">
        <v>739.79529681860004</v>
      </c>
      <c r="L2772">
        <v>-1</v>
      </c>
      <c r="M2772" t="s">
        <v>69</v>
      </c>
    </row>
    <row r="2773" spans="1:13" x14ac:dyDescent="0.3">
      <c r="A2773" t="s">
        <v>24</v>
      </c>
      <c r="B2773" t="s">
        <v>61</v>
      </c>
      <c r="C2773">
        <v>687.96311847485629</v>
      </c>
      <c r="D2773">
        <v>33.888404204360427</v>
      </c>
      <c r="E2773">
        <v>45.61447998588946</v>
      </c>
      <c r="F2773">
        <v>111.9493120693848</v>
      </c>
      <c r="G2773">
        <v>6.1491958822767021</v>
      </c>
      <c r="H2773">
        <v>73.455016207860155</v>
      </c>
      <c r="I2773">
        <v>30.702954833675371</v>
      </c>
      <c r="J2773">
        <v>30.44404282623556</v>
      </c>
      <c r="K2773">
        <v>11.037765641169241</v>
      </c>
      <c r="L2773">
        <v>-1</v>
      </c>
      <c r="M2773" t="s">
        <v>69</v>
      </c>
    </row>
    <row r="2774" spans="1:13" x14ac:dyDescent="0.3">
      <c r="A2774" t="s">
        <v>24</v>
      </c>
      <c r="B2774" t="s">
        <v>61</v>
      </c>
      <c r="C2774">
        <v>130.6930774289518</v>
      </c>
      <c r="D2774">
        <v>5.1194259047293471</v>
      </c>
      <c r="E2774">
        <v>6.6511222319951031</v>
      </c>
      <c r="F2774">
        <v>19.784825880228212</v>
      </c>
      <c r="G2774">
        <v>6.3881297518500499</v>
      </c>
      <c r="H2774">
        <v>18.830371281669461</v>
      </c>
      <c r="I2774">
        <v>30.63887774429309</v>
      </c>
      <c r="J2774">
        <v>30.276075817179539</v>
      </c>
      <c r="K2774">
        <v>48.394339425690987</v>
      </c>
      <c r="L2774">
        <v>-1</v>
      </c>
      <c r="M2774" t="s">
        <v>69</v>
      </c>
    </row>
    <row r="2775" spans="1:13" x14ac:dyDescent="0.3">
      <c r="A2775" t="s">
        <v>24</v>
      </c>
      <c r="B2775" t="s">
        <v>61</v>
      </c>
      <c r="C2775">
        <v>346.73365818297862</v>
      </c>
      <c r="D2775">
        <v>15.50093720276176</v>
      </c>
      <c r="E2775">
        <v>22.670738494087612</v>
      </c>
      <c r="F2775">
        <v>53.634746008925461</v>
      </c>
      <c r="G2775">
        <v>4.3346995005644153</v>
      </c>
      <c r="H2775">
        <v>53.853712242912287</v>
      </c>
      <c r="I2775">
        <v>30.138379258954082</v>
      </c>
      <c r="J2775">
        <v>31.112845074145898</v>
      </c>
      <c r="K2775">
        <v>13.974873296503119</v>
      </c>
      <c r="L2775">
        <v>-1</v>
      </c>
      <c r="M2775" t="s">
        <v>69</v>
      </c>
    </row>
    <row r="2776" spans="1:13" x14ac:dyDescent="0.3">
      <c r="A2776" t="s">
        <v>24</v>
      </c>
      <c r="B2776" t="s">
        <v>61</v>
      </c>
      <c r="C2776">
        <v>320.89124871780513</v>
      </c>
      <c r="D2776">
        <v>16.863821694917331</v>
      </c>
      <c r="E2776">
        <v>23.482686609699648</v>
      </c>
      <c r="F2776">
        <v>44.016037023518606</v>
      </c>
      <c r="G2776">
        <v>4.3</v>
      </c>
      <c r="H2776">
        <v>58.764282473696021</v>
      </c>
      <c r="I2776">
        <v>29.27605126047342</v>
      </c>
      <c r="J2776">
        <v>31.88758302355351</v>
      </c>
      <c r="K2776">
        <v>14.00578034268324</v>
      </c>
      <c r="L2776">
        <v>-1</v>
      </c>
      <c r="M2776" t="s">
        <v>69</v>
      </c>
    </row>
    <row r="2777" spans="1:13" x14ac:dyDescent="0.3">
      <c r="A2777" t="s">
        <v>24</v>
      </c>
      <c r="B2777" t="s">
        <v>61</v>
      </c>
      <c r="C2777">
        <v>689.4772190804224</v>
      </c>
      <c r="D2777">
        <v>32.261000140978027</v>
      </c>
      <c r="E2777">
        <v>49.781470916560387</v>
      </c>
      <c r="F2777">
        <v>88.914753210532865</v>
      </c>
      <c r="G2777">
        <v>5.9840906766665842</v>
      </c>
      <c r="H2777">
        <v>65.371331984290919</v>
      </c>
      <c r="I2777">
        <v>30.731406042588169</v>
      </c>
      <c r="J2777">
        <v>30.7463385995338</v>
      </c>
      <c r="K2777">
        <v>11.01331577837232</v>
      </c>
      <c r="L2777">
        <v>-1</v>
      </c>
      <c r="M2777" t="s">
        <v>69</v>
      </c>
    </row>
    <row r="2778" spans="1:13" x14ac:dyDescent="0.3">
      <c r="A2778" t="s">
        <v>24</v>
      </c>
      <c r="B2778" t="s">
        <v>61</v>
      </c>
      <c r="C2778">
        <v>123.486740751604</v>
      </c>
      <c r="D2778">
        <v>5.1902887946152836</v>
      </c>
      <c r="E2778">
        <v>8.5449730447962544</v>
      </c>
      <c r="F2778">
        <v>22.734778382160339</v>
      </c>
      <c r="G2778">
        <v>6.2719198974318386</v>
      </c>
      <c r="H2778">
        <v>20.796847369883491</v>
      </c>
      <c r="I2778">
        <v>31.24509054804545</v>
      </c>
      <c r="J2778">
        <v>31.382506150849888</v>
      </c>
      <c r="K2778">
        <v>46.483089177465672</v>
      </c>
      <c r="L2778">
        <v>-1</v>
      </c>
      <c r="M2778" t="s">
        <v>69</v>
      </c>
    </row>
    <row r="2779" spans="1:13" x14ac:dyDescent="0.3">
      <c r="A2779" t="s">
        <v>24</v>
      </c>
      <c r="B2779" t="s">
        <v>61</v>
      </c>
      <c r="C2779">
        <v>123.97151583092349</v>
      </c>
      <c r="D2779">
        <v>5.9529113466781407</v>
      </c>
      <c r="E2779">
        <v>8.0319753429387841</v>
      </c>
      <c r="F2779">
        <v>20.158282253716092</v>
      </c>
      <c r="G2779">
        <v>6.2984499863005583</v>
      </c>
      <c r="H2779">
        <v>20.234919805793549</v>
      </c>
      <c r="I2779">
        <v>30.82570248352879</v>
      </c>
      <c r="J2779">
        <v>31.0221195345048</v>
      </c>
      <c r="K2779">
        <v>47.912276141216132</v>
      </c>
      <c r="L2779">
        <v>-1</v>
      </c>
      <c r="M2779" t="s">
        <v>69</v>
      </c>
    </row>
    <row r="2780" spans="1:13" x14ac:dyDescent="0.3">
      <c r="A2780" t="s">
        <v>24</v>
      </c>
      <c r="B2780" t="s">
        <v>60</v>
      </c>
      <c r="C2780">
        <v>518.1338399797238</v>
      </c>
      <c r="D2780">
        <v>23.536103320901979</v>
      </c>
      <c r="E2780">
        <v>38.85044956505547</v>
      </c>
      <c r="F2780">
        <v>84.809102521291464</v>
      </c>
      <c r="G2780">
        <v>5.4640438312606303</v>
      </c>
      <c r="H2780">
        <v>66.491906689637034</v>
      </c>
      <c r="I2780">
        <v>30.750384282795888</v>
      </c>
      <c r="J2780">
        <v>31.385521535733549</v>
      </c>
      <c r="K2780">
        <v>11.05525703861713</v>
      </c>
      <c r="L2780">
        <v>-1</v>
      </c>
      <c r="M2780" t="s">
        <v>69</v>
      </c>
    </row>
    <row r="2781" spans="1:13" x14ac:dyDescent="0.3">
      <c r="A2781" t="s">
        <v>25</v>
      </c>
      <c r="B2781" t="s">
        <v>62</v>
      </c>
      <c r="C2781">
        <v>93.273695620406471</v>
      </c>
      <c r="D2781">
        <v>3.6370391120522689</v>
      </c>
      <c r="E2781">
        <v>6.373828332499472</v>
      </c>
      <c r="F2781">
        <v>15.042955586205499</v>
      </c>
      <c r="G2781">
        <v>6.7161527940515784</v>
      </c>
      <c r="H2781">
        <v>13.92295334252287</v>
      </c>
      <c r="I2781">
        <v>31.095962340538101</v>
      </c>
      <c r="J2781">
        <v>31.624724410363779</v>
      </c>
      <c r="K2781">
        <v>47.871497909298107</v>
      </c>
      <c r="L2781">
        <v>-1</v>
      </c>
      <c r="M2781" t="s">
        <v>69</v>
      </c>
    </row>
    <row r="2782" spans="1:13" x14ac:dyDescent="0.3">
      <c r="A2782" t="s">
        <v>19</v>
      </c>
      <c r="B2782" t="s">
        <v>46</v>
      </c>
      <c r="C2782">
        <v>27.75228346229963</v>
      </c>
      <c r="D2782">
        <v>1.0614728169993379</v>
      </c>
      <c r="E2782">
        <v>0.91776271197423753</v>
      </c>
      <c r="F2782">
        <v>3.8753214779475571</v>
      </c>
      <c r="G2782">
        <v>5.9350754571445981</v>
      </c>
      <c r="H2782">
        <v>19.117183156664129</v>
      </c>
      <c r="I2782">
        <v>30.450213932136329</v>
      </c>
      <c r="J2782">
        <v>26.227225729856929</v>
      </c>
      <c r="K2782">
        <v>730.50950444274736</v>
      </c>
      <c r="L2782">
        <v>-1</v>
      </c>
      <c r="M2782" t="s">
        <v>69</v>
      </c>
    </row>
    <row r="2783" spans="1:13" x14ac:dyDescent="0.3">
      <c r="A2783" t="s">
        <v>24</v>
      </c>
      <c r="B2783" t="s">
        <v>61</v>
      </c>
      <c r="C2783">
        <v>340.26627706973977</v>
      </c>
      <c r="D2783">
        <v>15.82832137015839</v>
      </c>
      <c r="E2783">
        <v>23.09296084172793</v>
      </c>
      <c r="F2783">
        <v>54.226776717931521</v>
      </c>
      <c r="G2783">
        <v>4.3</v>
      </c>
      <c r="H2783">
        <v>57.093522021797448</v>
      </c>
      <c r="I2783">
        <v>29.71370605307332</v>
      </c>
      <c r="J2783">
        <v>30.864936793422391</v>
      </c>
      <c r="K2783">
        <v>14.01823056207968</v>
      </c>
      <c r="L2783">
        <v>-1</v>
      </c>
      <c r="M2783" t="s">
        <v>69</v>
      </c>
    </row>
    <row r="2784" spans="1:13" x14ac:dyDescent="0.3">
      <c r="A2784" t="s">
        <v>24</v>
      </c>
      <c r="B2784" t="s">
        <v>61</v>
      </c>
      <c r="C2784">
        <v>177.09425328126471</v>
      </c>
      <c r="D2784">
        <v>8.0872027860148705</v>
      </c>
      <c r="E2784">
        <v>13.179902196476741</v>
      </c>
      <c r="F2784">
        <v>30.997124213593551</v>
      </c>
      <c r="G2784">
        <v>6.1021840147691888</v>
      </c>
      <c r="H2784">
        <v>24.382447243916118</v>
      </c>
      <c r="I2784">
        <v>29.374660949287449</v>
      </c>
      <c r="J2784">
        <v>31.05112792456978</v>
      </c>
      <c r="K2784">
        <v>14.05349315073045</v>
      </c>
      <c r="L2784">
        <v>-1</v>
      </c>
      <c r="M2784" t="s">
        <v>69</v>
      </c>
    </row>
    <row r="2785" spans="1:13" x14ac:dyDescent="0.3">
      <c r="A2785" t="s">
        <v>24</v>
      </c>
      <c r="B2785" t="s">
        <v>61</v>
      </c>
      <c r="C2785">
        <v>120.2741217334104</v>
      </c>
      <c r="D2785">
        <v>5.6917717818533466</v>
      </c>
      <c r="E2785">
        <v>8.936767491014642</v>
      </c>
      <c r="F2785">
        <v>23.165747531244779</v>
      </c>
      <c r="G2785">
        <v>6.328380633510859</v>
      </c>
      <c r="H2785">
        <v>21.564306717038189</v>
      </c>
      <c r="I2785">
        <v>30.497433807246711</v>
      </c>
      <c r="J2785">
        <v>31.116993181075429</v>
      </c>
      <c r="K2785">
        <v>47.493875417867002</v>
      </c>
      <c r="L2785">
        <v>-1</v>
      </c>
      <c r="M2785" t="s">
        <v>69</v>
      </c>
    </row>
    <row r="2786" spans="1:13" x14ac:dyDescent="0.3">
      <c r="A2786" t="s">
        <v>24</v>
      </c>
      <c r="B2786" t="s">
        <v>60</v>
      </c>
      <c r="C2786">
        <v>506.84593526042789</v>
      </c>
      <c r="D2786">
        <v>25.290439550301539</v>
      </c>
      <c r="E2786">
        <v>34.837164765308707</v>
      </c>
      <c r="F2786">
        <v>81.863409854123375</v>
      </c>
      <c r="G2786">
        <v>5.3967355923725213</v>
      </c>
      <c r="H2786">
        <v>65.134750820775295</v>
      </c>
      <c r="I2786">
        <v>30.936916493010109</v>
      </c>
      <c r="J2786">
        <v>31.05794569985742</v>
      </c>
      <c r="K2786">
        <v>11</v>
      </c>
      <c r="L2786">
        <v>-1</v>
      </c>
      <c r="M2786" t="s">
        <v>69</v>
      </c>
    </row>
    <row r="2787" spans="1:13" x14ac:dyDescent="0.3">
      <c r="A2787" t="s">
        <v>24</v>
      </c>
      <c r="B2787" t="s">
        <v>59</v>
      </c>
      <c r="C2787">
        <v>366.27568016355411</v>
      </c>
      <c r="D2787">
        <v>16.970488235608158</v>
      </c>
      <c r="E2787">
        <v>25.80871299767211</v>
      </c>
      <c r="F2787">
        <v>55.606429807470377</v>
      </c>
      <c r="G2787">
        <v>5.1577304808074889</v>
      </c>
      <c r="H2787">
        <v>75.372033939450176</v>
      </c>
      <c r="I2787">
        <v>31.06343319738647</v>
      </c>
      <c r="J2787">
        <v>30.585644397091858</v>
      </c>
      <c r="K2787">
        <v>11.06212584943364</v>
      </c>
      <c r="L2787">
        <v>-1</v>
      </c>
      <c r="M2787" t="s">
        <v>69</v>
      </c>
    </row>
    <row r="2788" spans="1:13" x14ac:dyDescent="0.3">
      <c r="A2788" t="s">
        <v>24</v>
      </c>
      <c r="B2788" t="s">
        <v>60</v>
      </c>
      <c r="C2788">
        <v>500.2650108159317</v>
      </c>
      <c r="D2788">
        <v>24.065977434268412</v>
      </c>
      <c r="E2788">
        <v>34.687589153360257</v>
      </c>
      <c r="F2788">
        <v>79.067186263847475</v>
      </c>
      <c r="G2788">
        <v>5.4362165015341386</v>
      </c>
      <c r="H2788">
        <v>71.111399922739125</v>
      </c>
      <c r="I2788">
        <v>32.794525952477613</v>
      </c>
      <c r="J2788">
        <v>29.570808583762329</v>
      </c>
      <c r="K2788">
        <v>11</v>
      </c>
      <c r="L2788">
        <v>-1</v>
      </c>
      <c r="M2788" t="s">
        <v>69</v>
      </c>
    </row>
    <row r="2789" spans="1:13" x14ac:dyDescent="0.3">
      <c r="A2789" t="s">
        <v>19</v>
      </c>
      <c r="B2789" t="s">
        <v>46</v>
      </c>
      <c r="C2789">
        <v>27.517758256729788</v>
      </c>
      <c r="D2789">
        <v>0.99843758465745047</v>
      </c>
      <c r="E2789">
        <v>0.97940277429516254</v>
      </c>
      <c r="F2789">
        <v>3.5699100304331761</v>
      </c>
      <c r="G2789">
        <v>6.0010813793271298</v>
      </c>
      <c r="H2789">
        <v>20.08396572467711</v>
      </c>
      <c r="I2789">
        <v>31.083955686517871</v>
      </c>
      <c r="J2789">
        <v>26.311764389892009</v>
      </c>
      <c r="K2789">
        <v>733.45865248670952</v>
      </c>
      <c r="L2789">
        <v>-1</v>
      </c>
      <c r="M2789" t="s">
        <v>69</v>
      </c>
    </row>
    <row r="2790" spans="1:13" x14ac:dyDescent="0.3">
      <c r="A2790" t="s">
        <v>24</v>
      </c>
      <c r="B2790" t="s">
        <v>60</v>
      </c>
      <c r="C2790">
        <v>588.22692294391277</v>
      </c>
      <c r="D2790">
        <v>30.073616540494431</v>
      </c>
      <c r="E2790">
        <v>38.385548340211223</v>
      </c>
      <c r="F2790">
        <v>107.2667057624323</v>
      </c>
      <c r="G2790">
        <v>6.0595812956346018</v>
      </c>
      <c r="H2790">
        <v>83.373503315174418</v>
      </c>
      <c r="I2790">
        <v>31.543868850534832</v>
      </c>
      <c r="J2790">
        <v>30.627068231611421</v>
      </c>
      <c r="K2790">
        <v>11</v>
      </c>
      <c r="L2790">
        <v>-1</v>
      </c>
      <c r="M2790" t="s">
        <v>69</v>
      </c>
    </row>
    <row r="2791" spans="1:13" x14ac:dyDescent="0.3">
      <c r="A2791" t="s">
        <v>24</v>
      </c>
      <c r="B2791" t="s">
        <v>61</v>
      </c>
      <c r="C2791">
        <v>184.14329911490731</v>
      </c>
      <c r="D2791">
        <v>8.9921147476078893</v>
      </c>
      <c r="E2791">
        <v>11.897309834164551</v>
      </c>
      <c r="F2791">
        <v>29.176000225642738</v>
      </c>
      <c r="G2791">
        <v>6.2570914093728947</v>
      </c>
      <c r="H2791">
        <v>25.62473933110401</v>
      </c>
      <c r="I2791">
        <v>29.630119843809609</v>
      </c>
      <c r="J2791">
        <v>30.711403770711911</v>
      </c>
      <c r="K2791">
        <v>13.968380481028129</v>
      </c>
      <c r="L2791">
        <v>-1</v>
      </c>
      <c r="M2791" t="s">
        <v>69</v>
      </c>
    </row>
    <row r="2792" spans="1:13" x14ac:dyDescent="0.3">
      <c r="A2792" t="s">
        <v>24</v>
      </c>
      <c r="B2792" t="s">
        <v>61</v>
      </c>
      <c r="C2792">
        <v>320.71498252211711</v>
      </c>
      <c r="D2792">
        <v>16.761774591352111</v>
      </c>
      <c r="E2792">
        <v>23.259325532013939</v>
      </c>
      <c r="F2792">
        <v>43.77855449286362</v>
      </c>
      <c r="G2792">
        <v>4.3</v>
      </c>
      <c r="H2792">
        <v>58.676942516849728</v>
      </c>
      <c r="I2792">
        <v>29.214263187884171</v>
      </c>
      <c r="J2792">
        <v>31.89300638223332</v>
      </c>
      <c r="K2792">
        <v>13.99742566451482</v>
      </c>
      <c r="L2792">
        <v>-1</v>
      </c>
      <c r="M2792" t="s">
        <v>69</v>
      </c>
    </row>
    <row r="2793" spans="1:13" x14ac:dyDescent="0.3">
      <c r="A2793" t="s">
        <v>24</v>
      </c>
      <c r="B2793" t="s">
        <v>60</v>
      </c>
      <c r="C2793">
        <v>596.39210845259811</v>
      </c>
      <c r="D2793">
        <v>28.971138092370168</v>
      </c>
      <c r="E2793">
        <v>36.652446157395353</v>
      </c>
      <c r="F2793">
        <v>98.508034430070637</v>
      </c>
      <c r="G2793">
        <v>6.029636676072804</v>
      </c>
      <c r="H2793">
        <v>77.57049792427722</v>
      </c>
      <c r="I2793">
        <v>29.836786734596139</v>
      </c>
      <c r="J2793">
        <v>30.926707189523881</v>
      </c>
      <c r="K2793">
        <v>11.39931293269569</v>
      </c>
      <c r="L2793">
        <v>-1</v>
      </c>
      <c r="M2793" t="s">
        <v>69</v>
      </c>
    </row>
    <row r="2794" spans="1:13" x14ac:dyDescent="0.3">
      <c r="A2794" t="s">
        <v>24</v>
      </c>
      <c r="B2794" t="s">
        <v>61</v>
      </c>
      <c r="C2794">
        <v>346.03633381394923</v>
      </c>
      <c r="D2794">
        <v>16.542881012637679</v>
      </c>
      <c r="E2794">
        <v>21.94427939075478</v>
      </c>
      <c r="F2794">
        <v>53.379544164288653</v>
      </c>
      <c r="G2794">
        <v>4.3514407113631854</v>
      </c>
      <c r="H2794">
        <v>55.74569308227025</v>
      </c>
      <c r="I2794">
        <v>30.552853617326381</v>
      </c>
      <c r="J2794">
        <v>30.713976699448899</v>
      </c>
      <c r="K2794">
        <v>14.27919093155856</v>
      </c>
      <c r="L2794">
        <v>-1</v>
      </c>
      <c r="M2794" t="s">
        <v>69</v>
      </c>
    </row>
    <row r="2795" spans="1:13" x14ac:dyDescent="0.3">
      <c r="A2795" t="s">
        <v>24</v>
      </c>
      <c r="B2795" t="s">
        <v>59</v>
      </c>
      <c r="C2795">
        <v>346.11565165097551</v>
      </c>
      <c r="D2795">
        <v>17.640942923428149</v>
      </c>
      <c r="E2795">
        <v>20.837086965994001</v>
      </c>
      <c r="F2795">
        <v>51.095619522920153</v>
      </c>
      <c r="G2795">
        <v>5.19163417730425</v>
      </c>
      <c r="H2795">
        <v>71.768922957243731</v>
      </c>
      <c r="I2795">
        <v>30.80565584965338</v>
      </c>
      <c r="J2795">
        <v>30.779793807873641</v>
      </c>
      <c r="K2795">
        <v>11</v>
      </c>
      <c r="L2795">
        <v>-1</v>
      </c>
      <c r="M2795" t="s">
        <v>69</v>
      </c>
    </row>
    <row r="2796" spans="1:13" x14ac:dyDescent="0.3">
      <c r="A2796" t="s">
        <v>24</v>
      </c>
      <c r="B2796" t="s">
        <v>61</v>
      </c>
      <c r="C2796">
        <v>123.7899530406398</v>
      </c>
      <c r="D2796">
        <v>5.6527605062283834</v>
      </c>
      <c r="E2796">
        <v>8.2357914510603081</v>
      </c>
      <c r="F2796">
        <v>21.167199437149559</v>
      </c>
      <c r="G2796">
        <v>6.2885699434075066</v>
      </c>
      <c r="H2796">
        <v>20.457504405646819</v>
      </c>
      <c r="I2796">
        <v>30.989534351475449</v>
      </c>
      <c r="J2796">
        <v>31.16311309460071</v>
      </c>
      <c r="K2796">
        <v>47.35310980104623</v>
      </c>
      <c r="L2796">
        <v>-1</v>
      </c>
      <c r="M2796" t="s">
        <v>69</v>
      </c>
    </row>
    <row r="2797" spans="1:13" x14ac:dyDescent="0.3">
      <c r="A2797" t="s">
        <v>19</v>
      </c>
      <c r="B2797" t="s">
        <v>46</v>
      </c>
      <c r="C2797">
        <v>28.027138875552179</v>
      </c>
      <c r="D2797">
        <v>1.0003368701325219</v>
      </c>
      <c r="E2797">
        <v>0.95518938985988111</v>
      </c>
      <c r="F2797">
        <v>3.2677669350216232</v>
      </c>
      <c r="G2797">
        <v>6.0051419889984734</v>
      </c>
      <c r="H2797">
        <v>20.32599034372085</v>
      </c>
      <c r="I2797">
        <v>31.462291540906001</v>
      </c>
      <c r="J2797">
        <v>26.643380038188759</v>
      </c>
      <c r="K2797">
        <v>737.28574432049038</v>
      </c>
      <c r="L2797">
        <v>-1</v>
      </c>
      <c r="M2797" t="s">
        <v>69</v>
      </c>
    </row>
    <row r="2798" spans="1:13" x14ac:dyDescent="0.3">
      <c r="A2798" t="s">
        <v>25</v>
      </c>
      <c r="B2798" t="s">
        <v>62</v>
      </c>
      <c r="C2798">
        <v>96.051579880602233</v>
      </c>
      <c r="D2798">
        <v>3.8487551331222449</v>
      </c>
      <c r="E2798">
        <v>6.2974744943647014</v>
      </c>
      <c r="F2798">
        <v>14.516151925830821</v>
      </c>
      <c r="G2798">
        <v>6.9641127363954052</v>
      </c>
      <c r="H2798">
        <v>14.65560695699722</v>
      </c>
      <c r="I2798">
        <v>33.214026328534793</v>
      </c>
      <c r="J2798">
        <v>30.723075650258181</v>
      </c>
      <c r="K2798">
        <v>48.334165127477718</v>
      </c>
      <c r="L2798">
        <v>-1</v>
      </c>
      <c r="M2798" t="s">
        <v>69</v>
      </c>
    </row>
    <row r="2799" spans="1:13" x14ac:dyDescent="0.3">
      <c r="A2799" t="s">
        <v>25</v>
      </c>
      <c r="B2799" t="s">
        <v>62</v>
      </c>
      <c r="C2799">
        <v>95.49564685711313</v>
      </c>
      <c r="D2799">
        <v>4.3459834245721449</v>
      </c>
      <c r="E2799">
        <v>6.7516088367706946</v>
      </c>
      <c r="F2799">
        <v>13.012868433476919</v>
      </c>
      <c r="G2799">
        <v>6.8352025107229988</v>
      </c>
      <c r="H2799">
        <v>13.97306419649121</v>
      </c>
      <c r="I2799">
        <v>33.378876453898251</v>
      </c>
      <c r="J2799">
        <v>30.532909214837652</v>
      </c>
      <c r="K2799">
        <v>46.999430320173808</v>
      </c>
      <c r="L2799">
        <v>-1</v>
      </c>
      <c r="M2799" t="s">
        <v>69</v>
      </c>
    </row>
    <row r="2800" spans="1:13" x14ac:dyDescent="0.3">
      <c r="A2800" t="s">
        <v>24</v>
      </c>
      <c r="B2800" t="s">
        <v>60</v>
      </c>
      <c r="C2800">
        <v>501.67100969964753</v>
      </c>
      <c r="D2800">
        <v>24.888806873972818</v>
      </c>
      <c r="E2800">
        <v>35.876563957847168</v>
      </c>
      <c r="F2800">
        <v>81.073942408983839</v>
      </c>
      <c r="G2800">
        <v>5.406189998623792</v>
      </c>
      <c r="H2800">
        <v>65.266105314835698</v>
      </c>
      <c r="I2800">
        <v>30.973163572099299</v>
      </c>
      <c r="J2800">
        <v>30.847089897243141</v>
      </c>
      <c r="K2800">
        <v>11</v>
      </c>
      <c r="L2800">
        <v>-1</v>
      </c>
      <c r="M2800" t="s">
        <v>69</v>
      </c>
    </row>
    <row r="2801" spans="1:13" x14ac:dyDescent="0.3">
      <c r="A2801" t="s">
        <v>24</v>
      </c>
      <c r="B2801" t="s">
        <v>61</v>
      </c>
      <c r="C2801">
        <v>76.670933783072385</v>
      </c>
      <c r="D2801">
        <v>3.974368406811112</v>
      </c>
      <c r="E2801">
        <v>4.7446463510178942</v>
      </c>
      <c r="F2801">
        <v>12.30894250585135</v>
      </c>
      <c r="G2801">
        <v>6.1734912411341538</v>
      </c>
      <c r="H2801">
        <v>15.083760970169051</v>
      </c>
      <c r="I2801">
        <v>35.503143402039299</v>
      </c>
      <c r="J2801">
        <v>31.33908844612024</v>
      </c>
      <c r="K2801">
        <v>48.113654652836658</v>
      </c>
      <c r="L2801">
        <v>-1</v>
      </c>
      <c r="M2801" t="s">
        <v>69</v>
      </c>
    </row>
    <row r="2802" spans="1:13" x14ac:dyDescent="0.3">
      <c r="A2802" t="s">
        <v>24</v>
      </c>
      <c r="B2802" t="s">
        <v>59</v>
      </c>
      <c r="C2802">
        <v>360.204347356455</v>
      </c>
      <c r="D2802">
        <v>17.553918335208561</v>
      </c>
      <c r="E2802">
        <v>27.886000448893402</v>
      </c>
      <c r="F2802">
        <v>56.868015110343691</v>
      </c>
      <c r="G2802">
        <v>5.2284554113552479</v>
      </c>
      <c r="H2802">
        <v>74.716351468689126</v>
      </c>
      <c r="I2802">
        <v>31.326525198642791</v>
      </c>
      <c r="J2802">
        <v>30.282176824722772</v>
      </c>
      <c r="K2802">
        <v>11.03717075933287</v>
      </c>
      <c r="L2802">
        <v>-1</v>
      </c>
      <c r="M2802" t="s">
        <v>69</v>
      </c>
    </row>
    <row r="2803" spans="1:13" x14ac:dyDescent="0.3">
      <c r="A2803" t="s">
        <v>24</v>
      </c>
      <c r="B2803" t="s">
        <v>59</v>
      </c>
      <c r="C2803">
        <v>352.51052186550442</v>
      </c>
      <c r="D2803">
        <v>17.062233273392408</v>
      </c>
      <c r="E2803">
        <v>24.47628004179403</v>
      </c>
      <c r="F2803">
        <v>55.913858636676807</v>
      </c>
      <c r="G2803">
        <v>5.1980508052952983</v>
      </c>
      <c r="H2803">
        <v>75.159991241186347</v>
      </c>
      <c r="I2803">
        <v>30.647557126474531</v>
      </c>
      <c r="J2803">
        <v>30.95227888681767</v>
      </c>
      <c r="K2803">
        <v>11.01547956247714</v>
      </c>
      <c r="L2803">
        <v>-1</v>
      </c>
      <c r="M2803" t="s">
        <v>69</v>
      </c>
    </row>
    <row r="2804" spans="1:13" x14ac:dyDescent="0.3">
      <c r="A2804" t="s">
        <v>25</v>
      </c>
      <c r="B2804" t="s">
        <v>62</v>
      </c>
      <c r="C2804">
        <v>90.989153005553348</v>
      </c>
      <c r="D2804">
        <v>3.5116702506024642</v>
      </c>
      <c r="E2804">
        <v>5.4783208045745084</v>
      </c>
      <c r="F2804">
        <v>15.64863966445637</v>
      </c>
      <c r="G2804">
        <v>6.9966835472889937</v>
      </c>
      <c r="H2804">
        <v>15.589955404334511</v>
      </c>
      <c r="I2804">
        <v>34.123639479917038</v>
      </c>
      <c r="J2804">
        <v>31.371936018938751</v>
      </c>
      <c r="K2804">
        <v>47.6034370542136</v>
      </c>
      <c r="L2804">
        <v>-1</v>
      </c>
      <c r="M2804" t="s">
        <v>69</v>
      </c>
    </row>
    <row r="2805" spans="1:13" x14ac:dyDescent="0.3">
      <c r="A2805" t="s">
        <v>25</v>
      </c>
      <c r="B2805" t="s">
        <v>62</v>
      </c>
      <c r="C2805">
        <v>91.931818931096231</v>
      </c>
      <c r="D2805">
        <v>3.9498305482066032</v>
      </c>
      <c r="E2805">
        <v>6.2332193656198767</v>
      </c>
      <c r="F2805">
        <v>12.77435529805174</v>
      </c>
      <c r="G2805">
        <v>6.9467330368152034</v>
      </c>
      <c r="H2805">
        <v>14.071964853604539</v>
      </c>
      <c r="I2805">
        <v>31.669063818006698</v>
      </c>
      <c r="J2805">
        <v>31.71174978365978</v>
      </c>
      <c r="K2805">
        <v>49.214407738143557</v>
      </c>
      <c r="L2805">
        <v>-1</v>
      </c>
      <c r="M2805" t="s">
        <v>69</v>
      </c>
    </row>
    <row r="2806" spans="1:13" x14ac:dyDescent="0.3">
      <c r="A2806" t="s">
        <v>25</v>
      </c>
      <c r="B2806" t="s">
        <v>62</v>
      </c>
      <c r="C2806">
        <v>91.859279358857506</v>
      </c>
      <c r="D2806">
        <v>3.7929028604115991</v>
      </c>
      <c r="E2806">
        <v>6.0186521268089752</v>
      </c>
      <c r="F2806">
        <v>14.31010691018202</v>
      </c>
      <c r="G2806">
        <v>6.9412823957590417</v>
      </c>
      <c r="H2806">
        <v>14.20255441483364</v>
      </c>
      <c r="I2806">
        <v>32.671287541814692</v>
      </c>
      <c r="J2806">
        <v>31.09342062032426</v>
      </c>
      <c r="K2806">
        <v>49.057215028748487</v>
      </c>
      <c r="L2806">
        <v>-1</v>
      </c>
      <c r="M2806" t="s">
        <v>69</v>
      </c>
    </row>
    <row r="2807" spans="1:13" x14ac:dyDescent="0.3">
      <c r="A2807" t="s">
        <v>24</v>
      </c>
      <c r="B2807" t="s">
        <v>60</v>
      </c>
      <c r="C2807">
        <v>567.08532311395288</v>
      </c>
      <c r="D2807">
        <v>27.333345659334039</v>
      </c>
      <c r="E2807">
        <v>36.161951111942493</v>
      </c>
      <c r="F2807">
        <v>101.6675196858946</v>
      </c>
      <c r="G2807">
        <v>6.1128149731192067</v>
      </c>
      <c r="H2807">
        <v>80.507409473934842</v>
      </c>
      <c r="I2807">
        <v>30.959653615618951</v>
      </c>
      <c r="J2807">
        <v>29.49359768688657</v>
      </c>
      <c r="K2807">
        <v>11</v>
      </c>
      <c r="L2807">
        <v>-1</v>
      </c>
      <c r="M2807" t="s">
        <v>69</v>
      </c>
    </row>
    <row r="2808" spans="1:13" x14ac:dyDescent="0.3">
      <c r="A2808" t="s">
        <v>24</v>
      </c>
      <c r="B2808" t="s">
        <v>61</v>
      </c>
      <c r="C2808">
        <v>319.1215988639367</v>
      </c>
      <c r="D2808">
        <v>15.92392847945235</v>
      </c>
      <c r="E2808">
        <v>19.949174910794579</v>
      </c>
      <c r="F2808">
        <v>52.496457815717683</v>
      </c>
      <c r="G2808">
        <v>4.5456671343208717</v>
      </c>
      <c r="H2808">
        <v>57.930840432982052</v>
      </c>
      <c r="I2808">
        <v>30.000396325730328</v>
      </c>
      <c r="J2808">
        <v>29.739247610653742</v>
      </c>
      <c r="K2808">
        <v>14.50823005825055</v>
      </c>
      <c r="L2808">
        <v>-1</v>
      </c>
      <c r="M2808" t="s">
        <v>69</v>
      </c>
    </row>
    <row r="2809" spans="1:13" x14ac:dyDescent="0.3">
      <c r="A2809" t="s">
        <v>19</v>
      </c>
      <c r="B2809" t="s">
        <v>46</v>
      </c>
      <c r="C2809">
        <v>27.018976938613019</v>
      </c>
      <c r="D2809">
        <v>1.0015506998798029</v>
      </c>
      <c r="E2809">
        <v>0.99792550010099124</v>
      </c>
      <c r="F2809">
        <v>3.9968548867841398</v>
      </c>
      <c r="G2809">
        <v>5.99836222763627</v>
      </c>
      <c r="H2809">
        <v>19.58782056756996</v>
      </c>
      <c r="I2809">
        <v>30.69369895110847</v>
      </c>
      <c r="J2809">
        <v>26.005731946723401</v>
      </c>
      <c r="K2809">
        <v>727.08852999395799</v>
      </c>
      <c r="L2809">
        <v>-1</v>
      </c>
      <c r="M2809" t="s">
        <v>69</v>
      </c>
    </row>
    <row r="2810" spans="1:13" x14ac:dyDescent="0.3">
      <c r="A2810" t="s">
        <v>19</v>
      </c>
      <c r="B2810" t="s">
        <v>46</v>
      </c>
      <c r="C2810">
        <v>46.902804167578218</v>
      </c>
      <c r="D2810">
        <v>2.0023340167828731</v>
      </c>
      <c r="E2810">
        <v>3.0455755031624339</v>
      </c>
      <c r="F2810">
        <v>2.045309634658711</v>
      </c>
      <c r="G2810">
        <v>6.2474729053867444</v>
      </c>
      <c r="H2810">
        <v>21.194595492287331</v>
      </c>
      <c r="I2810">
        <v>29.595966918420348</v>
      </c>
      <c r="J2810">
        <v>26.118207652948161</v>
      </c>
      <c r="K2810">
        <v>726.84031359038045</v>
      </c>
      <c r="L2810">
        <v>-1</v>
      </c>
      <c r="M2810" t="s">
        <v>69</v>
      </c>
    </row>
    <row r="2811" spans="1:13" x14ac:dyDescent="0.3">
      <c r="A2811" t="s">
        <v>24</v>
      </c>
      <c r="B2811" t="s">
        <v>60</v>
      </c>
      <c r="C2811">
        <v>602.35093878559928</v>
      </c>
      <c r="D2811">
        <v>30.839136405780671</v>
      </c>
      <c r="E2811">
        <v>41.338594817191577</v>
      </c>
      <c r="F2811">
        <v>94.562423796688648</v>
      </c>
      <c r="G2811">
        <v>6.180243870523543</v>
      </c>
      <c r="H2811">
        <v>86.029403971301065</v>
      </c>
      <c r="I2811">
        <v>31.275934125147121</v>
      </c>
      <c r="J2811">
        <v>30.755073370307269</v>
      </c>
      <c r="K2811">
        <v>11</v>
      </c>
      <c r="L2811">
        <v>-1</v>
      </c>
      <c r="M2811" t="s">
        <v>69</v>
      </c>
    </row>
    <row r="2812" spans="1:13" x14ac:dyDescent="0.3">
      <c r="A2812" t="s">
        <v>24</v>
      </c>
      <c r="B2812" t="s">
        <v>61</v>
      </c>
      <c r="C2812">
        <v>298.43695065287437</v>
      </c>
      <c r="D2812">
        <v>15.581561496775519</v>
      </c>
      <c r="E2812">
        <v>24.56146722960553</v>
      </c>
      <c r="F2812">
        <v>45.870395131560102</v>
      </c>
      <c r="G2812">
        <v>5.1860632090455248</v>
      </c>
      <c r="H2812">
        <v>83.456786015298775</v>
      </c>
      <c r="I2812">
        <v>30.699247217412179</v>
      </c>
      <c r="J2812">
        <v>30.17398148276979</v>
      </c>
      <c r="K2812">
        <v>11</v>
      </c>
      <c r="L2812">
        <v>-1</v>
      </c>
      <c r="M2812" t="s">
        <v>69</v>
      </c>
    </row>
    <row r="2813" spans="1:13" x14ac:dyDescent="0.3">
      <c r="A2813" t="s">
        <v>25</v>
      </c>
      <c r="B2813" t="s">
        <v>62</v>
      </c>
      <c r="C2813">
        <v>95.210958903706327</v>
      </c>
      <c r="D2813">
        <v>3.8910465353512169</v>
      </c>
      <c r="E2813">
        <v>6.5371556792234928</v>
      </c>
      <c r="F2813">
        <v>13.99029529559521</v>
      </c>
      <c r="G2813">
        <v>6.955553460863042</v>
      </c>
      <c r="H2813">
        <v>14.35221027918544</v>
      </c>
      <c r="I2813">
        <v>33.519872579938401</v>
      </c>
      <c r="J2813">
        <v>31.205393899885681</v>
      </c>
      <c r="K2813">
        <v>47.509372571465519</v>
      </c>
      <c r="L2813">
        <v>-1</v>
      </c>
      <c r="M2813" t="s">
        <v>69</v>
      </c>
    </row>
    <row r="2814" spans="1:13" x14ac:dyDescent="0.3">
      <c r="A2814" t="s">
        <v>24</v>
      </c>
      <c r="B2814" t="s">
        <v>58</v>
      </c>
      <c r="C2814">
        <v>30.032834814371331</v>
      </c>
      <c r="D2814">
        <v>1.027779475928825</v>
      </c>
      <c r="E2814">
        <v>1.834711572009097</v>
      </c>
      <c r="F2814">
        <v>4.3863680379163696</v>
      </c>
      <c r="G2814">
        <v>6.1812639646866163</v>
      </c>
      <c r="H2814">
        <v>21.47268547825427</v>
      </c>
      <c r="I2814">
        <v>30.297748420545279</v>
      </c>
      <c r="J2814">
        <v>25.957338500969382</v>
      </c>
      <c r="K2814">
        <v>749.39908232396374</v>
      </c>
      <c r="L2814">
        <v>-1</v>
      </c>
      <c r="M2814" t="s">
        <v>69</v>
      </c>
    </row>
    <row r="2815" spans="1:13" x14ac:dyDescent="0.3">
      <c r="A2815" t="s">
        <v>24</v>
      </c>
      <c r="B2815" t="s">
        <v>60</v>
      </c>
      <c r="C2815">
        <v>599.53713395303828</v>
      </c>
      <c r="D2815">
        <v>27.123789548284979</v>
      </c>
      <c r="E2815">
        <v>46.456684705201177</v>
      </c>
      <c r="F2815">
        <v>83.167064268704365</v>
      </c>
      <c r="G2815">
        <v>6.0643516111981572</v>
      </c>
      <c r="H2815">
        <v>79.224612551759719</v>
      </c>
      <c r="I2815">
        <v>30.20000390342382</v>
      </c>
      <c r="J2815">
        <v>30.651594905504421</v>
      </c>
      <c r="K2815">
        <v>11.01816015274699</v>
      </c>
      <c r="L2815">
        <v>-1</v>
      </c>
      <c r="M2815" t="s">
        <v>69</v>
      </c>
    </row>
    <row r="2816" spans="1:13" x14ac:dyDescent="0.3">
      <c r="A2816" t="s">
        <v>25</v>
      </c>
      <c r="B2816" t="s">
        <v>62</v>
      </c>
      <c r="C2816">
        <v>92.029294104353795</v>
      </c>
      <c r="D2816">
        <v>3.5607297291840951</v>
      </c>
      <c r="E2816">
        <v>5.6778782082869377</v>
      </c>
      <c r="F2816">
        <v>16.743801382647529</v>
      </c>
      <c r="G2816">
        <v>6.8872974057550902</v>
      </c>
      <c r="H2816">
        <v>13.95391642986824</v>
      </c>
      <c r="I2816">
        <v>30.79909587938787</v>
      </c>
      <c r="J2816">
        <v>31.798580827544821</v>
      </c>
      <c r="K2816">
        <v>46.894444369343319</v>
      </c>
      <c r="L2816">
        <v>-1</v>
      </c>
      <c r="M2816" t="s">
        <v>69</v>
      </c>
    </row>
    <row r="2817" spans="1:13" x14ac:dyDescent="0.3">
      <c r="A2817" t="s">
        <v>24</v>
      </c>
      <c r="B2817" t="s">
        <v>60</v>
      </c>
      <c r="C2817">
        <v>613.55174103075706</v>
      </c>
      <c r="D2817">
        <v>25.825322701751809</v>
      </c>
      <c r="E2817">
        <v>43.805177255508447</v>
      </c>
      <c r="F2817">
        <v>93.950398109338209</v>
      </c>
      <c r="G2817">
        <v>6.1178291701427838</v>
      </c>
      <c r="H2817">
        <v>77.090115912893282</v>
      </c>
      <c r="I2817">
        <v>30.333264256934449</v>
      </c>
      <c r="J2817">
        <v>32.487126342947498</v>
      </c>
      <c r="K2817">
        <v>11.11416477049829</v>
      </c>
      <c r="L2817">
        <v>-1</v>
      </c>
      <c r="M2817" t="s">
        <v>69</v>
      </c>
    </row>
    <row r="2818" spans="1:13" x14ac:dyDescent="0.3">
      <c r="A2818" t="s">
        <v>24</v>
      </c>
      <c r="B2818" t="s">
        <v>60</v>
      </c>
      <c r="C2818">
        <v>514.73253283169288</v>
      </c>
      <c r="D2818">
        <v>21.673065348285341</v>
      </c>
      <c r="E2818">
        <v>37.964632211597177</v>
      </c>
      <c r="F2818">
        <v>83.69498128387832</v>
      </c>
      <c r="G2818">
        <v>5.2424688213069306</v>
      </c>
      <c r="H2818">
        <v>67.840066183845522</v>
      </c>
      <c r="I2818">
        <v>31.420688022846821</v>
      </c>
      <c r="J2818">
        <v>31.458635703547859</v>
      </c>
      <c r="K2818">
        <v>11</v>
      </c>
      <c r="L2818">
        <v>-1</v>
      </c>
      <c r="M2818" t="s">
        <v>69</v>
      </c>
    </row>
    <row r="2819" spans="1:13" x14ac:dyDescent="0.3">
      <c r="A2819" t="s">
        <v>24</v>
      </c>
      <c r="B2819" t="s">
        <v>61</v>
      </c>
      <c r="C2819">
        <v>119.6743825963391</v>
      </c>
      <c r="D2819">
        <v>6.2341863320312099</v>
      </c>
      <c r="E2819">
        <v>6.8999227833093926</v>
      </c>
      <c r="F2819">
        <v>21.72814597820636</v>
      </c>
      <c r="G2819">
        <v>6.0337222715905794</v>
      </c>
      <c r="H2819">
        <v>19.421838106917111</v>
      </c>
      <c r="I2819">
        <v>31.28497925529647</v>
      </c>
      <c r="J2819">
        <v>31.293183994726171</v>
      </c>
      <c r="K2819">
        <v>46.725908719834479</v>
      </c>
      <c r="L2819">
        <v>-1</v>
      </c>
      <c r="M2819" t="s">
        <v>69</v>
      </c>
    </row>
    <row r="2820" spans="1:13" x14ac:dyDescent="0.3">
      <c r="A2820" t="s">
        <v>19</v>
      </c>
      <c r="B2820" t="s">
        <v>47</v>
      </c>
      <c r="C2820">
        <v>29.04858382429455</v>
      </c>
      <c r="D2820">
        <v>1</v>
      </c>
      <c r="E2820">
        <v>1.512145956073637</v>
      </c>
      <c r="F2820">
        <v>4</v>
      </c>
      <c r="G2820">
        <v>5.9487854043926367</v>
      </c>
      <c r="H2820">
        <v>20.47064812532518</v>
      </c>
      <c r="I2820">
        <v>30.341497830748452</v>
      </c>
      <c r="J2820">
        <v>26</v>
      </c>
      <c r="K2820">
        <v>726.99999999999989</v>
      </c>
      <c r="L2820">
        <v>-1</v>
      </c>
      <c r="M2820" t="s">
        <v>69</v>
      </c>
    </row>
    <row r="2821" spans="1:13" x14ac:dyDescent="0.3">
      <c r="A2821" t="s">
        <v>24</v>
      </c>
      <c r="B2821" t="s">
        <v>61</v>
      </c>
      <c r="C2821">
        <v>82.083224204423601</v>
      </c>
      <c r="D2821">
        <v>3.988748681749414</v>
      </c>
      <c r="E2821">
        <v>5.3913671419631504</v>
      </c>
      <c r="F2821">
        <v>10.24489546179313</v>
      </c>
      <c r="G2821">
        <v>6.1725425992539051</v>
      </c>
      <c r="H2821">
        <v>15.406509060449689</v>
      </c>
      <c r="I2821">
        <v>34.887933109085417</v>
      </c>
      <c r="J2821">
        <v>30.49350951531574</v>
      </c>
      <c r="K2821">
        <v>47.596868552816197</v>
      </c>
      <c r="L2821">
        <v>-1</v>
      </c>
      <c r="M2821" t="s">
        <v>69</v>
      </c>
    </row>
    <row r="2822" spans="1:13" x14ac:dyDescent="0.3">
      <c r="A2822" t="s">
        <v>19</v>
      </c>
      <c r="B2822" t="s">
        <v>46</v>
      </c>
      <c r="C2822">
        <v>48.363982332835697</v>
      </c>
      <c r="D2822">
        <v>1.966801333249401</v>
      </c>
      <c r="E2822">
        <v>3.0151841294303612</v>
      </c>
      <c r="F2822">
        <v>2.129901307711437</v>
      </c>
      <c r="G2822">
        <v>6.1173799881464896</v>
      </c>
      <c r="H2822">
        <v>20.585436221370021</v>
      </c>
      <c r="I2822">
        <v>29.825773647114431</v>
      </c>
      <c r="J2822">
        <v>26.303283161177511</v>
      </c>
      <c r="K2822">
        <v>731.71248438682278</v>
      </c>
      <c r="L2822">
        <v>-1</v>
      </c>
      <c r="M2822" t="s">
        <v>69</v>
      </c>
    </row>
    <row r="2823" spans="1:13" x14ac:dyDescent="0.3">
      <c r="A2823" t="s">
        <v>24</v>
      </c>
      <c r="B2823" t="s">
        <v>61</v>
      </c>
      <c r="C2823">
        <v>77.301344226498159</v>
      </c>
      <c r="D2823">
        <v>4.1213008249945897</v>
      </c>
      <c r="E2823">
        <v>5.0936607565708361</v>
      </c>
      <c r="F2823">
        <v>12.74385776749541</v>
      </c>
      <c r="G2823">
        <v>6.1762637764852046</v>
      </c>
      <c r="H2823">
        <v>14.78573636687987</v>
      </c>
      <c r="I2823">
        <v>34.4628033601334</v>
      </c>
      <c r="J2823">
        <v>31.328401847185109</v>
      </c>
      <c r="K2823">
        <v>46.855206222008292</v>
      </c>
      <c r="L2823">
        <v>-1</v>
      </c>
      <c r="M2823" t="s">
        <v>69</v>
      </c>
    </row>
    <row r="2824" spans="1:13" x14ac:dyDescent="0.3">
      <c r="A2824" t="s">
        <v>24</v>
      </c>
      <c r="B2824" t="s">
        <v>60</v>
      </c>
      <c r="C2824">
        <v>490.55739255352557</v>
      </c>
      <c r="D2824">
        <v>24.517595869898791</v>
      </c>
      <c r="E2824">
        <v>38.802915599836368</v>
      </c>
      <c r="F2824">
        <v>77.982359498476825</v>
      </c>
      <c r="G2824">
        <v>5.4268549055874917</v>
      </c>
      <c r="H2824">
        <v>66.488324046987998</v>
      </c>
      <c r="I2824">
        <v>30.883571906654559</v>
      </c>
      <c r="J2824">
        <v>30.33660948531946</v>
      </c>
      <c r="K2824">
        <v>11</v>
      </c>
      <c r="L2824">
        <v>-1</v>
      </c>
      <c r="M2824" t="s">
        <v>69</v>
      </c>
    </row>
    <row r="2825" spans="1:13" x14ac:dyDescent="0.3">
      <c r="A2825" t="s">
        <v>24</v>
      </c>
      <c r="B2825" t="s">
        <v>61</v>
      </c>
      <c r="C2825">
        <v>132.59166243425889</v>
      </c>
      <c r="D2825">
        <v>6.0217651636854459</v>
      </c>
      <c r="E2825">
        <v>8.2082436544319179</v>
      </c>
      <c r="F2825">
        <v>21.15410435259804</v>
      </c>
      <c r="G2825">
        <v>6.311503634183218</v>
      </c>
      <c r="H2825">
        <v>18.328505029687999</v>
      </c>
      <c r="I2825">
        <v>29.72290469028659</v>
      </c>
      <c r="J2825">
        <v>31.086740585374589</v>
      </c>
      <c r="K2825">
        <v>47.812395593612791</v>
      </c>
      <c r="L2825">
        <v>-1</v>
      </c>
      <c r="M2825" t="s">
        <v>69</v>
      </c>
    </row>
    <row r="2826" spans="1:13" x14ac:dyDescent="0.3">
      <c r="A2826" t="s">
        <v>24</v>
      </c>
      <c r="B2826" t="s">
        <v>61</v>
      </c>
      <c r="C2826">
        <v>328.93698423808178</v>
      </c>
      <c r="D2826">
        <v>17.748331760192269</v>
      </c>
      <c r="E2826">
        <v>23.805497775468279</v>
      </c>
      <c r="F2826">
        <v>52.42040861758084</v>
      </c>
      <c r="G2826">
        <v>4.5729484039898827</v>
      </c>
      <c r="H2826">
        <v>53.221557078231967</v>
      </c>
      <c r="I2826">
        <v>29.87200620585012</v>
      </c>
      <c r="J2826">
        <v>31.085298755232259</v>
      </c>
      <c r="K2826">
        <v>13.985795394195749</v>
      </c>
      <c r="L2826">
        <v>-1</v>
      </c>
      <c r="M2826" t="s">
        <v>69</v>
      </c>
    </row>
    <row r="2827" spans="1:13" x14ac:dyDescent="0.3">
      <c r="A2827" t="s">
        <v>25</v>
      </c>
      <c r="B2827" t="s">
        <v>62</v>
      </c>
      <c r="C2827">
        <v>91.175944735691189</v>
      </c>
      <c r="D2827">
        <v>3.5562068848422119</v>
      </c>
      <c r="E2827">
        <v>5.49826545292321</v>
      </c>
      <c r="F2827">
        <v>17.045285979605652</v>
      </c>
      <c r="G2827">
        <v>6.8594770781433434</v>
      </c>
      <c r="H2827">
        <v>13.91267096689082</v>
      </c>
      <c r="I2827">
        <v>30.427370326122261</v>
      </c>
      <c r="J2827">
        <v>31.92696214772193</v>
      </c>
      <c r="K2827">
        <v>46.24058824167264</v>
      </c>
      <c r="L2827">
        <v>-1</v>
      </c>
      <c r="M2827" t="s">
        <v>69</v>
      </c>
    </row>
    <row r="2828" spans="1:13" x14ac:dyDescent="0.3">
      <c r="A2828" t="s">
        <v>25</v>
      </c>
      <c r="B2828" t="s">
        <v>62</v>
      </c>
      <c r="C2828">
        <v>94.00903278813837</v>
      </c>
      <c r="D2828">
        <v>4.4222438008247016</v>
      </c>
      <c r="E2828">
        <v>6.7739770045870493</v>
      </c>
      <c r="F2828">
        <v>13.802783566217769</v>
      </c>
      <c r="G2828">
        <v>6.7135234090691247</v>
      </c>
      <c r="H2828">
        <v>14.40163443450794</v>
      </c>
      <c r="I2828">
        <v>33.829513513242389</v>
      </c>
      <c r="J2828">
        <v>31.635568985902889</v>
      </c>
      <c r="K2828">
        <v>49.019333151955379</v>
      </c>
      <c r="L2828">
        <v>-1</v>
      </c>
      <c r="M2828" t="s">
        <v>69</v>
      </c>
    </row>
    <row r="2829" spans="1:13" x14ac:dyDescent="0.3">
      <c r="A2829" t="s">
        <v>19</v>
      </c>
      <c r="B2829" t="s">
        <v>46</v>
      </c>
      <c r="C2829">
        <v>28.02207085660028</v>
      </c>
      <c r="D2829">
        <v>1.0421571410954491</v>
      </c>
      <c r="E2829">
        <v>0.94151570887592939</v>
      </c>
      <c r="F2829">
        <v>4.0963838858284074</v>
      </c>
      <c r="G2829">
        <v>6.0866478926008662</v>
      </c>
      <c r="H2829">
        <v>19.372273173023519</v>
      </c>
      <c r="I2829">
        <v>30.760869381162859</v>
      </c>
      <c r="J2829">
        <v>26.087098557652979</v>
      </c>
      <c r="K2829">
        <v>727.96910409324244</v>
      </c>
      <c r="L2829">
        <v>-1</v>
      </c>
      <c r="M2829" t="s">
        <v>69</v>
      </c>
    </row>
    <row r="2830" spans="1:13" x14ac:dyDescent="0.3">
      <c r="A2830" t="s">
        <v>25</v>
      </c>
      <c r="B2830" t="s">
        <v>62</v>
      </c>
      <c r="C2830">
        <v>95.759214317746398</v>
      </c>
      <c r="D2830">
        <v>4.3630663945287198</v>
      </c>
      <c r="E2830">
        <v>6.7762475471306729</v>
      </c>
      <c r="F2830">
        <v>13.079040272927219</v>
      </c>
      <c r="G2830">
        <v>6.8328012327454344</v>
      </c>
      <c r="H2830">
        <v>13.977325631785609</v>
      </c>
      <c r="I2830">
        <v>33.392883326726484</v>
      </c>
      <c r="J2830">
        <v>30.543931679457739</v>
      </c>
      <c r="K2830">
        <v>46.987228852511862</v>
      </c>
      <c r="L2830">
        <v>-1</v>
      </c>
      <c r="M2830" t="s">
        <v>69</v>
      </c>
    </row>
    <row r="2831" spans="1:13" x14ac:dyDescent="0.3">
      <c r="A2831" t="s">
        <v>24</v>
      </c>
      <c r="B2831" t="s">
        <v>61</v>
      </c>
      <c r="C2831">
        <v>317.02085477638428</v>
      </c>
      <c r="D2831">
        <v>16.404426873591252</v>
      </c>
      <c r="E2831">
        <v>19.845907093423449</v>
      </c>
      <c r="F2831">
        <v>54.594732210676092</v>
      </c>
      <c r="G2831">
        <v>4.3763313068560414</v>
      </c>
      <c r="H2831">
        <v>60.964441352303943</v>
      </c>
      <c r="I2831">
        <v>29.81962034571692</v>
      </c>
      <c r="J2831">
        <v>28.271904684500878</v>
      </c>
      <c r="K2831">
        <v>14.36069900451503</v>
      </c>
      <c r="L2831">
        <v>-1</v>
      </c>
      <c r="M2831" t="s">
        <v>69</v>
      </c>
    </row>
    <row r="2832" spans="1:13" x14ac:dyDescent="0.3">
      <c r="A2832" t="s">
        <v>24</v>
      </c>
      <c r="B2832" t="s">
        <v>59</v>
      </c>
      <c r="C2832">
        <v>343.95030833779788</v>
      </c>
      <c r="D2832">
        <v>17.58210121389185</v>
      </c>
      <c r="E2832">
        <v>27.610432528736649</v>
      </c>
      <c r="F2832">
        <v>55.844517956860969</v>
      </c>
      <c r="G2832">
        <v>5.2367678203385122</v>
      </c>
      <c r="H2832">
        <v>79.0998599839875</v>
      </c>
      <c r="I2832">
        <v>30.848401225512131</v>
      </c>
      <c r="J2832">
        <v>29.680071197336851</v>
      </c>
      <c r="K2832">
        <v>11.081001122074669</v>
      </c>
      <c r="L2832">
        <v>-1</v>
      </c>
      <c r="M2832" t="s">
        <v>69</v>
      </c>
    </row>
    <row r="2833" spans="1:13" x14ac:dyDescent="0.3">
      <c r="A2833" t="s">
        <v>24</v>
      </c>
      <c r="B2833" t="s">
        <v>61</v>
      </c>
      <c r="C2833">
        <v>717.15870679342095</v>
      </c>
      <c r="D2833">
        <v>34.509669514938992</v>
      </c>
      <c r="E2833">
        <v>45.626691725224227</v>
      </c>
      <c r="F2833">
        <v>114.04954866352161</v>
      </c>
      <c r="G2833">
        <v>5.9413929207357494</v>
      </c>
      <c r="H2833">
        <v>71.392854824281855</v>
      </c>
      <c r="I2833">
        <v>30.11117318187922</v>
      </c>
      <c r="J2833">
        <v>30.536668751843209</v>
      </c>
      <c r="K2833">
        <v>11.083191134362099</v>
      </c>
      <c r="L2833">
        <v>-1</v>
      </c>
      <c r="M2833" t="s">
        <v>69</v>
      </c>
    </row>
    <row r="2834" spans="1:13" x14ac:dyDescent="0.3">
      <c r="A2834" t="s">
        <v>19</v>
      </c>
      <c r="B2834" t="s">
        <v>47</v>
      </c>
      <c r="C2834">
        <v>32.770163233965221</v>
      </c>
      <c r="D2834">
        <v>1.2632797467682719</v>
      </c>
      <c r="E2834">
        <v>1.453030497215767</v>
      </c>
      <c r="F2834">
        <v>3.818710791823499</v>
      </c>
      <c r="G2834">
        <v>6.0646311851076966</v>
      </c>
      <c r="H2834">
        <v>19.63479582154638</v>
      </c>
      <c r="I2834">
        <v>30.596152719949451</v>
      </c>
      <c r="J2834">
        <v>26.227045989917482</v>
      </c>
      <c r="K2834">
        <v>733.26949791187178</v>
      </c>
      <c r="L2834">
        <v>-1</v>
      </c>
      <c r="M2834" t="s">
        <v>69</v>
      </c>
    </row>
    <row r="2835" spans="1:13" x14ac:dyDescent="0.3">
      <c r="A2835" t="s">
        <v>25</v>
      </c>
      <c r="B2835" t="s">
        <v>62</v>
      </c>
      <c r="C2835">
        <v>93.938433756763658</v>
      </c>
      <c r="D2835">
        <v>3.9232908097228698</v>
      </c>
      <c r="E2835">
        <v>6.7243883024741358</v>
      </c>
      <c r="F2835">
        <v>13.4820995436404</v>
      </c>
      <c r="G2835">
        <v>6.9449616729515213</v>
      </c>
      <c r="H2835">
        <v>14.019197719738649</v>
      </c>
      <c r="I2835">
        <v>33.736523292148092</v>
      </c>
      <c r="J2835">
        <v>31.693116348644331</v>
      </c>
      <c r="K2835">
        <v>46.83690307683878</v>
      </c>
      <c r="L2835">
        <v>-1</v>
      </c>
      <c r="M2835" t="s">
        <v>69</v>
      </c>
    </row>
    <row r="2836" spans="1:13" x14ac:dyDescent="0.3">
      <c r="A2836" t="s">
        <v>24</v>
      </c>
      <c r="B2836" t="s">
        <v>61</v>
      </c>
      <c r="C2836">
        <v>685.34661107903594</v>
      </c>
      <c r="D2836">
        <v>33.9306998545444</v>
      </c>
      <c r="E2836">
        <v>47.115284139855049</v>
      </c>
      <c r="F2836">
        <v>108.0597956322592</v>
      </c>
      <c r="G2836">
        <v>5.9991603803917064</v>
      </c>
      <c r="H2836">
        <v>69.773411520316913</v>
      </c>
      <c r="I2836">
        <v>29.369756196823399</v>
      </c>
      <c r="J2836">
        <v>30.99145956309523</v>
      </c>
      <c r="K2836">
        <v>11</v>
      </c>
      <c r="L2836">
        <v>-1</v>
      </c>
      <c r="M2836" t="s">
        <v>69</v>
      </c>
    </row>
    <row r="2837" spans="1:13" x14ac:dyDescent="0.3">
      <c r="A2837" t="s">
        <v>24</v>
      </c>
      <c r="B2837" t="s">
        <v>60</v>
      </c>
      <c r="C2837">
        <v>586.95156138728169</v>
      </c>
      <c r="D2837">
        <v>29.841091913318891</v>
      </c>
      <c r="E2837">
        <v>38.722843509115172</v>
      </c>
      <c r="F2837">
        <v>104.2791481191959</v>
      </c>
      <c r="G2837">
        <v>6.0897634472873694</v>
      </c>
      <c r="H2837">
        <v>82.660462087232474</v>
      </c>
      <c r="I2837">
        <v>31.450710173830149</v>
      </c>
      <c r="J2837">
        <v>30.707462306397719</v>
      </c>
      <c r="K2837">
        <v>11</v>
      </c>
      <c r="L2837">
        <v>-1</v>
      </c>
      <c r="M2837" t="s">
        <v>69</v>
      </c>
    </row>
    <row r="2838" spans="1:13" x14ac:dyDescent="0.3">
      <c r="A2838" t="s">
        <v>25</v>
      </c>
      <c r="B2838" t="s">
        <v>62</v>
      </c>
      <c r="C2838">
        <v>90.273559106835492</v>
      </c>
      <c r="D2838">
        <v>4.1669069155593421</v>
      </c>
      <c r="E2838">
        <v>5.4760123744317584</v>
      </c>
      <c r="F2838">
        <v>12.45674460446202</v>
      </c>
      <c r="G2838">
        <v>6.577575334034079</v>
      </c>
      <c r="H2838">
        <v>13.9</v>
      </c>
      <c r="I2838">
        <v>31.67232795000572</v>
      </c>
      <c r="J2838">
        <v>29.625946022565849</v>
      </c>
      <c r="K2838">
        <v>47.922287361202052</v>
      </c>
      <c r="L2838">
        <v>-1</v>
      </c>
      <c r="M2838" t="s">
        <v>69</v>
      </c>
    </row>
    <row r="2839" spans="1:13" x14ac:dyDescent="0.3">
      <c r="A2839" t="s">
        <v>25</v>
      </c>
      <c r="B2839" t="s">
        <v>62</v>
      </c>
      <c r="C2839">
        <v>86.721436890984009</v>
      </c>
      <c r="D2839">
        <v>4.053174608245298</v>
      </c>
      <c r="E2839">
        <v>5.7950119788360084</v>
      </c>
      <c r="F2839">
        <v>15.18899711764937</v>
      </c>
      <c r="G2839">
        <v>6.7536732962898141</v>
      </c>
      <c r="H2839">
        <v>13.98338661835291</v>
      </c>
      <c r="I2839">
        <v>32.168657215946297</v>
      </c>
      <c r="J2839">
        <v>30.451780394365649</v>
      </c>
      <c r="K2839">
        <v>47.556973145765816</v>
      </c>
      <c r="L2839">
        <v>-1</v>
      </c>
      <c r="M2839" t="s">
        <v>69</v>
      </c>
    </row>
    <row r="2840" spans="1:13" x14ac:dyDescent="0.3">
      <c r="A2840" t="s">
        <v>25</v>
      </c>
      <c r="B2840" t="s">
        <v>62</v>
      </c>
      <c r="C2840">
        <v>94.010579066955884</v>
      </c>
      <c r="D2840">
        <v>3.9369801536416209</v>
      </c>
      <c r="E2840">
        <v>6.1459777877606694</v>
      </c>
      <c r="F2840">
        <v>14.237547120628481</v>
      </c>
      <c r="G2840">
        <v>6.9293498238077111</v>
      </c>
      <c r="H2840">
        <v>14.706249831831951</v>
      </c>
      <c r="I2840">
        <v>33.743054411033242</v>
      </c>
      <c r="J2840">
        <v>30.857828054345479</v>
      </c>
      <c r="K2840">
        <v>48.105253467719884</v>
      </c>
      <c r="L2840">
        <v>-1</v>
      </c>
      <c r="M2840" t="s">
        <v>69</v>
      </c>
    </row>
    <row r="2841" spans="1:13" x14ac:dyDescent="0.3">
      <c r="A2841" t="s">
        <v>25</v>
      </c>
      <c r="B2841" t="s">
        <v>62</v>
      </c>
      <c r="C2841">
        <v>90.983825060320925</v>
      </c>
      <c r="D2841">
        <v>4.2136487334148223</v>
      </c>
      <c r="E2841">
        <v>6.3997086764673492</v>
      </c>
      <c r="F2841">
        <v>13.63874080311934</v>
      </c>
      <c r="G2841">
        <v>6.7354589647181262</v>
      </c>
      <c r="H2841">
        <v>14.59916280124968</v>
      </c>
      <c r="I2841">
        <v>33.9546064748817</v>
      </c>
      <c r="J2841">
        <v>31.78598668868867</v>
      </c>
      <c r="K2841">
        <v>49.575236793052682</v>
      </c>
      <c r="L2841">
        <v>-1</v>
      </c>
      <c r="M2841" t="s">
        <v>69</v>
      </c>
    </row>
    <row r="2842" spans="1:13" x14ac:dyDescent="0.3">
      <c r="A2842" t="s">
        <v>25</v>
      </c>
      <c r="B2842" t="s">
        <v>62</v>
      </c>
      <c r="C2842">
        <v>88.671481973335105</v>
      </c>
      <c r="D2842">
        <v>4.0753715854036789</v>
      </c>
      <c r="E2842">
        <v>5.9426004051460088</v>
      </c>
      <c r="F2842">
        <v>13.580025286773131</v>
      </c>
      <c r="G2842">
        <v>6.7169539829347542</v>
      </c>
      <c r="H2842">
        <v>13.91343771337516</v>
      </c>
      <c r="I2842">
        <v>31.093223679576369</v>
      </c>
      <c r="J2842">
        <v>31.20537893534625</v>
      </c>
      <c r="K2842">
        <v>47.898426892695852</v>
      </c>
      <c r="L2842">
        <v>-1</v>
      </c>
      <c r="M2842" t="s">
        <v>69</v>
      </c>
    </row>
    <row r="2843" spans="1:13" x14ac:dyDescent="0.3">
      <c r="A2843" t="s">
        <v>24</v>
      </c>
      <c r="B2843" t="s">
        <v>60</v>
      </c>
      <c r="C2843">
        <v>522.56631660625521</v>
      </c>
      <c r="D2843">
        <v>27.763885172436868</v>
      </c>
      <c r="E2843">
        <v>33.450424915455571</v>
      </c>
      <c r="F2843">
        <v>80.700178820351852</v>
      </c>
      <c r="G2843">
        <v>5.3689351955372064</v>
      </c>
      <c r="H2843">
        <v>67.133939255465023</v>
      </c>
      <c r="I2843">
        <v>30.39968379164042</v>
      </c>
      <c r="J2843">
        <v>31.551423731637509</v>
      </c>
      <c r="K2843">
        <v>11</v>
      </c>
      <c r="L2843">
        <v>-1</v>
      </c>
      <c r="M2843" t="s">
        <v>69</v>
      </c>
    </row>
    <row r="2844" spans="1:13" x14ac:dyDescent="0.3">
      <c r="A2844" t="s">
        <v>19</v>
      </c>
      <c r="B2844" t="s">
        <v>47</v>
      </c>
      <c r="C2844">
        <v>31.01989449613108</v>
      </c>
      <c r="D2844">
        <v>0.99780680801377164</v>
      </c>
      <c r="E2844">
        <v>2.0056731478868728</v>
      </c>
      <c r="F2844">
        <v>3.963314836243486</v>
      </c>
      <c r="G2844">
        <v>5.8991431792283109</v>
      </c>
      <c r="H2844">
        <v>21.31635764590164</v>
      </c>
      <c r="I2844">
        <v>29.943519465578252</v>
      </c>
      <c r="J2844">
        <v>25.97886791283754</v>
      </c>
      <c r="K2844">
        <v>727.69900620353485</v>
      </c>
      <c r="L2844">
        <v>-1</v>
      </c>
      <c r="M2844" t="s">
        <v>69</v>
      </c>
    </row>
    <row r="2845" spans="1:13" x14ac:dyDescent="0.3">
      <c r="A2845" t="s">
        <v>24</v>
      </c>
      <c r="B2845" t="s">
        <v>61</v>
      </c>
      <c r="C2845">
        <v>348.12841533644291</v>
      </c>
      <c r="D2845">
        <v>16.75137633682365</v>
      </c>
      <c r="E2845">
        <v>25.232553168043339</v>
      </c>
      <c r="F2845">
        <v>58.532271644139463</v>
      </c>
      <c r="G2845">
        <v>4.3117439770082564</v>
      </c>
      <c r="H2845">
        <v>59.170987408427578</v>
      </c>
      <c r="I2845">
        <v>28.996279441512542</v>
      </c>
      <c r="J2845">
        <v>30.90871600034621</v>
      </c>
      <c r="K2845">
        <v>13.859991654142499</v>
      </c>
      <c r="L2845">
        <v>-1</v>
      </c>
      <c r="M2845" t="s">
        <v>69</v>
      </c>
    </row>
    <row r="2846" spans="1:13" x14ac:dyDescent="0.3">
      <c r="A2846" t="s">
        <v>19</v>
      </c>
      <c r="B2846" t="s">
        <v>47</v>
      </c>
      <c r="C2846">
        <v>31.073471500215572</v>
      </c>
      <c r="D2846">
        <v>0.99190041786294758</v>
      </c>
      <c r="E2846">
        <v>2.0209512562392651</v>
      </c>
      <c r="F2846">
        <v>3.8645196139130071</v>
      </c>
      <c r="G2846">
        <v>5.8968357123951707</v>
      </c>
      <c r="H2846">
        <v>21.360409712136949</v>
      </c>
      <c r="I2846">
        <v>29.791414189653189</v>
      </c>
      <c r="J2846">
        <v>25.921958006059459</v>
      </c>
      <c r="K2846">
        <v>729.58146947252749</v>
      </c>
      <c r="L2846">
        <v>-1</v>
      </c>
      <c r="M2846" t="s">
        <v>69</v>
      </c>
    </row>
    <row r="2847" spans="1:13" x14ac:dyDescent="0.3">
      <c r="A2847" t="s">
        <v>24</v>
      </c>
      <c r="B2847" t="s">
        <v>61</v>
      </c>
      <c r="C2847">
        <v>79.086951421610479</v>
      </c>
      <c r="D2847">
        <v>4.1299593612205454</v>
      </c>
      <c r="E2847">
        <v>4.8687562695129154</v>
      </c>
      <c r="F2847">
        <v>11.92363480786614</v>
      </c>
      <c r="G2847">
        <v>6.1370589821340884</v>
      </c>
      <c r="H2847">
        <v>14.952109091780381</v>
      </c>
      <c r="I2847">
        <v>34.357810779674317</v>
      </c>
      <c r="J2847">
        <v>30.940468885450819</v>
      </c>
      <c r="K2847">
        <v>47.142574093002168</v>
      </c>
      <c r="L2847">
        <v>-1</v>
      </c>
      <c r="M2847" t="s">
        <v>69</v>
      </c>
    </row>
    <row r="2848" spans="1:13" x14ac:dyDescent="0.3">
      <c r="A2848" t="s">
        <v>24</v>
      </c>
      <c r="B2848" t="s">
        <v>61</v>
      </c>
      <c r="C2848">
        <v>738.25253330571286</v>
      </c>
      <c r="D2848">
        <v>34.843976500471328</v>
      </c>
      <c r="E2848">
        <v>44.725899081972123</v>
      </c>
      <c r="F2848">
        <v>117.3616937742662</v>
      </c>
      <c r="G2848">
        <v>5.902950841259929</v>
      </c>
      <c r="H2848">
        <v>72.306468615064659</v>
      </c>
      <c r="I2848">
        <v>30.643245148575492</v>
      </c>
      <c r="J2848">
        <v>30.232756376599848</v>
      </c>
      <c r="K2848">
        <v>11.137758607080061</v>
      </c>
      <c r="L2848">
        <v>-1</v>
      </c>
      <c r="M2848" t="s">
        <v>69</v>
      </c>
    </row>
    <row r="2849" spans="1:13" x14ac:dyDescent="0.3">
      <c r="A2849" t="s">
        <v>24</v>
      </c>
      <c r="B2849" t="s">
        <v>60</v>
      </c>
      <c r="C2849">
        <v>596.8388433248798</v>
      </c>
      <c r="D2849">
        <v>30.947884193099931</v>
      </c>
      <c r="E2849">
        <v>41.278606392815107</v>
      </c>
      <c r="F2849">
        <v>93.346763855015155</v>
      </c>
      <c r="G2849">
        <v>6.144451407913186</v>
      </c>
      <c r="H2849">
        <v>85.233395020065529</v>
      </c>
      <c r="I2849">
        <v>31.230449049013352</v>
      </c>
      <c r="J2849">
        <v>30.676676821953411</v>
      </c>
      <c r="K2849">
        <v>11</v>
      </c>
      <c r="L2849">
        <v>-1</v>
      </c>
      <c r="M2849" t="s">
        <v>69</v>
      </c>
    </row>
    <row r="2850" spans="1:13" x14ac:dyDescent="0.3">
      <c r="A2850" t="s">
        <v>25</v>
      </c>
      <c r="B2850" t="s">
        <v>62</v>
      </c>
      <c r="C2850">
        <v>91.502525945837178</v>
      </c>
      <c r="D2850">
        <v>3.9104682771563528</v>
      </c>
      <c r="E2850">
        <v>6.1676168570757044</v>
      </c>
      <c r="F2850">
        <v>12.691360169288309</v>
      </c>
      <c r="G2850">
        <v>6.8698913381873892</v>
      </c>
      <c r="H2850">
        <v>13.9</v>
      </c>
      <c r="I2850">
        <v>33.307488195764194</v>
      </c>
      <c r="J2850">
        <v>30.45944537126287</v>
      </c>
      <c r="K2850">
        <v>47.303259262476331</v>
      </c>
      <c r="L2850">
        <v>-1</v>
      </c>
      <c r="M2850" t="s">
        <v>69</v>
      </c>
    </row>
    <row r="2851" spans="1:13" x14ac:dyDescent="0.3">
      <c r="A2851" t="s">
        <v>24</v>
      </c>
      <c r="B2851" t="s">
        <v>61</v>
      </c>
      <c r="C2851">
        <v>329.55976400354109</v>
      </c>
      <c r="D2851">
        <v>16.601020092368451</v>
      </c>
      <c r="E2851">
        <v>21.959362762572152</v>
      </c>
      <c r="F2851">
        <v>57.070519060697663</v>
      </c>
      <c r="G2851">
        <v>5.2531206339377432</v>
      </c>
      <c r="H2851">
        <v>74.043901222510328</v>
      </c>
      <c r="I2851">
        <v>31.577001193494141</v>
      </c>
      <c r="J2851">
        <v>32.256129585114778</v>
      </c>
      <c r="K2851">
        <v>11</v>
      </c>
      <c r="L2851">
        <v>-1</v>
      </c>
      <c r="M2851" t="s">
        <v>69</v>
      </c>
    </row>
    <row r="2852" spans="1:13" x14ac:dyDescent="0.3">
      <c r="A2852" t="s">
        <v>24</v>
      </c>
      <c r="B2852" t="s">
        <v>59</v>
      </c>
      <c r="C2852">
        <v>331.66271784780582</v>
      </c>
      <c r="D2852">
        <v>15.738034607246091</v>
      </c>
      <c r="E2852">
        <v>24.140254477187192</v>
      </c>
      <c r="F2852">
        <v>50.26593630652858</v>
      </c>
      <c r="G2852">
        <v>5.1342127312581578</v>
      </c>
      <c r="H2852">
        <v>81.471660848739532</v>
      </c>
      <c r="I2852">
        <v>31.114400841289871</v>
      </c>
      <c r="J2852">
        <v>30.163733461778889</v>
      </c>
      <c r="K2852">
        <v>11</v>
      </c>
      <c r="L2852">
        <v>-1</v>
      </c>
      <c r="M2852" t="s">
        <v>69</v>
      </c>
    </row>
    <row r="2853" spans="1:13" x14ac:dyDescent="0.3">
      <c r="A2853" t="s">
        <v>24</v>
      </c>
      <c r="B2853" t="s">
        <v>58</v>
      </c>
      <c r="C2853">
        <v>29.029814566975549</v>
      </c>
      <c r="D2853">
        <v>1.006640372790073</v>
      </c>
      <c r="E2853">
        <v>1.078152659876793</v>
      </c>
      <c r="F2853">
        <v>3.9679956072761371</v>
      </c>
      <c r="G2853">
        <v>5.9272347702415678</v>
      </c>
      <c r="H2853">
        <v>19.292968042314879</v>
      </c>
      <c r="I2853">
        <v>30.207849200310001</v>
      </c>
      <c r="J2853">
        <v>24.928405546515741</v>
      </c>
      <c r="K2853">
        <v>747.24558958248599</v>
      </c>
      <c r="L2853">
        <v>-1</v>
      </c>
      <c r="M2853" t="s">
        <v>69</v>
      </c>
    </row>
    <row r="2854" spans="1:13" x14ac:dyDescent="0.3">
      <c r="A2854" t="s">
        <v>24</v>
      </c>
      <c r="B2854" t="s">
        <v>61</v>
      </c>
      <c r="C2854">
        <v>320.13974049670361</v>
      </c>
      <c r="D2854">
        <v>18.38432290979372</v>
      </c>
      <c r="E2854">
        <v>24.350323948284348</v>
      </c>
      <c r="F2854">
        <v>51.503489049773691</v>
      </c>
      <c r="G2854">
        <v>4.5789268958998788</v>
      </c>
      <c r="H2854">
        <v>51.92732920869301</v>
      </c>
      <c r="I2854">
        <v>29.693076662707821</v>
      </c>
      <c r="J2854">
        <v>30.992992368222801</v>
      </c>
      <c r="K2854">
        <v>13.945566261826119</v>
      </c>
      <c r="L2854">
        <v>-1</v>
      </c>
      <c r="M2854" t="s">
        <v>69</v>
      </c>
    </row>
    <row r="2855" spans="1:13" x14ac:dyDescent="0.3">
      <c r="A2855" t="s">
        <v>24</v>
      </c>
      <c r="B2855" t="s">
        <v>60</v>
      </c>
      <c r="C2855">
        <v>521.495866071519</v>
      </c>
      <c r="D2855">
        <v>23.871289833911149</v>
      </c>
      <c r="E2855">
        <v>30.348711946851001</v>
      </c>
      <c r="F2855">
        <v>79.349473603796554</v>
      </c>
      <c r="G2855">
        <v>5.3951641636695156</v>
      </c>
      <c r="H2855">
        <v>68.557860616014764</v>
      </c>
      <c r="I2855">
        <v>32.34680346266326</v>
      </c>
      <c r="J2855">
        <v>30.299850049010839</v>
      </c>
      <c r="K2855">
        <v>11</v>
      </c>
      <c r="L2855">
        <v>-1</v>
      </c>
      <c r="M2855" t="s">
        <v>69</v>
      </c>
    </row>
    <row r="2856" spans="1:13" x14ac:dyDescent="0.3">
      <c r="A2856" t="s">
        <v>24</v>
      </c>
      <c r="B2856" t="s">
        <v>60</v>
      </c>
      <c r="C2856">
        <v>626.79225080439699</v>
      </c>
      <c r="D2856">
        <v>38.509661926352933</v>
      </c>
      <c r="E2856">
        <v>51.619008714475811</v>
      </c>
      <c r="F2856">
        <v>107.04569458155341</v>
      </c>
      <c r="G2856">
        <v>5.8608180297356727</v>
      </c>
      <c r="H2856">
        <v>77.666422170417135</v>
      </c>
      <c r="I2856">
        <v>30.007184567876571</v>
      </c>
      <c r="J2856">
        <v>32.289688326837783</v>
      </c>
      <c r="K2856">
        <v>11.271389211830639</v>
      </c>
      <c r="L2856">
        <v>-1</v>
      </c>
      <c r="M2856" t="s">
        <v>69</v>
      </c>
    </row>
    <row r="2857" spans="1:13" x14ac:dyDescent="0.3">
      <c r="A2857" t="s">
        <v>24</v>
      </c>
      <c r="B2857" t="s">
        <v>59</v>
      </c>
      <c r="C2857">
        <v>358.16401880036813</v>
      </c>
      <c r="D2857">
        <v>21.173445560920911</v>
      </c>
      <c r="E2857">
        <v>21.811635716377999</v>
      </c>
      <c r="F2857">
        <v>57.721517264883893</v>
      </c>
      <c r="G2857">
        <v>5.2606066079023499</v>
      </c>
      <c r="H2857">
        <v>74.653853812751748</v>
      </c>
      <c r="I2857">
        <v>29.564261980678729</v>
      </c>
      <c r="J2857">
        <v>31.735661740656379</v>
      </c>
      <c r="K2857">
        <v>11</v>
      </c>
      <c r="L2857">
        <v>-1</v>
      </c>
      <c r="M2857" t="s">
        <v>69</v>
      </c>
    </row>
    <row r="2858" spans="1:13" x14ac:dyDescent="0.3">
      <c r="A2858" t="s">
        <v>24</v>
      </c>
      <c r="B2858" t="s">
        <v>61</v>
      </c>
      <c r="C2858">
        <v>321.96127145553032</v>
      </c>
      <c r="D2858">
        <v>17.483297940532982</v>
      </c>
      <c r="E2858">
        <v>24.83859850712043</v>
      </c>
      <c r="F2858">
        <v>45.457673104795873</v>
      </c>
      <c r="G2858">
        <v>4.3</v>
      </c>
      <c r="H2858">
        <v>59.294479085545873</v>
      </c>
      <c r="I2858">
        <v>29.65113533335893</v>
      </c>
      <c r="J2858">
        <v>31.854660561707771</v>
      </c>
      <c r="K2858">
        <v>14.056497359474861</v>
      </c>
      <c r="L2858">
        <v>-1</v>
      </c>
      <c r="M2858" t="s">
        <v>69</v>
      </c>
    </row>
    <row r="2859" spans="1:13" x14ac:dyDescent="0.3">
      <c r="A2859" t="s">
        <v>24</v>
      </c>
      <c r="B2859" t="s">
        <v>61</v>
      </c>
      <c r="C2859">
        <v>78.991900389022334</v>
      </c>
      <c r="D2859">
        <v>4.2710382665063662</v>
      </c>
      <c r="E2859">
        <v>5.0568288783473623</v>
      </c>
      <c r="F2859">
        <v>11.09096933296469</v>
      </c>
      <c r="G2859">
        <v>6.1770344860326807</v>
      </c>
      <c r="H2859">
        <v>14.85898916091883</v>
      </c>
      <c r="I2859">
        <v>33.711131594552903</v>
      </c>
      <c r="J2859">
        <v>30.747405647055359</v>
      </c>
      <c r="K2859">
        <v>49.418215961630949</v>
      </c>
      <c r="L2859">
        <v>-1</v>
      </c>
      <c r="M2859" t="s">
        <v>69</v>
      </c>
    </row>
    <row r="2860" spans="1:13" x14ac:dyDescent="0.3">
      <c r="A2860" t="s">
        <v>24</v>
      </c>
      <c r="B2860" t="s">
        <v>60</v>
      </c>
      <c r="C2860">
        <v>574.51984481210661</v>
      </c>
      <c r="D2860">
        <v>30.164381084117419</v>
      </c>
      <c r="E2860">
        <v>41.432855765705511</v>
      </c>
      <c r="F2860">
        <v>93.985816969150079</v>
      </c>
      <c r="G2860">
        <v>6.1206278572512591</v>
      </c>
      <c r="H2860">
        <v>79.513827210116034</v>
      </c>
      <c r="I2860">
        <v>31.2345553039418</v>
      </c>
      <c r="J2860">
        <v>30.151026489164131</v>
      </c>
      <c r="K2860">
        <v>11.141946578679381</v>
      </c>
      <c r="L2860">
        <v>-1</v>
      </c>
      <c r="M2860" t="s">
        <v>69</v>
      </c>
    </row>
    <row r="2861" spans="1:13" x14ac:dyDescent="0.3">
      <c r="A2861" t="s">
        <v>24</v>
      </c>
      <c r="B2861" t="s">
        <v>61</v>
      </c>
      <c r="C2861">
        <v>122.6030060364015</v>
      </c>
      <c r="D2861">
        <v>6.8322157951234121</v>
      </c>
      <c r="E2861">
        <v>6.5519806836124079</v>
      </c>
      <c r="F2861">
        <v>19.115236387006089</v>
      </c>
      <c r="G2861">
        <v>6.1536341311369087</v>
      </c>
      <c r="H2861">
        <v>21.140942177841971</v>
      </c>
      <c r="I2861">
        <v>31.024339836639509</v>
      </c>
      <c r="J2861">
        <v>30.541485076379061</v>
      </c>
      <c r="K2861">
        <v>46.55132465231236</v>
      </c>
      <c r="L2861">
        <v>-1</v>
      </c>
      <c r="M2861" t="s">
        <v>69</v>
      </c>
    </row>
    <row r="2862" spans="1:13" x14ac:dyDescent="0.3">
      <c r="A2862" t="s">
        <v>24</v>
      </c>
      <c r="B2862" t="s">
        <v>61</v>
      </c>
      <c r="C2862">
        <v>323.46584320826059</v>
      </c>
      <c r="D2862">
        <v>16.876186955808031</v>
      </c>
      <c r="E2862">
        <v>22.828074043255679</v>
      </c>
      <c r="F2862">
        <v>66.362642642527334</v>
      </c>
      <c r="G2862">
        <v>4.4241383167675732</v>
      </c>
      <c r="H2862">
        <v>57.648356432835953</v>
      </c>
      <c r="I2862">
        <v>29.994606087797941</v>
      </c>
      <c r="J2862">
        <v>31.353621572461229</v>
      </c>
      <c r="K2862">
        <v>13.75688489636627</v>
      </c>
      <c r="L2862">
        <v>-1</v>
      </c>
      <c r="M2862" t="s">
        <v>69</v>
      </c>
    </row>
    <row r="2863" spans="1:13" x14ac:dyDescent="0.3">
      <c r="A2863" t="s">
        <v>24</v>
      </c>
      <c r="B2863" t="s">
        <v>61</v>
      </c>
      <c r="C2863">
        <v>351.21797953903041</v>
      </c>
      <c r="D2863">
        <v>14.81498182556464</v>
      </c>
      <c r="E2863">
        <v>23.403757883926239</v>
      </c>
      <c r="F2863">
        <v>55.374898384079401</v>
      </c>
      <c r="G2863">
        <v>4.3088332231820514</v>
      </c>
      <c r="H2863">
        <v>56.605241743453092</v>
      </c>
      <c r="I2863">
        <v>30.38480782056962</v>
      </c>
      <c r="J2863">
        <v>30.000255529774801</v>
      </c>
      <c r="K2863">
        <v>14.151411805152289</v>
      </c>
      <c r="L2863">
        <v>-1</v>
      </c>
      <c r="M2863" t="s">
        <v>69</v>
      </c>
    </row>
    <row r="2864" spans="1:13" x14ac:dyDescent="0.3">
      <c r="A2864" t="s">
        <v>24</v>
      </c>
      <c r="B2864" t="s">
        <v>61</v>
      </c>
      <c r="C2864">
        <v>686.01736241394337</v>
      </c>
      <c r="D2864">
        <v>34.182277429426406</v>
      </c>
      <c r="E2864">
        <v>48.689656388707661</v>
      </c>
      <c r="F2864">
        <v>88.048262522347699</v>
      </c>
      <c r="G2864">
        <v>5.9257530877704543</v>
      </c>
      <c r="H2864">
        <v>65.305297490881202</v>
      </c>
      <c r="I2864">
        <v>30.44050826970614</v>
      </c>
      <c r="J2864">
        <v>30.77688573030488</v>
      </c>
      <c r="K2864">
        <v>11.068698138318499</v>
      </c>
      <c r="L2864">
        <v>-1</v>
      </c>
      <c r="M2864" t="s">
        <v>69</v>
      </c>
    </row>
    <row r="2865" spans="1:13" x14ac:dyDescent="0.3">
      <c r="A2865" t="s">
        <v>24</v>
      </c>
      <c r="B2865" t="s">
        <v>60</v>
      </c>
      <c r="C2865">
        <v>586.06964235873932</v>
      </c>
      <c r="D2865">
        <v>29.691285639076941</v>
      </c>
      <c r="E2865">
        <v>38.950316930858612</v>
      </c>
      <c r="F2865">
        <v>102.2702271801126</v>
      </c>
      <c r="G2865">
        <v>6.1093976002088883</v>
      </c>
      <c r="H2865">
        <v>82.186609103106633</v>
      </c>
      <c r="I2865">
        <v>31.3882454376363</v>
      </c>
      <c r="J2865">
        <v>30.75956598408137</v>
      </c>
      <c r="K2865">
        <v>11</v>
      </c>
      <c r="L2865">
        <v>-1</v>
      </c>
      <c r="M2865" t="s">
        <v>69</v>
      </c>
    </row>
    <row r="2866" spans="1:13" x14ac:dyDescent="0.3">
      <c r="A2866" t="s">
        <v>25</v>
      </c>
      <c r="B2866" t="s">
        <v>62</v>
      </c>
      <c r="C2866">
        <v>91.865762138460383</v>
      </c>
      <c r="D2866">
        <v>3.9020908998728072</v>
      </c>
      <c r="E2866">
        <v>5.6982762336033508</v>
      </c>
      <c r="F2866">
        <v>11.874113580606499</v>
      </c>
      <c r="G2866">
        <v>6.7690477213908693</v>
      </c>
      <c r="H2866">
        <v>14.428139274649091</v>
      </c>
      <c r="I2866">
        <v>31.68060513059481</v>
      </c>
      <c r="J2866">
        <v>29.444257587114262</v>
      </c>
      <c r="K2866">
        <v>47.220082230612661</v>
      </c>
      <c r="L2866">
        <v>-1</v>
      </c>
      <c r="M2866" t="s">
        <v>69</v>
      </c>
    </row>
    <row r="2867" spans="1:13" x14ac:dyDescent="0.3">
      <c r="A2867" t="s">
        <v>25</v>
      </c>
      <c r="B2867" t="s">
        <v>62</v>
      </c>
      <c r="C2867">
        <v>90.739452281997586</v>
      </c>
      <c r="D2867">
        <v>4.3817529148558521</v>
      </c>
      <c r="E2867">
        <v>5.3974829794979966</v>
      </c>
      <c r="F2867">
        <v>13.363986370899569</v>
      </c>
      <c r="G2867">
        <v>6.5933884640722127</v>
      </c>
      <c r="H2867">
        <v>13.9</v>
      </c>
      <c r="I2867">
        <v>31.043099416858361</v>
      </c>
      <c r="J2867">
        <v>29.616942858079309</v>
      </c>
      <c r="K2867">
        <v>47.262493828410918</v>
      </c>
      <c r="L2867">
        <v>-1</v>
      </c>
      <c r="M2867" t="s">
        <v>69</v>
      </c>
    </row>
    <row r="2868" spans="1:13" x14ac:dyDescent="0.3">
      <c r="A2868" t="s">
        <v>24</v>
      </c>
      <c r="B2868" t="s">
        <v>61</v>
      </c>
      <c r="C2868">
        <v>685.5440566611195</v>
      </c>
      <c r="D2868">
        <v>38.387535615512348</v>
      </c>
      <c r="E2868">
        <v>48.771427502477472</v>
      </c>
      <c r="F2868">
        <v>121.6753904493947</v>
      </c>
      <c r="G2868">
        <v>5.945294173641412</v>
      </c>
      <c r="H2868">
        <v>70.437396833670149</v>
      </c>
      <c r="I2868">
        <v>28.734441377046132</v>
      </c>
      <c r="J2868">
        <v>30.341022188324459</v>
      </c>
      <c r="K2868">
        <v>11.007573115065499</v>
      </c>
      <c r="L2868">
        <v>-1</v>
      </c>
      <c r="M2868" t="s">
        <v>69</v>
      </c>
    </row>
    <row r="2869" spans="1:13" x14ac:dyDescent="0.3">
      <c r="A2869" t="s">
        <v>24</v>
      </c>
      <c r="B2869" t="s">
        <v>60</v>
      </c>
      <c r="C2869">
        <v>519.40813945478135</v>
      </c>
      <c r="D2869">
        <v>23.491028656775889</v>
      </c>
      <c r="E2869">
        <v>39.432288260575483</v>
      </c>
      <c r="F2869">
        <v>85.320366303997815</v>
      </c>
      <c r="G2869">
        <v>5.3757070289005693</v>
      </c>
      <c r="H2869">
        <v>67.908584336096936</v>
      </c>
      <c r="I2869">
        <v>31.30177251391164</v>
      </c>
      <c r="J2869">
        <v>31.542171789002911</v>
      </c>
      <c r="K2869">
        <v>11</v>
      </c>
      <c r="L2869">
        <v>-1</v>
      </c>
      <c r="M2869" t="s">
        <v>69</v>
      </c>
    </row>
    <row r="2870" spans="1:13" x14ac:dyDescent="0.3">
      <c r="A2870" t="s">
        <v>24</v>
      </c>
      <c r="B2870" t="s">
        <v>61</v>
      </c>
      <c r="C2870">
        <v>125.4658771709658</v>
      </c>
      <c r="D2870">
        <v>5.342204231943561</v>
      </c>
      <c r="E2870">
        <v>8.4714394225799978</v>
      </c>
      <c r="F2870">
        <v>22.401532640601719</v>
      </c>
      <c r="G2870">
        <v>6.2794487127977581</v>
      </c>
      <c r="H2870">
        <v>20.274005531077439</v>
      </c>
      <c r="I2870">
        <v>30.953928801934421</v>
      </c>
      <c r="J2870">
        <v>31.329708237210301</v>
      </c>
      <c r="K2870">
        <v>46.725742773603322</v>
      </c>
      <c r="L2870">
        <v>-1</v>
      </c>
      <c r="M2870" t="s">
        <v>69</v>
      </c>
    </row>
    <row r="2871" spans="1:13" x14ac:dyDescent="0.3">
      <c r="A2871" t="s">
        <v>24</v>
      </c>
      <c r="B2871" t="s">
        <v>61</v>
      </c>
      <c r="C2871">
        <v>686.33111814743211</v>
      </c>
      <c r="D2871">
        <v>31.545066703412811</v>
      </c>
      <c r="E2871">
        <v>48.061237349848042</v>
      </c>
      <c r="F2871">
        <v>123.7116060458273</v>
      </c>
      <c r="G2871">
        <v>6.1761001520423688</v>
      </c>
      <c r="H2871">
        <v>71.29381000915285</v>
      </c>
      <c r="I2871">
        <v>29.9705661240715</v>
      </c>
      <c r="J2871">
        <v>30.502269224050181</v>
      </c>
      <c r="K2871">
        <v>11</v>
      </c>
      <c r="L2871">
        <v>-1</v>
      </c>
      <c r="M2871" t="s">
        <v>69</v>
      </c>
    </row>
    <row r="2872" spans="1:13" x14ac:dyDescent="0.3">
      <c r="A2872" t="s">
        <v>24</v>
      </c>
      <c r="B2872" t="s">
        <v>58</v>
      </c>
      <c r="C2872">
        <v>31.209472269406959</v>
      </c>
      <c r="D2872">
        <v>0.94228036318600816</v>
      </c>
      <c r="E2872">
        <v>1.9598726652611</v>
      </c>
      <c r="F2872">
        <v>3.4050628845711821</v>
      </c>
      <c r="G2872">
        <v>5.9524228730632878</v>
      </c>
      <c r="H2872">
        <v>21.739222418270909</v>
      </c>
      <c r="I2872">
        <v>29.206266107004321</v>
      </c>
      <c r="J2872">
        <v>26.640336437113429</v>
      </c>
      <c r="K2872">
        <v>756.08700647263663</v>
      </c>
      <c r="L2872">
        <v>-1</v>
      </c>
      <c r="M2872" t="s">
        <v>69</v>
      </c>
    </row>
    <row r="2873" spans="1:13" x14ac:dyDescent="0.3">
      <c r="A2873" t="s">
        <v>24</v>
      </c>
      <c r="B2873" t="s">
        <v>60</v>
      </c>
      <c r="C2873">
        <v>589.20397537743304</v>
      </c>
      <c r="D2873">
        <v>28.588738055160341</v>
      </c>
      <c r="E2873">
        <v>44.633469924094442</v>
      </c>
      <c r="F2873">
        <v>84.412465998323569</v>
      </c>
      <c r="G2873">
        <v>6.0285672146465457</v>
      </c>
      <c r="H2873">
        <v>79.875881166030098</v>
      </c>
      <c r="I2873">
        <v>30.46216666908245</v>
      </c>
      <c r="J2873">
        <v>30.527490671146051</v>
      </c>
      <c r="K2873">
        <v>11.01089899679187</v>
      </c>
      <c r="L2873">
        <v>-1</v>
      </c>
      <c r="M2873" t="s">
        <v>69</v>
      </c>
    </row>
    <row r="2874" spans="1:13" x14ac:dyDescent="0.3">
      <c r="A2874" t="s">
        <v>24</v>
      </c>
      <c r="B2874" t="s">
        <v>59</v>
      </c>
      <c r="C2874">
        <v>338.72152676142468</v>
      </c>
      <c r="D2874">
        <v>19.341407128029459</v>
      </c>
      <c r="E2874">
        <v>23.27237695364682</v>
      </c>
      <c r="F2874">
        <v>54.744393911070247</v>
      </c>
      <c r="G2874">
        <v>5.3261567482575538</v>
      </c>
      <c r="H2874">
        <v>72.525851550032655</v>
      </c>
      <c r="I2874">
        <v>30.323291922937049</v>
      </c>
      <c r="J2874">
        <v>31.513941320136968</v>
      </c>
      <c r="K2874">
        <v>11</v>
      </c>
      <c r="L2874">
        <v>-1</v>
      </c>
      <c r="M2874" t="s">
        <v>69</v>
      </c>
    </row>
    <row r="2875" spans="1:13" x14ac:dyDescent="0.3">
      <c r="A2875" t="s">
        <v>24</v>
      </c>
      <c r="B2875" t="s">
        <v>60</v>
      </c>
      <c r="C2875">
        <v>509.28077595135147</v>
      </c>
      <c r="D2875">
        <v>22.263450780789778</v>
      </c>
      <c r="E2875">
        <v>37.123882536769493</v>
      </c>
      <c r="F2875">
        <v>82.627553070636793</v>
      </c>
      <c r="G2875">
        <v>5.4978403075931022</v>
      </c>
      <c r="H2875">
        <v>64.277299988917363</v>
      </c>
      <c r="I2875">
        <v>30.337071901644869</v>
      </c>
      <c r="J2875">
        <v>31.22388617332329</v>
      </c>
      <c r="K2875">
        <v>11.133167374513279</v>
      </c>
      <c r="L2875">
        <v>-1</v>
      </c>
      <c r="M2875" t="s">
        <v>69</v>
      </c>
    </row>
    <row r="2876" spans="1:13" x14ac:dyDescent="0.3">
      <c r="A2876" t="s">
        <v>24</v>
      </c>
      <c r="B2876" t="s">
        <v>59</v>
      </c>
      <c r="C2876">
        <v>350.68124836575561</v>
      </c>
      <c r="D2876">
        <v>18.57410331347624</v>
      </c>
      <c r="E2876">
        <v>23.741862386509549</v>
      </c>
      <c r="F2876">
        <v>55.331128896157011</v>
      </c>
      <c r="G2876">
        <v>5.3444997502011109</v>
      </c>
      <c r="H2876">
        <v>69.639754129909036</v>
      </c>
      <c r="I2876">
        <v>30.180691894978459</v>
      </c>
      <c r="J2876">
        <v>30.95861800639199</v>
      </c>
      <c r="K2876">
        <v>11.1171478136398</v>
      </c>
      <c r="L2876">
        <v>-1</v>
      </c>
      <c r="M2876" t="s">
        <v>69</v>
      </c>
    </row>
    <row r="2877" spans="1:13" x14ac:dyDescent="0.3">
      <c r="A2877" t="s">
        <v>19</v>
      </c>
      <c r="B2877" t="s">
        <v>46</v>
      </c>
      <c r="C2877">
        <v>26.423015871697331</v>
      </c>
      <c r="D2877">
        <v>1.055520761611807</v>
      </c>
      <c r="E2877">
        <v>0.85021147242206219</v>
      </c>
      <c r="F2877">
        <v>3.6954844657735229</v>
      </c>
      <c r="G2877">
        <v>6.0331863493579627</v>
      </c>
      <c r="H2877">
        <v>19.868442806809771</v>
      </c>
      <c r="I2877">
        <v>29.602386038714432</v>
      </c>
      <c r="J2877">
        <v>26.191715579428749</v>
      </c>
      <c r="K2877">
        <v>728.51601275472206</v>
      </c>
      <c r="L2877">
        <v>-1</v>
      </c>
      <c r="M2877" t="s">
        <v>69</v>
      </c>
    </row>
    <row r="2878" spans="1:13" x14ac:dyDescent="0.3">
      <c r="A2878" t="s">
        <v>24</v>
      </c>
      <c r="B2878" t="s">
        <v>60</v>
      </c>
      <c r="C2878">
        <v>523.75104552770426</v>
      </c>
      <c r="D2878">
        <v>24.343592218085981</v>
      </c>
      <c r="E2878">
        <v>39.945943945212051</v>
      </c>
      <c r="F2878">
        <v>86.193279980997943</v>
      </c>
      <c r="G2878">
        <v>5.4426002097360886</v>
      </c>
      <c r="H2878">
        <v>67.897058737110072</v>
      </c>
      <c r="I2878">
        <v>31.01262802044538</v>
      </c>
      <c r="J2878">
        <v>31.4880780124032</v>
      </c>
      <c r="K2878">
        <v>11.005823490001831</v>
      </c>
      <c r="L2878">
        <v>-1</v>
      </c>
      <c r="M2878" t="s">
        <v>69</v>
      </c>
    </row>
    <row r="2879" spans="1:13" x14ac:dyDescent="0.3">
      <c r="A2879" t="s">
        <v>24</v>
      </c>
      <c r="B2879" t="s">
        <v>60</v>
      </c>
      <c r="C2879">
        <v>496.69615663138791</v>
      </c>
      <c r="D2879">
        <v>24.591861684878449</v>
      </c>
      <c r="E2879">
        <v>36.999870898177583</v>
      </c>
      <c r="F2879">
        <v>79.199624929551163</v>
      </c>
      <c r="G2879">
        <v>5.4723301107315194</v>
      </c>
      <c r="H2879">
        <v>68.333443126763811</v>
      </c>
      <c r="I2879">
        <v>32.192182509562393</v>
      </c>
      <c r="J2879">
        <v>28.95754185922193</v>
      </c>
      <c r="K2879">
        <v>11.04810552596928</v>
      </c>
      <c r="L2879">
        <v>-1</v>
      </c>
      <c r="M2879" t="s">
        <v>69</v>
      </c>
    </row>
    <row r="2880" spans="1:13" x14ac:dyDescent="0.3">
      <c r="A2880" t="s">
        <v>24</v>
      </c>
      <c r="B2880" t="s">
        <v>61</v>
      </c>
      <c r="C2880">
        <v>677.46299322878008</v>
      </c>
      <c r="D2880">
        <v>36.277424770452193</v>
      </c>
      <c r="E2880">
        <v>45.402975160186301</v>
      </c>
      <c r="F2880">
        <v>115.27096184386249</v>
      </c>
      <c r="G2880">
        <v>6.1512744572553126</v>
      </c>
      <c r="H2880">
        <v>73.784179898238961</v>
      </c>
      <c r="I2880">
        <v>30.13364239488503</v>
      </c>
      <c r="J2880">
        <v>30.12435126171215</v>
      </c>
      <c r="K2880">
        <v>11.00775561145929</v>
      </c>
      <c r="L2880">
        <v>-1</v>
      </c>
      <c r="M2880" t="s">
        <v>69</v>
      </c>
    </row>
    <row r="2881" spans="1:13" x14ac:dyDescent="0.3">
      <c r="A2881" t="s">
        <v>24</v>
      </c>
      <c r="B2881" t="s">
        <v>61</v>
      </c>
      <c r="C2881">
        <v>120.6248643138773</v>
      </c>
      <c r="D2881">
        <v>5.7862392795510527</v>
      </c>
      <c r="E2881">
        <v>8.8345179090563839</v>
      </c>
      <c r="F2881">
        <v>21.41383854809748</v>
      </c>
      <c r="G2881">
        <v>6.3555793992449798</v>
      </c>
      <c r="H2881">
        <v>21.117690322141801</v>
      </c>
      <c r="I2881">
        <v>29.90125635035961</v>
      </c>
      <c r="J2881">
        <v>30.856109198223841</v>
      </c>
      <c r="K2881">
        <v>48.484374261410949</v>
      </c>
      <c r="L2881">
        <v>-1</v>
      </c>
      <c r="M2881" t="s">
        <v>69</v>
      </c>
    </row>
    <row r="2882" spans="1:13" x14ac:dyDescent="0.3">
      <c r="A2882" t="s">
        <v>24</v>
      </c>
      <c r="B2882" t="s">
        <v>61</v>
      </c>
      <c r="C2882">
        <v>85.080853519430107</v>
      </c>
      <c r="D2882">
        <v>4.0830060422929932</v>
      </c>
      <c r="E2882">
        <v>5.3049099758481946</v>
      </c>
      <c r="F2882">
        <v>12.93368780904299</v>
      </c>
      <c r="G2882">
        <v>6.2062990420334634</v>
      </c>
      <c r="H2882">
        <v>14.41460677334436</v>
      </c>
      <c r="I2882">
        <v>34.169927324669757</v>
      </c>
      <c r="J2882">
        <v>29.437239294076821</v>
      </c>
      <c r="K2882">
        <v>48.187076729136152</v>
      </c>
      <c r="L2882">
        <v>-1</v>
      </c>
      <c r="M2882" t="s">
        <v>69</v>
      </c>
    </row>
    <row r="2883" spans="1:13" x14ac:dyDescent="0.3">
      <c r="A2883" t="s">
        <v>24</v>
      </c>
      <c r="B2883" t="s">
        <v>61</v>
      </c>
      <c r="C2883">
        <v>131.41941272696511</v>
      </c>
      <c r="D2883">
        <v>5.1678313362640091</v>
      </c>
      <c r="E2883">
        <v>9.1485863948820683</v>
      </c>
      <c r="F2883">
        <v>20.528592881963821</v>
      </c>
      <c r="G2883">
        <v>6.2386797507426799</v>
      </c>
      <c r="H2883">
        <v>20.736634552343691</v>
      </c>
      <c r="I2883">
        <v>29.447991599750399</v>
      </c>
      <c r="J2883">
        <v>30.852399420894731</v>
      </c>
      <c r="K2883">
        <v>48.47444195261528</v>
      </c>
      <c r="L2883">
        <v>-1</v>
      </c>
      <c r="M2883" t="s">
        <v>69</v>
      </c>
    </row>
    <row r="2884" spans="1:13" x14ac:dyDescent="0.3">
      <c r="A2884" t="s">
        <v>24</v>
      </c>
      <c r="B2884" t="s">
        <v>61</v>
      </c>
      <c r="C2884">
        <v>80.387633805347363</v>
      </c>
      <c r="D2884">
        <v>3.9831270299144221</v>
      </c>
      <c r="E2884">
        <v>4.8463554799701356</v>
      </c>
      <c r="F2884">
        <v>12.93495131486991</v>
      </c>
      <c r="G2884">
        <v>6.160298628958647</v>
      </c>
      <c r="H2884">
        <v>15.001470181997041</v>
      </c>
      <c r="I2884">
        <v>34.273678944780862</v>
      </c>
      <c r="J2884">
        <v>32.06409572386881</v>
      </c>
      <c r="K2884">
        <v>47.597686156114612</v>
      </c>
      <c r="L2884">
        <v>-1</v>
      </c>
      <c r="M2884" t="s">
        <v>69</v>
      </c>
    </row>
    <row r="2885" spans="1:13" x14ac:dyDescent="0.3">
      <c r="A2885" t="s">
        <v>24</v>
      </c>
      <c r="B2885" t="s">
        <v>61</v>
      </c>
      <c r="C2885">
        <v>335.73636944716128</v>
      </c>
      <c r="D2885">
        <v>17.779399243020631</v>
      </c>
      <c r="E2885">
        <v>23.043227981652461</v>
      </c>
      <c r="F2885">
        <v>51.152754979062927</v>
      </c>
      <c r="G2885">
        <v>4.3097973990030152</v>
      </c>
      <c r="H2885">
        <v>57.978526926646609</v>
      </c>
      <c r="I2885">
        <v>29.70439279131157</v>
      </c>
      <c r="J2885">
        <v>31.351945407942939</v>
      </c>
      <c r="K2885">
        <v>13.880558986462351</v>
      </c>
      <c r="L2885">
        <v>-1</v>
      </c>
      <c r="M2885" t="s">
        <v>69</v>
      </c>
    </row>
    <row r="2886" spans="1:13" x14ac:dyDescent="0.3">
      <c r="A2886" t="s">
        <v>24</v>
      </c>
      <c r="B2886" t="s">
        <v>61</v>
      </c>
      <c r="C2886">
        <v>341.89047485359413</v>
      </c>
      <c r="D2886">
        <v>17.462995022403572</v>
      </c>
      <c r="E2886">
        <v>21.609405295750101</v>
      </c>
      <c r="F2886">
        <v>52.710544878938947</v>
      </c>
      <c r="G2886">
        <v>4.4314790414050451</v>
      </c>
      <c r="H2886">
        <v>55.022693715933833</v>
      </c>
      <c r="I2886">
        <v>30.590090954666071</v>
      </c>
      <c r="J2886">
        <v>31.088254471007591</v>
      </c>
      <c r="K2886">
        <v>14.286798594328269</v>
      </c>
      <c r="L2886">
        <v>-1</v>
      </c>
      <c r="M2886" t="s">
        <v>69</v>
      </c>
    </row>
    <row r="2887" spans="1:13" x14ac:dyDescent="0.3">
      <c r="A2887" t="s">
        <v>24</v>
      </c>
      <c r="B2887" t="s">
        <v>61</v>
      </c>
      <c r="C2887">
        <v>354.15817764506801</v>
      </c>
      <c r="D2887">
        <v>15.27006330648365</v>
      </c>
      <c r="E2887">
        <v>24.35981305827621</v>
      </c>
      <c r="F2887">
        <v>58.369283302887361</v>
      </c>
      <c r="G2887">
        <v>4.3</v>
      </c>
      <c r="H2887">
        <v>56.876794725131262</v>
      </c>
      <c r="I2887">
        <v>29.80423698982516</v>
      </c>
      <c r="J2887">
        <v>30.28448006284323</v>
      </c>
      <c r="K2887">
        <v>14.010079980800359</v>
      </c>
      <c r="L2887">
        <v>-1</v>
      </c>
      <c r="M2887" t="s">
        <v>69</v>
      </c>
    </row>
    <row r="2888" spans="1:13" x14ac:dyDescent="0.3">
      <c r="A2888" t="s">
        <v>24</v>
      </c>
      <c r="B2888" t="s">
        <v>61</v>
      </c>
      <c r="C2888">
        <v>339.53908023939579</v>
      </c>
      <c r="D2888">
        <v>16.750434105958181</v>
      </c>
      <c r="E2888">
        <v>22.020164860421659</v>
      </c>
      <c r="F2888">
        <v>53.081490673541701</v>
      </c>
      <c r="G2888">
        <v>4.3387269652816531</v>
      </c>
      <c r="H2888">
        <v>56.317075410247227</v>
      </c>
      <c r="I2888">
        <v>30.09101961833511</v>
      </c>
      <c r="J2888">
        <v>31.05351294740769</v>
      </c>
      <c r="K2888">
        <v>14.17389983668431</v>
      </c>
      <c r="L2888">
        <v>-1</v>
      </c>
      <c r="M2888" t="s">
        <v>69</v>
      </c>
    </row>
    <row r="2889" spans="1:13" x14ac:dyDescent="0.3">
      <c r="A2889" t="s">
        <v>24</v>
      </c>
      <c r="B2889" t="s">
        <v>60</v>
      </c>
      <c r="C2889">
        <v>531.85987633512377</v>
      </c>
      <c r="D2889">
        <v>25.718129459369951</v>
      </c>
      <c r="E2889">
        <v>41.897633088879459</v>
      </c>
      <c r="F2889">
        <v>94.032625323609892</v>
      </c>
      <c r="G2889">
        <v>5.365904100527068</v>
      </c>
      <c r="H2889">
        <v>64.415714702139127</v>
      </c>
      <c r="I2889">
        <v>32.158184855727747</v>
      </c>
      <c r="J2889">
        <v>30.111577512615959</v>
      </c>
      <c r="K2889">
        <v>11.0028643399462</v>
      </c>
      <c r="L2889">
        <v>-1</v>
      </c>
      <c r="M2889" t="s">
        <v>69</v>
      </c>
    </row>
    <row r="2890" spans="1:13" x14ac:dyDescent="0.3">
      <c r="A2890" t="s">
        <v>19</v>
      </c>
      <c r="B2890" t="s">
        <v>46</v>
      </c>
      <c r="C2890">
        <v>28.157780771075291</v>
      </c>
      <c r="D2890">
        <v>1.057201318665304</v>
      </c>
      <c r="E2890">
        <v>0.98192844993922357</v>
      </c>
      <c r="F2890">
        <v>4.2605439847870876</v>
      </c>
      <c r="G2890">
        <v>6.0537899646373674</v>
      </c>
      <c r="H2890">
        <v>19.29964072376594</v>
      </c>
      <c r="I2890">
        <v>30.716627577314519</v>
      </c>
      <c r="J2890">
        <v>26.15943901510137</v>
      </c>
      <c r="K2890">
        <v>734.89780532018744</v>
      </c>
      <c r="L2890">
        <v>-1</v>
      </c>
      <c r="M2890" t="s">
        <v>69</v>
      </c>
    </row>
    <row r="2891" spans="1:13" x14ac:dyDescent="0.3">
      <c r="A2891" t="s">
        <v>24</v>
      </c>
      <c r="B2891" t="s">
        <v>59</v>
      </c>
      <c r="C2891">
        <v>361.26050256662529</v>
      </c>
      <c r="D2891">
        <v>17.205542999022551</v>
      </c>
      <c r="E2891">
        <v>26.323894258847162</v>
      </c>
      <c r="F2891">
        <v>56.221440558714939</v>
      </c>
      <c r="G2891">
        <v>5.1602501379050212</v>
      </c>
      <c r="H2891">
        <v>74.265936003453248</v>
      </c>
      <c r="I2891">
        <v>30.860848105057642</v>
      </c>
      <c r="J2891">
        <v>30.853095527805049</v>
      </c>
      <c r="K2891">
        <v>11.09524676059277</v>
      </c>
      <c r="L2891">
        <v>-1</v>
      </c>
      <c r="M2891" t="s">
        <v>69</v>
      </c>
    </row>
    <row r="2892" spans="1:13" x14ac:dyDescent="0.3">
      <c r="A2892" t="s">
        <v>24</v>
      </c>
      <c r="B2892" t="s">
        <v>61</v>
      </c>
      <c r="C2892">
        <v>83.43543718776283</v>
      </c>
      <c r="D2892">
        <v>4.0801886407579646</v>
      </c>
      <c r="E2892">
        <v>4.9943365267162836</v>
      </c>
      <c r="F2892">
        <v>10.90905508980309</v>
      </c>
      <c r="G2892">
        <v>6.1692221312438242</v>
      </c>
      <c r="H2892">
        <v>14.976218486186029</v>
      </c>
      <c r="I2892">
        <v>34.565941486821842</v>
      </c>
      <c r="J2892">
        <v>30.267752981646051</v>
      </c>
      <c r="K2892">
        <v>48.775666176786672</v>
      </c>
      <c r="L2892">
        <v>-1</v>
      </c>
      <c r="M2892" t="s">
        <v>69</v>
      </c>
    </row>
    <row r="2893" spans="1:13" x14ac:dyDescent="0.3">
      <c r="A2893" t="s">
        <v>19</v>
      </c>
      <c r="B2893" t="s">
        <v>46</v>
      </c>
      <c r="C2893">
        <v>27.51440391687586</v>
      </c>
      <c r="D2893">
        <v>0.99636333771456798</v>
      </c>
      <c r="E2893">
        <v>0.83562076657487694</v>
      </c>
      <c r="F2893">
        <v>3.6266227781469151</v>
      </c>
      <c r="G2893">
        <v>6.1712915165166367</v>
      </c>
      <c r="H2893">
        <v>19.61119078678664</v>
      </c>
      <c r="I2893">
        <v>30.908769804636929</v>
      </c>
      <c r="J2893">
        <v>25.847877861716889</v>
      </c>
      <c r="K2893">
        <v>708.62717410624862</v>
      </c>
      <c r="L2893">
        <v>-1</v>
      </c>
      <c r="M2893" t="s">
        <v>69</v>
      </c>
    </row>
    <row r="2894" spans="1:13" x14ac:dyDescent="0.3">
      <c r="A2894" t="s">
        <v>19</v>
      </c>
      <c r="B2894" t="s">
        <v>46</v>
      </c>
      <c r="C2894">
        <v>26.190696248254401</v>
      </c>
      <c r="D2894">
        <v>0.91947251658241091</v>
      </c>
      <c r="E2894">
        <v>0.97721390073444336</v>
      </c>
      <c r="F2894">
        <v>4.2129381901999583</v>
      </c>
      <c r="G2894">
        <v>5.8893886742829968</v>
      </c>
      <c r="H2894">
        <v>18.876089177405721</v>
      </c>
      <c r="I2894">
        <v>30.77946132386802</v>
      </c>
      <c r="J2894">
        <v>26.2555503221399</v>
      </c>
      <c r="K2894">
        <v>724.41155179117152</v>
      </c>
      <c r="L2894">
        <v>-1</v>
      </c>
      <c r="M2894" t="s">
        <v>69</v>
      </c>
    </row>
    <row r="2895" spans="1:13" x14ac:dyDescent="0.3">
      <c r="A2895" t="s">
        <v>19</v>
      </c>
      <c r="B2895" t="s">
        <v>46</v>
      </c>
      <c r="C2895">
        <v>45.713979172709777</v>
      </c>
      <c r="D2895">
        <v>1.9049046820254061</v>
      </c>
      <c r="E2895">
        <v>3.256661359601285</v>
      </c>
      <c r="F2895">
        <v>1.909204110538566</v>
      </c>
      <c r="G2895">
        <v>6.1673622127871166</v>
      </c>
      <c r="H2895">
        <v>21.44770828730978</v>
      </c>
      <c r="I2895">
        <v>28.932521161372591</v>
      </c>
      <c r="J2895">
        <v>25.93224245867351</v>
      </c>
      <c r="K2895">
        <v>729.25366830770417</v>
      </c>
      <c r="L2895">
        <v>-1</v>
      </c>
      <c r="M2895" t="s">
        <v>69</v>
      </c>
    </row>
    <row r="2896" spans="1:13" x14ac:dyDescent="0.3">
      <c r="A2896" t="s">
        <v>24</v>
      </c>
      <c r="B2896" t="s">
        <v>61</v>
      </c>
      <c r="C2896">
        <v>345.21830333468853</v>
      </c>
      <c r="D2896">
        <v>16.89941281134119</v>
      </c>
      <c r="E2896">
        <v>23.532495043737171</v>
      </c>
      <c r="F2896">
        <v>54.897071258358871</v>
      </c>
      <c r="G2896">
        <v>4.5978755390256687</v>
      </c>
      <c r="H2896">
        <v>54.432244457891322</v>
      </c>
      <c r="I2896">
        <v>30.28174115892903</v>
      </c>
      <c r="J2896">
        <v>30.91155241501621</v>
      </c>
      <c r="K2896">
        <v>14.086099830421739</v>
      </c>
      <c r="L2896">
        <v>-1</v>
      </c>
      <c r="M2896" t="s">
        <v>69</v>
      </c>
    </row>
    <row r="2897" spans="1:13" x14ac:dyDescent="0.3">
      <c r="A2897" t="s">
        <v>19</v>
      </c>
      <c r="B2897" t="s">
        <v>46</v>
      </c>
      <c r="C2897">
        <v>28.050073475401959</v>
      </c>
      <c r="D2897">
        <v>1.0086276111133781</v>
      </c>
      <c r="E2897">
        <v>0.96366580513835931</v>
      </c>
      <c r="F2897">
        <v>3.3652847948594311</v>
      </c>
      <c r="G2897">
        <v>6.0121775149048586</v>
      </c>
      <c r="H2897">
        <v>20.312828532480609</v>
      </c>
      <c r="I2897">
        <v>31.315069272996599</v>
      </c>
      <c r="J2897">
        <v>26.527787698826721</v>
      </c>
      <c r="K2897">
        <v>738.82690856902968</v>
      </c>
      <c r="L2897">
        <v>-1</v>
      </c>
      <c r="M2897" t="s">
        <v>69</v>
      </c>
    </row>
    <row r="2898" spans="1:13" x14ac:dyDescent="0.3">
      <c r="A2898" t="s">
        <v>24</v>
      </c>
      <c r="B2898" t="s">
        <v>60</v>
      </c>
      <c r="C2898">
        <v>490.449693982231</v>
      </c>
      <c r="D2898">
        <v>24.569423545366082</v>
      </c>
      <c r="E2898">
        <v>38.979799778081343</v>
      </c>
      <c r="F2898">
        <v>77.961481423950062</v>
      </c>
      <c r="G2898">
        <v>5.4505819644429634</v>
      </c>
      <c r="H2898">
        <v>66.854761313914679</v>
      </c>
      <c r="I2898">
        <v>31.215078384335541</v>
      </c>
      <c r="J2898">
        <v>29.707927761518249</v>
      </c>
      <c r="K2898">
        <v>11.02345490707876</v>
      </c>
      <c r="L2898">
        <v>-1</v>
      </c>
      <c r="M2898" t="s">
        <v>69</v>
      </c>
    </row>
    <row r="2899" spans="1:13" x14ac:dyDescent="0.3">
      <c r="A2899" t="s">
        <v>24</v>
      </c>
      <c r="B2899" t="s">
        <v>58</v>
      </c>
      <c r="C2899">
        <v>30.50158663177038</v>
      </c>
      <c r="D2899">
        <v>0.9408770533514681</v>
      </c>
      <c r="E2899">
        <v>1.8183919775873489</v>
      </c>
      <c r="F2899">
        <v>3.4150925920191511</v>
      </c>
      <c r="G2899">
        <v>5.9606301270829416</v>
      </c>
      <c r="H2899">
        <v>21.48832128390459</v>
      </c>
      <c r="I2899">
        <v>29.161502503901531</v>
      </c>
      <c r="J2899">
        <v>26.636586640474981</v>
      </c>
      <c r="K2899">
        <v>753.98503814864227</v>
      </c>
      <c r="L2899">
        <v>-1</v>
      </c>
      <c r="M2899" t="s">
        <v>69</v>
      </c>
    </row>
    <row r="2900" spans="1:13" x14ac:dyDescent="0.3">
      <c r="A2900" t="s">
        <v>24</v>
      </c>
      <c r="B2900" t="s">
        <v>61</v>
      </c>
      <c r="C2900">
        <v>182.5420750703457</v>
      </c>
      <c r="D2900">
        <v>8.2143290684730097</v>
      </c>
      <c r="E2900">
        <v>12.40275924689537</v>
      </c>
      <c r="F2900">
        <v>29.38372728331791</v>
      </c>
      <c r="G2900">
        <v>6.1016577168680728</v>
      </c>
      <c r="H2900">
        <v>24.48980781853361</v>
      </c>
      <c r="I2900">
        <v>29.876194871597079</v>
      </c>
      <c r="J2900">
        <v>31.201015074025712</v>
      </c>
      <c r="K2900">
        <v>14.100769966371219</v>
      </c>
      <c r="L2900">
        <v>-1</v>
      </c>
      <c r="M2900" t="s">
        <v>69</v>
      </c>
    </row>
    <row r="2901" spans="1:13" x14ac:dyDescent="0.3">
      <c r="A2901" t="s">
        <v>24</v>
      </c>
      <c r="B2901" t="s">
        <v>61</v>
      </c>
      <c r="C2901">
        <v>304.73922719137289</v>
      </c>
      <c r="D2901">
        <v>16.691519849609641</v>
      </c>
      <c r="E2901">
        <v>24.860855439863979</v>
      </c>
      <c r="F2901">
        <v>58.533737638381737</v>
      </c>
      <c r="G2901">
        <v>4.4449777952513596</v>
      </c>
      <c r="H2901">
        <v>60.1748618586265</v>
      </c>
      <c r="I2901">
        <v>30.01248848501346</v>
      </c>
      <c r="J2901">
        <v>30.408477806606861</v>
      </c>
      <c r="K2901">
        <v>13.646424669680981</v>
      </c>
      <c r="L2901">
        <v>-1</v>
      </c>
      <c r="M2901" t="s">
        <v>69</v>
      </c>
    </row>
    <row r="2902" spans="1:13" x14ac:dyDescent="0.3">
      <c r="A2902" t="s">
        <v>24</v>
      </c>
      <c r="B2902" t="s">
        <v>61</v>
      </c>
      <c r="C2902">
        <v>81.647075416675008</v>
      </c>
      <c r="D2902">
        <v>3.989986582334943</v>
      </c>
      <c r="E2902">
        <v>5.4108974827535956</v>
      </c>
      <c r="F2902">
        <v>10.745832265707129</v>
      </c>
      <c r="G2902">
        <v>6.1865097319202107</v>
      </c>
      <c r="H2902">
        <v>15.33086607709215</v>
      </c>
      <c r="I2902">
        <v>34.89920021710013</v>
      </c>
      <c r="J2902">
        <v>30.625809014090901</v>
      </c>
      <c r="K2902">
        <v>47.517519155040873</v>
      </c>
      <c r="L2902">
        <v>-1</v>
      </c>
      <c r="M2902" t="s">
        <v>69</v>
      </c>
    </row>
    <row r="2903" spans="1:13" x14ac:dyDescent="0.3">
      <c r="A2903" t="s">
        <v>24</v>
      </c>
      <c r="B2903" t="s">
        <v>61</v>
      </c>
      <c r="C2903">
        <v>133.03579938271929</v>
      </c>
      <c r="D2903">
        <v>5.6812140900137882</v>
      </c>
      <c r="E2903">
        <v>7.5452113908665961</v>
      </c>
      <c r="F2903">
        <v>20.476599940280469</v>
      </c>
      <c r="G2903">
        <v>6.3348041863211222</v>
      </c>
      <c r="H2903">
        <v>18.261749370910739</v>
      </c>
      <c r="I2903">
        <v>30.065312103738851</v>
      </c>
      <c r="J2903">
        <v>30.786046272873911</v>
      </c>
      <c r="K2903">
        <v>48.004501223655097</v>
      </c>
      <c r="L2903">
        <v>-1</v>
      </c>
      <c r="M2903" t="s">
        <v>69</v>
      </c>
    </row>
    <row r="2904" spans="1:13" x14ac:dyDescent="0.3">
      <c r="A2904" t="s">
        <v>25</v>
      </c>
      <c r="B2904" t="s">
        <v>62</v>
      </c>
      <c r="C2904">
        <v>86.720961787873222</v>
      </c>
      <c r="D2904">
        <v>4.02371918963496</v>
      </c>
      <c r="E2904">
        <v>5.6261680217703667</v>
      </c>
      <c r="F2904">
        <v>14.24915149796761</v>
      </c>
      <c r="G2904">
        <v>6.7117111754114127</v>
      </c>
      <c r="H2904">
        <v>14.051851421559171</v>
      </c>
      <c r="I2904">
        <v>31.98262506104183</v>
      </c>
      <c r="J2904">
        <v>30.766246829095252</v>
      </c>
      <c r="K2904">
        <v>47.761456068547893</v>
      </c>
      <c r="L2904">
        <v>-1</v>
      </c>
      <c r="M2904" t="s">
        <v>69</v>
      </c>
    </row>
    <row r="2905" spans="1:13" x14ac:dyDescent="0.3">
      <c r="A2905" t="s">
        <v>24</v>
      </c>
      <c r="B2905" t="s">
        <v>60</v>
      </c>
      <c r="C2905">
        <v>513.0271824826018</v>
      </c>
      <c r="D2905">
        <v>26.262997311127119</v>
      </c>
      <c r="E2905">
        <v>34.291899249402007</v>
      </c>
      <c r="F2905">
        <v>81.406027909113817</v>
      </c>
      <c r="G2905">
        <v>5.3858044882260412</v>
      </c>
      <c r="H2905">
        <v>65.920830858318908</v>
      </c>
      <c r="I2905">
        <v>30.72567682458541</v>
      </c>
      <c r="J2905">
        <v>31.251981050911681</v>
      </c>
      <c r="K2905">
        <v>11</v>
      </c>
      <c r="L2905">
        <v>-1</v>
      </c>
      <c r="M2905" t="s">
        <v>69</v>
      </c>
    </row>
    <row r="2906" spans="1:13" x14ac:dyDescent="0.3">
      <c r="A2906" t="s">
        <v>25</v>
      </c>
      <c r="B2906" t="s">
        <v>62</v>
      </c>
      <c r="C2906">
        <v>90.701043564506932</v>
      </c>
      <c r="D2906">
        <v>3.7638053638102131</v>
      </c>
      <c r="E2906">
        <v>6.0508774772835112</v>
      </c>
      <c r="F2906">
        <v>13.9466329455528</v>
      </c>
      <c r="G2906">
        <v>6.7993316041143288</v>
      </c>
      <c r="H2906">
        <v>14.5623350904382</v>
      </c>
      <c r="I2906">
        <v>34.864898183034562</v>
      </c>
      <c r="J2906">
        <v>30.740508086212369</v>
      </c>
      <c r="K2906">
        <v>48.071377764149702</v>
      </c>
      <c r="L2906">
        <v>-1</v>
      </c>
      <c r="M2906" t="s">
        <v>69</v>
      </c>
    </row>
    <row r="2907" spans="1:13" x14ac:dyDescent="0.3">
      <c r="A2907" t="s">
        <v>24</v>
      </c>
      <c r="B2907" t="s">
        <v>61</v>
      </c>
      <c r="C2907">
        <v>685.39584033478025</v>
      </c>
      <c r="D2907">
        <v>34.161475288167658</v>
      </c>
      <c r="E2907">
        <v>47.182864978318023</v>
      </c>
      <c r="F2907">
        <v>109.7675157231259</v>
      </c>
      <c r="G2907">
        <v>5.994119489178062</v>
      </c>
      <c r="H2907">
        <v>69.997227818011879</v>
      </c>
      <c r="I2907">
        <v>29.27652335884374</v>
      </c>
      <c r="J2907">
        <v>30.97326203210417</v>
      </c>
      <c r="K2907">
        <v>11</v>
      </c>
      <c r="L2907">
        <v>-1</v>
      </c>
      <c r="M2907" t="s">
        <v>69</v>
      </c>
    </row>
    <row r="2908" spans="1:13" x14ac:dyDescent="0.3">
      <c r="A2908" t="s">
        <v>24</v>
      </c>
      <c r="B2908" t="s">
        <v>61</v>
      </c>
      <c r="C2908">
        <v>77.135308407609429</v>
      </c>
      <c r="D2908">
        <v>4.3000205905957989</v>
      </c>
      <c r="E2908">
        <v>5.4545615137446291</v>
      </c>
      <c r="F2908">
        <v>11.10353334724477</v>
      </c>
      <c r="G2908">
        <v>6.1785975763732877</v>
      </c>
      <c r="H2908">
        <v>14.429178591344121</v>
      </c>
      <c r="I2908">
        <v>34.222075086845443</v>
      </c>
      <c r="J2908">
        <v>30.748847309166031</v>
      </c>
      <c r="K2908">
        <v>48.767836175054299</v>
      </c>
      <c r="L2908">
        <v>-1</v>
      </c>
      <c r="M2908" t="s">
        <v>69</v>
      </c>
    </row>
    <row r="2909" spans="1:13" x14ac:dyDescent="0.3">
      <c r="A2909" t="s">
        <v>25</v>
      </c>
      <c r="B2909" t="s">
        <v>62</v>
      </c>
      <c r="C2909">
        <v>88.997283009606107</v>
      </c>
      <c r="D2909">
        <v>4.1830803030455908</v>
      </c>
      <c r="E2909">
        <v>5.719328343292247</v>
      </c>
      <c r="F2909">
        <v>14.82929550719577</v>
      </c>
      <c r="G2909">
        <v>6.7942131542514357</v>
      </c>
      <c r="H2909">
        <v>13.9</v>
      </c>
      <c r="I2909">
        <v>32.434258520815163</v>
      </c>
      <c r="J2909">
        <v>30.325863907133051</v>
      </c>
      <c r="K2909">
        <v>47.479638348630708</v>
      </c>
      <c r="L2909">
        <v>-1</v>
      </c>
      <c r="M2909" t="s">
        <v>69</v>
      </c>
    </row>
    <row r="2910" spans="1:13" x14ac:dyDescent="0.3">
      <c r="A2910" t="s">
        <v>24</v>
      </c>
      <c r="B2910" t="s">
        <v>59</v>
      </c>
      <c r="C2910">
        <v>344.40226820444991</v>
      </c>
      <c r="D2910">
        <v>16.26785327513636</v>
      </c>
      <c r="E2910">
        <v>24.375423946578959</v>
      </c>
      <c r="F2910">
        <v>54.725082626369343</v>
      </c>
      <c r="G2910">
        <v>5.220229114053506</v>
      </c>
      <c r="H2910">
        <v>74.852267380588231</v>
      </c>
      <c r="I2910">
        <v>29.648777116248091</v>
      </c>
      <c r="J2910">
        <v>30.83756414147711</v>
      </c>
      <c r="K2910">
        <v>11.33333239913873</v>
      </c>
      <c r="L2910">
        <v>-1</v>
      </c>
      <c r="M2910" t="s">
        <v>69</v>
      </c>
    </row>
    <row r="2911" spans="1:13" x14ac:dyDescent="0.3">
      <c r="A2911" t="s">
        <v>24</v>
      </c>
      <c r="B2911" t="s">
        <v>59</v>
      </c>
      <c r="C2911">
        <v>358.89899864069901</v>
      </c>
      <c r="D2911">
        <v>17.813180550626679</v>
      </c>
      <c r="E2911">
        <v>24.498142801362349</v>
      </c>
      <c r="F2911">
        <v>52.896531557508453</v>
      </c>
      <c r="G2911">
        <v>5.2402189573744273</v>
      </c>
      <c r="H2911">
        <v>78.971964937915772</v>
      </c>
      <c r="I2911">
        <v>31.578217741629139</v>
      </c>
      <c r="J2911">
        <v>31.128927950113479</v>
      </c>
      <c r="K2911">
        <v>11</v>
      </c>
      <c r="L2911">
        <v>-1</v>
      </c>
      <c r="M2911" t="s">
        <v>69</v>
      </c>
    </row>
    <row r="2912" spans="1:13" x14ac:dyDescent="0.3">
      <c r="A2912" t="s">
        <v>19</v>
      </c>
      <c r="B2912" t="s">
        <v>46</v>
      </c>
      <c r="C2912">
        <v>28.079794570129351</v>
      </c>
      <c r="D2912">
        <v>1.0189385565089299</v>
      </c>
      <c r="E2912">
        <v>0.96727922918541864</v>
      </c>
      <c r="F2912">
        <v>3.5500455055968771</v>
      </c>
      <c r="G2912">
        <v>6.0210426026248047</v>
      </c>
      <c r="H2912">
        <v>20.103693541565612</v>
      </c>
      <c r="I2912">
        <v>31.192833895635591</v>
      </c>
      <c r="J2912">
        <v>26.4535427039078</v>
      </c>
      <c r="K2912">
        <v>738.07617356367984</v>
      </c>
      <c r="L2912">
        <v>-1</v>
      </c>
      <c r="M2912" t="s">
        <v>69</v>
      </c>
    </row>
    <row r="2913" spans="1:13" x14ac:dyDescent="0.3">
      <c r="A2913" t="s">
        <v>24</v>
      </c>
      <c r="B2913" t="s">
        <v>59</v>
      </c>
      <c r="C2913">
        <v>338.00741057483822</v>
      </c>
      <c r="D2913">
        <v>18.690499890516271</v>
      </c>
      <c r="E2913">
        <v>23.732830935624541</v>
      </c>
      <c r="F2913">
        <v>54.189036562787848</v>
      </c>
      <c r="G2913">
        <v>5.3465825137705139</v>
      </c>
      <c r="H2913">
        <v>71.211970481671983</v>
      </c>
      <c r="I2913">
        <v>30.455548621671799</v>
      </c>
      <c r="J2913">
        <v>31.29478432773077</v>
      </c>
      <c r="K2913">
        <v>11.034209879864649</v>
      </c>
      <c r="L2913">
        <v>-1</v>
      </c>
      <c r="M2913" t="s">
        <v>69</v>
      </c>
    </row>
    <row r="2914" spans="1:13" x14ac:dyDescent="0.3">
      <c r="A2914" t="s">
        <v>19</v>
      </c>
      <c r="B2914" t="s">
        <v>46</v>
      </c>
      <c r="C2914">
        <v>27.957767961135641</v>
      </c>
      <c r="D2914">
        <v>1.015869440042066</v>
      </c>
      <c r="E2914">
        <v>0.93242107857025935</v>
      </c>
      <c r="F2914">
        <v>4.0581471295074616</v>
      </c>
      <c r="G2914">
        <v>6.0311872294555027</v>
      </c>
      <c r="H2914">
        <v>18.9360349077214</v>
      </c>
      <c r="I2914">
        <v>31.285342480179391</v>
      </c>
      <c r="J2914">
        <v>26.910987965971</v>
      </c>
      <c r="K2914">
        <v>720.25732040149251</v>
      </c>
      <c r="L2914">
        <v>-1</v>
      </c>
      <c r="M2914" t="s">
        <v>69</v>
      </c>
    </row>
    <row r="2915" spans="1:13" x14ac:dyDescent="0.3">
      <c r="A2915" t="s">
        <v>24</v>
      </c>
      <c r="B2915" t="s">
        <v>61</v>
      </c>
      <c r="C2915">
        <v>123.9832877281589</v>
      </c>
      <c r="D2915">
        <v>6.0219969086460861</v>
      </c>
      <c r="E2915">
        <v>7.7445252658183668</v>
      </c>
      <c r="F2915">
        <v>20.178262855388041</v>
      </c>
      <c r="G2915">
        <v>6.2877948853919676</v>
      </c>
      <c r="H2915">
        <v>20.03296223100384</v>
      </c>
      <c r="I2915">
        <v>30.82120373802687</v>
      </c>
      <c r="J2915">
        <v>30.803517325929771</v>
      </c>
      <c r="K2915">
        <v>47.987496928530163</v>
      </c>
      <c r="L2915">
        <v>-1</v>
      </c>
      <c r="M2915" t="s">
        <v>69</v>
      </c>
    </row>
    <row r="2916" spans="1:13" x14ac:dyDescent="0.3">
      <c r="A2916" t="s">
        <v>24</v>
      </c>
      <c r="B2916" t="s">
        <v>60</v>
      </c>
      <c r="C2916">
        <v>513.29058188174656</v>
      </c>
      <c r="D2916">
        <v>22.271944021064861</v>
      </c>
      <c r="E2916">
        <v>38.774426210608517</v>
      </c>
      <c r="F2916">
        <v>85.043550962031389</v>
      </c>
      <c r="G2916">
        <v>5.2669734302513174</v>
      </c>
      <c r="H2916">
        <v>67.100518100953153</v>
      </c>
      <c r="I2916">
        <v>31.861993853175981</v>
      </c>
      <c r="J2916">
        <v>31.401272172364759</v>
      </c>
      <c r="K2916">
        <v>11</v>
      </c>
      <c r="L2916">
        <v>-1</v>
      </c>
      <c r="M2916" t="s">
        <v>69</v>
      </c>
    </row>
    <row r="2917" spans="1:13" x14ac:dyDescent="0.3">
      <c r="A2917" t="s">
        <v>25</v>
      </c>
      <c r="B2917" t="s">
        <v>62</v>
      </c>
      <c r="C2917">
        <v>91.851244010174455</v>
      </c>
      <c r="D2917">
        <v>3.8158956134351532</v>
      </c>
      <c r="E2917">
        <v>6.0399562395134563</v>
      </c>
      <c r="F2917">
        <v>14.172185318713471</v>
      </c>
      <c r="G2917">
        <v>6.9413534818394158</v>
      </c>
      <c r="H2917">
        <v>14.190902652887051</v>
      </c>
      <c r="I2917">
        <v>32.588810393849769</v>
      </c>
      <c r="J2917">
        <v>31.138509771661681</v>
      </c>
      <c r="K2917">
        <v>49.107487572769507</v>
      </c>
      <c r="L2917">
        <v>-1</v>
      </c>
      <c r="M2917" t="s">
        <v>69</v>
      </c>
    </row>
    <row r="2918" spans="1:13" x14ac:dyDescent="0.3">
      <c r="A2918" t="s">
        <v>19</v>
      </c>
      <c r="B2918" t="s">
        <v>47</v>
      </c>
      <c r="C2918">
        <v>31.485677164467461</v>
      </c>
      <c r="D2918">
        <v>0.93209495295287459</v>
      </c>
      <c r="E2918">
        <v>2.0120057585071862</v>
      </c>
      <c r="F2918">
        <v>3.6899040700447538</v>
      </c>
      <c r="G2918">
        <v>5.9058100893905943</v>
      </c>
      <c r="H2918">
        <v>21.14185898137346</v>
      </c>
      <c r="I2918">
        <v>29.221586539909229</v>
      </c>
      <c r="J2918">
        <v>25.84299992202109</v>
      </c>
      <c r="K2918">
        <v>732.11349851823365</v>
      </c>
      <c r="L2918">
        <v>-1</v>
      </c>
      <c r="M2918" t="s">
        <v>69</v>
      </c>
    </row>
    <row r="2919" spans="1:13" x14ac:dyDescent="0.3">
      <c r="A2919" t="s">
        <v>24</v>
      </c>
      <c r="B2919" t="s">
        <v>61</v>
      </c>
      <c r="C2919">
        <v>82.434814644951146</v>
      </c>
      <c r="D2919">
        <v>4.2771097965137566</v>
      </c>
      <c r="E2919">
        <v>5.1169577931235191</v>
      </c>
      <c r="F2919">
        <v>12.761126662310041</v>
      </c>
      <c r="G2919">
        <v>6.0370050744141439</v>
      </c>
      <c r="H2919">
        <v>15.39521833109726</v>
      </c>
      <c r="I2919">
        <v>33.112925828896927</v>
      </c>
      <c r="J2919">
        <v>29.255456838545381</v>
      </c>
      <c r="K2919">
        <v>48.230666659066628</v>
      </c>
      <c r="L2919">
        <v>-1</v>
      </c>
      <c r="M2919" t="s">
        <v>69</v>
      </c>
    </row>
    <row r="2920" spans="1:13" x14ac:dyDescent="0.3">
      <c r="A2920" t="s">
        <v>25</v>
      </c>
      <c r="B2920" t="s">
        <v>62</v>
      </c>
      <c r="C2920">
        <v>89.346081451795826</v>
      </c>
      <c r="D2920">
        <v>3.683895563639572</v>
      </c>
      <c r="E2920">
        <v>5.8561182911756129</v>
      </c>
      <c r="F2920">
        <v>14.18851966405972</v>
      </c>
      <c r="G2920">
        <v>6.6339975737401016</v>
      </c>
      <c r="H2920">
        <v>14.151721507647579</v>
      </c>
      <c r="I2920">
        <v>31.484887216610971</v>
      </c>
      <c r="J2920">
        <v>31.390617962188589</v>
      </c>
      <c r="K2920">
        <v>47.333206869781627</v>
      </c>
      <c r="L2920">
        <v>-1</v>
      </c>
      <c r="M2920" t="s">
        <v>69</v>
      </c>
    </row>
    <row r="2921" spans="1:13" x14ac:dyDescent="0.3">
      <c r="A2921" t="s">
        <v>19</v>
      </c>
      <c r="B2921" t="s">
        <v>46</v>
      </c>
      <c r="C2921">
        <v>46.856678487023579</v>
      </c>
      <c r="D2921">
        <v>1.928993046621946</v>
      </c>
      <c r="E2921">
        <v>2.849241818017584</v>
      </c>
      <c r="F2921">
        <v>2.063965564978647</v>
      </c>
      <c r="G2921">
        <v>6.1661907526949289</v>
      </c>
      <c r="H2921">
        <v>20.383085730044009</v>
      </c>
      <c r="I2921">
        <v>29.423226060023019</v>
      </c>
      <c r="J2921">
        <v>26.10054109630682</v>
      </c>
      <c r="K2921">
        <v>736.40508429511988</v>
      </c>
      <c r="L2921">
        <v>-1</v>
      </c>
      <c r="M2921" t="s">
        <v>69</v>
      </c>
    </row>
    <row r="2922" spans="1:13" x14ac:dyDescent="0.3">
      <c r="A2922" t="s">
        <v>19</v>
      </c>
      <c r="B2922" t="s">
        <v>46</v>
      </c>
      <c r="C2922">
        <v>27.94580704450529</v>
      </c>
      <c r="D2922">
        <v>1.015296744674844</v>
      </c>
      <c r="E2922">
        <v>0.89990942872478907</v>
      </c>
      <c r="F2922">
        <v>3.9039527350331622</v>
      </c>
      <c r="G2922">
        <v>6.065611148958868</v>
      </c>
      <c r="H2922">
        <v>19.04443219292342</v>
      </c>
      <c r="I2922">
        <v>31.346744108551921</v>
      </c>
      <c r="J2922">
        <v>26.585298231830588</v>
      </c>
      <c r="K2922">
        <v>717.68696174849015</v>
      </c>
      <c r="L2922">
        <v>-1</v>
      </c>
      <c r="M2922" t="s">
        <v>69</v>
      </c>
    </row>
    <row r="2923" spans="1:13" x14ac:dyDescent="0.3">
      <c r="A2923" t="s">
        <v>24</v>
      </c>
      <c r="B2923" t="s">
        <v>61</v>
      </c>
      <c r="C2923">
        <v>79.383918725488343</v>
      </c>
      <c r="D2923">
        <v>4.1270783358680081</v>
      </c>
      <c r="E2923">
        <v>5.0105450947119046</v>
      </c>
      <c r="F2923">
        <v>12.22803488363704</v>
      </c>
      <c r="G2923">
        <v>6.1896891458026122</v>
      </c>
      <c r="H2923">
        <v>14.724685378306299</v>
      </c>
      <c r="I2923">
        <v>34.768748359408178</v>
      </c>
      <c r="J2923">
        <v>31.192531689925211</v>
      </c>
      <c r="K2923">
        <v>48.582969659658829</v>
      </c>
      <c r="L2923">
        <v>-1</v>
      </c>
      <c r="M2923" t="s">
        <v>69</v>
      </c>
    </row>
    <row r="2924" spans="1:13" x14ac:dyDescent="0.3">
      <c r="A2924" t="s">
        <v>24</v>
      </c>
      <c r="B2924" t="s">
        <v>60</v>
      </c>
      <c r="C2924">
        <v>598.76600093603338</v>
      </c>
      <c r="D2924">
        <v>30.456373316386841</v>
      </c>
      <c r="E2924">
        <v>41.446742595548088</v>
      </c>
      <c r="F2924">
        <v>95.832548909641048</v>
      </c>
      <c r="G2924">
        <v>6.20184007606961</v>
      </c>
      <c r="H2924">
        <v>84.586640789271883</v>
      </c>
      <c r="I2924">
        <v>31.316118521260201</v>
      </c>
      <c r="J2924">
        <v>30.626932148895669</v>
      </c>
      <c r="K2924">
        <v>11.052598153748249</v>
      </c>
      <c r="L2924">
        <v>-1</v>
      </c>
      <c r="M2924" t="s">
        <v>69</v>
      </c>
    </row>
    <row r="2925" spans="1:13" x14ac:dyDescent="0.3">
      <c r="A2925" t="s">
        <v>24</v>
      </c>
      <c r="B2925" t="s">
        <v>61</v>
      </c>
      <c r="C2925">
        <v>341.75992896400021</v>
      </c>
      <c r="D2925">
        <v>17.49164701414692</v>
      </c>
      <c r="E2925">
        <v>21.4614656929175</v>
      </c>
      <c r="F2925">
        <v>52.568864199771241</v>
      </c>
      <c r="G2925">
        <v>4.4210502875727098</v>
      </c>
      <c r="H2925">
        <v>55.085982111028848</v>
      </c>
      <c r="I2925">
        <v>30.601854546497581</v>
      </c>
      <c r="J2925">
        <v>31.093716012173829</v>
      </c>
      <c r="K2925">
        <v>14.30454684335677</v>
      </c>
      <c r="L2925">
        <v>-1</v>
      </c>
      <c r="M2925" t="s">
        <v>69</v>
      </c>
    </row>
    <row r="2926" spans="1:13" x14ac:dyDescent="0.3">
      <c r="A2926" t="s">
        <v>24</v>
      </c>
      <c r="B2926" t="s">
        <v>59</v>
      </c>
      <c r="C2926">
        <v>364.9599515406112</v>
      </c>
      <c r="D2926">
        <v>16.356956407657531</v>
      </c>
      <c r="E2926">
        <v>23.771343359007901</v>
      </c>
      <c r="F2926">
        <v>61.190734937246148</v>
      </c>
      <c r="G2926">
        <v>5.129539689933627</v>
      </c>
      <c r="H2926">
        <v>79.935696701633844</v>
      </c>
      <c r="I2926">
        <v>31.605217590445228</v>
      </c>
      <c r="J2926">
        <v>31.110791650804028</v>
      </c>
      <c r="K2926">
        <v>11</v>
      </c>
      <c r="L2926">
        <v>-1</v>
      </c>
      <c r="M2926" t="s">
        <v>69</v>
      </c>
    </row>
    <row r="2927" spans="1:13" x14ac:dyDescent="0.3">
      <c r="A2927" t="s">
        <v>24</v>
      </c>
      <c r="B2927" t="s">
        <v>61</v>
      </c>
      <c r="C2927">
        <v>82.24836205966038</v>
      </c>
      <c r="D2927">
        <v>3.9900913483471601</v>
      </c>
      <c r="E2927">
        <v>5.4424682133294864</v>
      </c>
      <c r="F2927">
        <v>10.090402444338419</v>
      </c>
      <c r="G2927">
        <v>6.1700312169671001</v>
      </c>
      <c r="H2927">
        <v>15.46916494946165</v>
      </c>
      <c r="I2927">
        <v>34.893844413010378</v>
      </c>
      <c r="J2927">
        <v>30.409178779888592</v>
      </c>
      <c r="K2927">
        <v>47.553062638797662</v>
      </c>
      <c r="L2927">
        <v>-1</v>
      </c>
      <c r="M2927" t="s">
        <v>69</v>
      </c>
    </row>
    <row r="2928" spans="1:13" x14ac:dyDescent="0.3">
      <c r="A2928" t="s">
        <v>24</v>
      </c>
      <c r="B2928" t="s">
        <v>61</v>
      </c>
      <c r="C2928">
        <v>123.7822114757065</v>
      </c>
      <c r="D2928">
        <v>5.7574258590447576</v>
      </c>
      <c r="E2928">
        <v>8.0862564028419861</v>
      </c>
      <c r="F2928">
        <v>21.480846085174971</v>
      </c>
      <c r="G2928">
        <v>6.1163920953982833</v>
      </c>
      <c r="H2928">
        <v>21.227445865968029</v>
      </c>
      <c r="I2928">
        <v>30.919446220229101</v>
      </c>
      <c r="J2928">
        <v>30.946583953339509</v>
      </c>
      <c r="K2928">
        <v>48.210436275782058</v>
      </c>
      <c r="L2928">
        <v>-1</v>
      </c>
      <c r="M2928" t="s">
        <v>69</v>
      </c>
    </row>
    <row r="2929" spans="1:13" x14ac:dyDescent="0.3">
      <c r="A2929" t="s">
        <v>24</v>
      </c>
      <c r="B2929" t="s">
        <v>60</v>
      </c>
      <c r="C2929">
        <v>500.36852666004978</v>
      </c>
      <c r="D2929">
        <v>23.90187571488439</v>
      </c>
      <c r="E2929">
        <v>34.818383696805597</v>
      </c>
      <c r="F2929">
        <v>79.063389111115271</v>
      </c>
      <c r="G2929">
        <v>5.4304785241459834</v>
      </c>
      <c r="H2929">
        <v>71.354944026330855</v>
      </c>
      <c r="I2929">
        <v>32.865917715169743</v>
      </c>
      <c r="J2929">
        <v>29.568620249812628</v>
      </c>
      <c r="K2929">
        <v>11</v>
      </c>
      <c r="L2929">
        <v>-1</v>
      </c>
      <c r="M2929" t="s">
        <v>69</v>
      </c>
    </row>
    <row r="2930" spans="1:13" x14ac:dyDescent="0.3">
      <c r="A2930" t="s">
        <v>24</v>
      </c>
      <c r="B2930" t="s">
        <v>61</v>
      </c>
      <c r="C2930">
        <v>336.99737985235657</v>
      </c>
      <c r="D2930">
        <v>17.435880944816351</v>
      </c>
      <c r="E2930">
        <v>23.328245282300738</v>
      </c>
      <c r="F2930">
        <v>54.170216213724323</v>
      </c>
      <c r="G2930">
        <v>4.5660061711001187</v>
      </c>
      <c r="H2930">
        <v>56.374974385255769</v>
      </c>
      <c r="I2930">
        <v>31.22376072750555</v>
      </c>
      <c r="J2930">
        <v>30.880964870438518</v>
      </c>
      <c r="K2930">
        <v>14.185264204930039</v>
      </c>
      <c r="L2930">
        <v>-1</v>
      </c>
      <c r="M2930" t="s">
        <v>69</v>
      </c>
    </row>
    <row r="2931" spans="1:13" x14ac:dyDescent="0.3">
      <c r="A2931" t="s">
        <v>24</v>
      </c>
      <c r="B2931" t="s">
        <v>59</v>
      </c>
      <c r="C2931">
        <v>354.1231952333174</v>
      </c>
      <c r="D2931">
        <v>17.762649434823121</v>
      </c>
      <c r="E2931">
        <v>24.38072052411011</v>
      </c>
      <c r="F2931">
        <v>54.123795276524532</v>
      </c>
      <c r="G2931">
        <v>5.2079109949605602</v>
      </c>
      <c r="H2931">
        <v>78.730230225434198</v>
      </c>
      <c r="I2931">
        <v>31.67312757404725</v>
      </c>
      <c r="J2931">
        <v>31.081515679502221</v>
      </c>
      <c r="K2931">
        <v>11.015416638602799</v>
      </c>
      <c r="L2931">
        <v>-1</v>
      </c>
      <c r="M2931" t="s">
        <v>69</v>
      </c>
    </row>
    <row r="2932" spans="1:13" x14ac:dyDescent="0.3">
      <c r="A2932" t="s">
        <v>24</v>
      </c>
      <c r="B2932" t="s">
        <v>58</v>
      </c>
      <c r="C2932">
        <v>30.38521373814541</v>
      </c>
      <c r="D2932">
        <v>0.93266464040794839</v>
      </c>
      <c r="E2932">
        <v>1.809841865557317</v>
      </c>
      <c r="F2932">
        <v>4.0653680752393022</v>
      </c>
      <c r="G2932">
        <v>6.0072182416348099</v>
      </c>
      <c r="H2932">
        <v>21.530968233322159</v>
      </c>
      <c r="I2932">
        <v>30.46199461667339</v>
      </c>
      <c r="J2932">
        <v>25.824621513812112</v>
      </c>
      <c r="K2932">
        <v>751.52432722516471</v>
      </c>
      <c r="L2932">
        <v>-1</v>
      </c>
      <c r="M2932" t="s">
        <v>69</v>
      </c>
    </row>
    <row r="2933" spans="1:13" x14ac:dyDescent="0.3">
      <c r="A2933" t="s">
        <v>24</v>
      </c>
      <c r="B2933" t="s">
        <v>59</v>
      </c>
      <c r="C2933">
        <v>338.10686838990051</v>
      </c>
      <c r="D2933">
        <v>18.663637437351309</v>
      </c>
      <c r="E2933">
        <v>23.467216284065049</v>
      </c>
      <c r="F2933">
        <v>52.96977288173688</v>
      </c>
      <c r="G2933">
        <v>5.3462753882524723</v>
      </c>
      <c r="H2933">
        <v>72.241730711639079</v>
      </c>
      <c r="I2933">
        <v>30.544191305371971</v>
      </c>
      <c r="J2933">
        <v>31.323375720877401</v>
      </c>
      <c r="K2933">
        <v>11</v>
      </c>
      <c r="L2933">
        <v>-1</v>
      </c>
      <c r="M2933" t="s">
        <v>69</v>
      </c>
    </row>
    <row r="2934" spans="1:13" x14ac:dyDescent="0.3">
      <c r="A2934" t="s">
        <v>24</v>
      </c>
      <c r="B2934" t="s">
        <v>61</v>
      </c>
      <c r="C2934">
        <v>348.91069902580028</v>
      </c>
      <c r="D2934">
        <v>16.33598970815093</v>
      </c>
      <c r="E2934">
        <v>22.236946413221769</v>
      </c>
      <c r="F2934">
        <v>54.365271723354837</v>
      </c>
      <c r="G2934">
        <v>4.5388033664522052</v>
      </c>
      <c r="H2934">
        <v>55.117563123388017</v>
      </c>
      <c r="I2934">
        <v>30.007227591823241</v>
      </c>
      <c r="J2934">
        <v>30.754735319793181</v>
      </c>
      <c r="K2934">
        <v>14.26192319022789</v>
      </c>
      <c r="L2934">
        <v>-1</v>
      </c>
      <c r="M2934" t="s">
        <v>69</v>
      </c>
    </row>
    <row r="2935" spans="1:13" x14ac:dyDescent="0.3">
      <c r="A2935" t="s">
        <v>24</v>
      </c>
      <c r="B2935" t="s">
        <v>61</v>
      </c>
      <c r="C2935">
        <v>707.26670731295962</v>
      </c>
      <c r="D2935">
        <v>39.269495488111311</v>
      </c>
      <c r="E2935">
        <v>49.500845229048181</v>
      </c>
      <c r="F2935">
        <v>121.06561018021181</v>
      </c>
      <c r="G2935">
        <v>5.969874035678199</v>
      </c>
      <c r="H2935">
        <v>69.841058831369168</v>
      </c>
      <c r="I2935">
        <v>29.194483571363211</v>
      </c>
      <c r="J2935">
        <v>30.849877451701229</v>
      </c>
      <c r="K2935">
        <v>11.08356191439543</v>
      </c>
      <c r="L2935">
        <v>-1</v>
      </c>
      <c r="M2935" t="s">
        <v>69</v>
      </c>
    </row>
    <row r="2936" spans="1:13" x14ac:dyDescent="0.3">
      <c r="A2936" t="s">
        <v>19</v>
      </c>
      <c r="B2936" t="s">
        <v>46</v>
      </c>
      <c r="C2936">
        <v>28.468458190141849</v>
      </c>
      <c r="D2936">
        <v>1.067927223877948</v>
      </c>
      <c r="E2936">
        <v>1.06842508832514</v>
      </c>
      <c r="F2936">
        <v>3.8622307176793398</v>
      </c>
      <c r="G2936">
        <v>5.9123289352669168</v>
      </c>
      <c r="H2936">
        <v>19.337294116901361</v>
      </c>
      <c r="I2936">
        <v>30.312479485380411</v>
      </c>
      <c r="J2936">
        <v>26.25108354840788</v>
      </c>
      <c r="K2936">
        <v>730.87798876999125</v>
      </c>
      <c r="L2936">
        <v>-1</v>
      </c>
      <c r="M2936" t="s">
        <v>69</v>
      </c>
    </row>
    <row r="2937" spans="1:13" x14ac:dyDescent="0.3">
      <c r="A2937" t="s">
        <v>24</v>
      </c>
      <c r="B2937" t="s">
        <v>60</v>
      </c>
      <c r="C2937">
        <v>514.65532159554311</v>
      </c>
      <c r="D2937">
        <v>24.436033928608559</v>
      </c>
      <c r="E2937">
        <v>39.922406486011042</v>
      </c>
      <c r="F2937">
        <v>83.920944067560669</v>
      </c>
      <c r="G2937">
        <v>5.4378646181116581</v>
      </c>
      <c r="H2937">
        <v>67.720180449473389</v>
      </c>
      <c r="I2937">
        <v>30.995048715898541</v>
      </c>
      <c r="J2937">
        <v>31.156586510623651</v>
      </c>
      <c r="K2937">
        <v>11</v>
      </c>
      <c r="L2937">
        <v>-1</v>
      </c>
      <c r="M2937" t="s">
        <v>69</v>
      </c>
    </row>
    <row r="2938" spans="1:13" x14ac:dyDescent="0.3">
      <c r="A2938" t="s">
        <v>25</v>
      </c>
      <c r="B2938" t="s">
        <v>62</v>
      </c>
      <c r="C2938">
        <v>85.381673794440218</v>
      </c>
      <c r="D2938">
        <v>3.9061921945333311</v>
      </c>
      <c r="E2938">
        <v>5.8704717897453058</v>
      </c>
      <c r="F2938">
        <v>15.36837361651197</v>
      </c>
      <c r="G2938">
        <v>6.7304054331280483</v>
      </c>
      <c r="H2938">
        <v>14.04498351626021</v>
      </c>
      <c r="I2938">
        <v>32.089092341835837</v>
      </c>
      <c r="J2938">
        <v>30.577209308289579</v>
      </c>
      <c r="K2938">
        <v>47.611453870024661</v>
      </c>
      <c r="L2938">
        <v>-1</v>
      </c>
      <c r="M2938" t="s">
        <v>69</v>
      </c>
    </row>
    <row r="2939" spans="1:13" x14ac:dyDescent="0.3">
      <c r="A2939" t="s">
        <v>24</v>
      </c>
      <c r="B2939" t="s">
        <v>61</v>
      </c>
      <c r="C2939">
        <v>337.75629387593091</v>
      </c>
      <c r="D2939">
        <v>17.750553725990422</v>
      </c>
      <c r="E2939">
        <v>21.345790575783472</v>
      </c>
      <c r="F2939">
        <v>51.239648893206429</v>
      </c>
      <c r="G2939">
        <v>4.3486746398714828</v>
      </c>
      <c r="H2939">
        <v>55.647034014677622</v>
      </c>
      <c r="I2939">
        <v>30.361257834172999</v>
      </c>
      <c r="J2939">
        <v>31.264891387922258</v>
      </c>
      <c r="K2939">
        <v>14.15593363577409</v>
      </c>
      <c r="L2939">
        <v>-1</v>
      </c>
      <c r="M2939" t="s">
        <v>69</v>
      </c>
    </row>
    <row r="2940" spans="1:13" x14ac:dyDescent="0.3">
      <c r="A2940" t="s">
        <v>24</v>
      </c>
      <c r="B2940" t="s">
        <v>59</v>
      </c>
      <c r="C2940">
        <v>349.10522078458871</v>
      </c>
      <c r="D2940">
        <v>16.798067967773921</v>
      </c>
      <c r="E2940">
        <v>24.28851935951436</v>
      </c>
      <c r="F2940">
        <v>57.51528023257265</v>
      </c>
      <c r="G2940">
        <v>5.1249600647095921</v>
      </c>
      <c r="H2940">
        <v>75.344983484008779</v>
      </c>
      <c r="I2940">
        <v>30.699163853163061</v>
      </c>
      <c r="J2940">
        <v>31.180997811300699</v>
      </c>
      <c r="K2940">
        <v>11.057538133638451</v>
      </c>
      <c r="L2940">
        <v>-1</v>
      </c>
      <c r="M2940" t="s">
        <v>69</v>
      </c>
    </row>
    <row r="2941" spans="1:13" x14ac:dyDescent="0.3">
      <c r="A2941" t="s">
        <v>24</v>
      </c>
      <c r="B2941" t="s">
        <v>60</v>
      </c>
      <c r="C2941">
        <v>572.50775365999232</v>
      </c>
      <c r="D2941">
        <v>30.742434528030241</v>
      </c>
      <c r="E2941">
        <v>42.247116018850043</v>
      </c>
      <c r="F2941">
        <v>93.315375789848275</v>
      </c>
      <c r="G2941">
        <v>6.1943348711210682</v>
      </c>
      <c r="H2941">
        <v>79.084270211460165</v>
      </c>
      <c r="I2941">
        <v>31.41547840464056</v>
      </c>
      <c r="J2941">
        <v>30.516241677975248</v>
      </c>
      <c r="K2941">
        <v>11.10745652637593</v>
      </c>
      <c r="L2941">
        <v>-1</v>
      </c>
      <c r="M2941" t="s">
        <v>69</v>
      </c>
    </row>
    <row r="2942" spans="1:13" x14ac:dyDescent="0.3">
      <c r="A2942" t="s">
        <v>24</v>
      </c>
      <c r="B2942" t="s">
        <v>61</v>
      </c>
      <c r="C2942">
        <v>631.55082520090866</v>
      </c>
      <c r="D2942">
        <v>38.641489148818323</v>
      </c>
      <c r="E2942">
        <v>52.034084825608737</v>
      </c>
      <c r="F2942">
        <v>109.36053316656709</v>
      </c>
      <c r="G2942">
        <v>5.8605701528374574</v>
      </c>
      <c r="H2942">
        <v>76.683155778667327</v>
      </c>
      <c r="I2942">
        <v>30.01559881972041</v>
      </c>
      <c r="J2942">
        <v>32.171287538224007</v>
      </c>
      <c r="K2942">
        <v>11.22542577353647</v>
      </c>
      <c r="L2942">
        <v>-1</v>
      </c>
      <c r="M2942" t="s">
        <v>69</v>
      </c>
    </row>
    <row r="2943" spans="1:13" x14ac:dyDescent="0.3">
      <c r="A2943" t="s">
        <v>24</v>
      </c>
      <c r="B2943" t="s">
        <v>59</v>
      </c>
      <c r="C2943">
        <v>374.89384092857267</v>
      </c>
      <c r="D2943">
        <v>16.58749531032894</v>
      </c>
      <c r="E2943">
        <v>25.292162014168039</v>
      </c>
      <c r="F2943">
        <v>50.801096944902739</v>
      </c>
      <c r="G2943">
        <v>5.2785127621853496</v>
      </c>
      <c r="H2943">
        <v>76.132765735023895</v>
      </c>
      <c r="I2943">
        <v>29.677916227024799</v>
      </c>
      <c r="J2943">
        <v>31.51700818052867</v>
      </c>
      <c r="K2943">
        <v>11.12922217484174</v>
      </c>
      <c r="L2943">
        <v>-1</v>
      </c>
      <c r="M2943" t="s">
        <v>69</v>
      </c>
    </row>
    <row r="2944" spans="1:13" x14ac:dyDescent="0.3">
      <c r="A2944" t="s">
        <v>25</v>
      </c>
      <c r="B2944" t="s">
        <v>62</v>
      </c>
      <c r="C2944">
        <v>25.361966970792</v>
      </c>
      <c r="D2944">
        <v>1.10638298666849</v>
      </c>
      <c r="E2944">
        <v>0.87465374802059426</v>
      </c>
      <c r="F2944">
        <v>2.924721675841905</v>
      </c>
      <c r="G2944">
        <v>6.2365739983132702</v>
      </c>
      <c r="H2944">
        <v>67.462824354416938</v>
      </c>
      <c r="I2944">
        <v>20.696766117877338</v>
      </c>
      <c r="J2944">
        <v>24.164208141294221</v>
      </c>
      <c r="K2944">
        <v>1213.9040174656279</v>
      </c>
      <c r="L2944">
        <v>0</v>
      </c>
      <c r="M2944" t="s">
        <v>69</v>
      </c>
    </row>
    <row r="2945" spans="1:13" x14ac:dyDescent="0.3">
      <c r="A2945" t="s">
        <v>25</v>
      </c>
      <c r="B2945" t="s">
        <v>62</v>
      </c>
      <c r="C2945">
        <v>30.609655864884299</v>
      </c>
      <c r="D2945">
        <v>0.9114994874736615</v>
      </c>
      <c r="E2945">
        <v>1.6360137717033361</v>
      </c>
      <c r="F2945">
        <v>4.463481377144122</v>
      </c>
      <c r="G2945">
        <v>6.2738784353491157</v>
      </c>
      <c r="H2945">
        <v>37.847461786360768</v>
      </c>
      <c r="I2945">
        <v>19.544252099557919</v>
      </c>
      <c r="J2945">
        <v>23.920257769835381</v>
      </c>
      <c r="K2945">
        <v>1064.9227027190391</v>
      </c>
      <c r="L2945">
        <v>0</v>
      </c>
      <c r="M2945" t="s">
        <v>69</v>
      </c>
    </row>
    <row r="2946" spans="1:13" x14ac:dyDescent="0.3">
      <c r="A2946" t="s">
        <v>19</v>
      </c>
      <c r="B2946" t="s">
        <v>45</v>
      </c>
      <c r="C2946">
        <v>19.286890041967229</v>
      </c>
      <c r="D2946">
        <v>0.8745518096104572</v>
      </c>
      <c r="E2946">
        <v>0.86760376666047279</v>
      </c>
      <c r="F2946">
        <v>3.518061733568151</v>
      </c>
      <c r="G2946">
        <v>6.2277295023827604</v>
      </c>
      <c r="H2946">
        <v>19.180322947685159</v>
      </c>
      <c r="I2946">
        <v>31.713552812278628</v>
      </c>
      <c r="J2946">
        <v>24.326236936799091</v>
      </c>
      <c r="K2946">
        <v>1339.8908712523289</v>
      </c>
      <c r="L2946">
        <v>0</v>
      </c>
      <c r="M2946" t="s">
        <v>69</v>
      </c>
    </row>
    <row r="2947" spans="1:13" x14ac:dyDescent="0.3">
      <c r="A2947" t="s">
        <v>24</v>
      </c>
      <c r="B2947" t="s">
        <v>58</v>
      </c>
      <c r="C2947">
        <v>30.343926168151611</v>
      </c>
      <c r="D2947">
        <v>1.0122165595233481</v>
      </c>
      <c r="E2947">
        <v>1.866948391994607</v>
      </c>
      <c r="F2947">
        <v>4.1940036818833448</v>
      </c>
      <c r="G2947">
        <v>6.8995062182673657</v>
      </c>
      <c r="H2947">
        <v>33.406820249267398</v>
      </c>
      <c r="I2947">
        <v>24.85575978712534</v>
      </c>
      <c r="J2947">
        <v>23.635143066431262</v>
      </c>
      <c r="K2947">
        <v>737.03702687258703</v>
      </c>
      <c r="L2947">
        <v>0</v>
      </c>
      <c r="M2947" t="s">
        <v>69</v>
      </c>
    </row>
    <row r="2948" spans="1:13" x14ac:dyDescent="0.3">
      <c r="A2948" t="s">
        <v>24</v>
      </c>
      <c r="B2948" t="s">
        <v>58</v>
      </c>
      <c r="C2948">
        <v>43.269926496241482</v>
      </c>
      <c r="D2948">
        <v>1.532905385987235</v>
      </c>
      <c r="E2948">
        <v>2.6707786896608279</v>
      </c>
      <c r="F2948">
        <v>6.1781911579932363</v>
      </c>
      <c r="G2948">
        <v>6.6147553060189859</v>
      </c>
      <c r="H2948">
        <v>56.585724966133128</v>
      </c>
      <c r="I2948">
        <v>26.40851363449913</v>
      </c>
      <c r="J2948">
        <v>22.302901780491151</v>
      </c>
      <c r="K2948">
        <v>719.00618596998333</v>
      </c>
      <c r="L2948">
        <v>0</v>
      </c>
      <c r="M2948" t="s">
        <v>69</v>
      </c>
    </row>
    <row r="2949" spans="1:13" x14ac:dyDescent="0.3">
      <c r="A2949" t="s">
        <v>24</v>
      </c>
      <c r="B2949" t="s">
        <v>57</v>
      </c>
      <c r="C2949">
        <v>7.9351868914401962</v>
      </c>
      <c r="D2949">
        <v>0</v>
      </c>
      <c r="E2949">
        <v>0</v>
      </c>
      <c r="F2949">
        <v>0.99935506149164866</v>
      </c>
      <c r="G2949">
        <v>6.0986473507805794</v>
      </c>
      <c r="H2949">
        <v>38.912288466337429</v>
      </c>
      <c r="I2949">
        <v>23.60132664358887</v>
      </c>
      <c r="J2949">
        <v>23.097711342190859</v>
      </c>
      <c r="K2949">
        <v>738.25157745004105</v>
      </c>
      <c r="L2949">
        <v>0</v>
      </c>
      <c r="M2949" t="s">
        <v>69</v>
      </c>
    </row>
    <row r="2950" spans="1:13" x14ac:dyDescent="0.3">
      <c r="A2950" t="s">
        <v>25</v>
      </c>
      <c r="B2950" t="s">
        <v>62</v>
      </c>
      <c r="C2950">
        <v>257.82509436800268</v>
      </c>
      <c r="D2950">
        <v>18.576677368425049</v>
      </c>
      <c r="E2950">
        <v>25.357016118593361</v>
      </c>
      <c r="F2950">
        <v>59.600581700295379</v>
      </c>
      <c r="G2950">
        <v>4.4155170927424479</v>
      </c>
      <c r="H2950">
        <v>72.260336254917235</v>
      </c>
      <c r="I2950">
        <v>29.29697708768477</v>
      </c>
      <c r="J2950">
        <v>24.28757476835586</v>
      </c>
      <c r="K2950">
        <v>704.4619807174181</v>
      </c>
      <c r="L2950">
        <v>0</v>
      </c>
      <c r="M2950" t="s">
        <v>69</v>
      </c>
    </row>
    <row r="2951" spans="1:13" x14ac:dyDescent="0.3">
      <c r="A2951" t="s">
        <v>24</v>
      </c>
      <c r="B2951" t="s">
        <v>58</v>
      </c>
      <c r="C2951">
        <v>27.946141586897401</v>
      </c>
      <c r="D2951">
        <v>1.0063287866484889</v>
      </c>
      <c r="E2951">
        <v>2.2123608599641922</v>
      </c>
      <c r="F2951">
        <v>4.133851043749651</v>
      </c>
      <c r="G2951">
        <v>6.1846469766639407</v>
      </c>
      <c r="H2951">
        <v>37.233204517617587</v>
      </c>
      <c r="I2951">
        <v>23.31355468186991</v>
      </c>
      <c r="J2951">
        <v>22.242322098050611</v>
      </c>
      <c r="K2951">
        <v>726.79244062957878</v>
      </c>
      <c r="L2951">
        <v>0</v>
      </c>
      <c r="M2951" t="s">
        <v>69</v>
      </c>
    </row>
    <row r="2952" spans="1:13" x14ac:dyDescent="0.3">
      <c r="A2952" t="s">
        <v>25</v>
      </c>
      <c r="B2952" t="s">
        <v>62</v>
      </c>
      <c r="C2952">
        <v>25.269453943772579</v>
      </c>
      <c r="D2952">
        <v>1.0729459754315021</v>
      </c>
      <c r="E2952">
        <v>1.0389857398768501</v>
      </c>
      <c r="F2952">
        <v>3.0722168747718741</v>
      </c>
      <c r="G2952">
        <v>6.3029869433402013</v>
      </c>
      <c r="H2952">
        <v>67.301685800824089</v>
      </c>
      <c r="I2952">
        <v>20.411026316652901</v>
      </c>
      <c r="J2952">
        <v>23.60568593848339</v>
      </c>
      <c r="K2952">
        <v>1222.6278642048919</v>
      </c>
      <c r="L2952">
        <v>0</v>
      </c>
      <c r="M2952" t="s">
        <v>69</v>
      </c>
    </row>
    <row r="2953" spans="1:13" x14ac:dyDescent="0.3">
      <c r="A2953" t="s">
        <v>21</v>
      </c>
      <c r="B2953" t="s">
        <v>52</v>
      </c>
      <c r="C2953">
        <v>26.375531025977931</v>
      </c>
      <c r="D2953">
        <v>1.0303105585276551</v>
      </c>
      <c r="E2953">
        <v>2.4082314815111991</v>
      </c>
      <c r="F2953">
        <v>5.4883087005887852</v>
      </c>
      <c r="G2953">
        <v>5.953577072006893</v>
      </c>
      <c r="H2953">
        <v>24.15231263690637</v>
      </c>
      <c r="I2953">
        <v>34.726015859752287</v>
      </c>
      <c r="J2953">
        <v>26.267534210757201</v>
      </c>
      <c r="K2953">
        <v>1213.019986169702</v>
      </c>
      <c r="L2953">
        <v>0</v>
      </c>
      <c r="M2953" t="s">
        <v>69</v>
      </c>
    </row>
    <row r="2954" spans="1:13" x14ac:dyDescent="0.3">
      <c r="A2954" t="s">
        <v>24</v>
      </c>
      <c r="B2954" t="s">
        <v>58</v>
      </c>
      <c r="C2954">
        <v>13.149225871166109</v>
      </c>
      <c r="D2954">
        <v>0</v>
      </c>
      <c r="E2954">
        <v>0</v>
      </c>
      <c r="F2954">
        <v>1.947462942610747</v>
      </c>
      <c r="G2954">
        <v>6.5601319784725849</v>
      </c>
      <c r="H2954">
        <v>42.213505767664657</v>
      </c>
      <c r="I2954">
        <v>25.105185594063371</v>
      </c>
      <c r="J2954">
        <v>23.446858375409349</v>
      </c>
      <c r="K2954">
        <v>747.54024992560062</v>
      </c>
      <c r="L2954">
        <v>0</v>
      </c>
      <c r="M2954" t="s">
        <v>69</v>
      </c>
    </row>
    <row r="2955" spans="1:13" x14ac:dyDescent="0.3">
      <c r="A2955" t="s">
        <v>19</v>
      </c>
      <c r="B2955" t="s">
        <v>48</v>
      </c>
      <c r="C2955">
        <v>25.71955167018092</v>
      </c>
      <c r="D2955">
        <v>0.95235443622272342</v>
      </c>
      <c r="E2955">
        <v>0.98803388916300428</v>
      </c>
      <c r="F2955">
        <v>4.0128751383277947</v>
      </c>
      <c r="G2955">
        <v>6.0346706526621947</v>
      </c>
      <c r="H2955">
        <v>16.217374677684649</v>
      </c>
      <c r="I2955">
        <v>30.000715033130469</v>
      </c>
      <c r="J2955">
        <v>23.654896352293019</v>
      </c>
      <c r="K2955">
        <v>1183.4545809703429</v>
      </c>
      <c r="L2955">
        <v>0</v>
      </c>
      <c r="M2955" t="s">
        <v>69</v>
      </c>
    </row>
    <row r="2956" spans="1:13" x14ac:dyDescent="0.3">
      <c r="A2956" t="s">
        <v>20</v>
      </c>
      <c r="B2956" t="s">
        <v>49</v>
      </c>
      <c r="C2956">
        <v>34.924689786552293</v>
      </c>
      <c r="D2956">
        <v>1.021038801623859</v>
      </c>
      <c r="E2956">
        <v>1.9807498686367391</v>
      </c>
      <c r="F2956">
        <v>5.7830578829855348</v>
      </c>
      <c r="G2956">
        <v>6.2384269778071832</v>
      </c>
      <c r="H2956">
        <v>15.723297216051501</v>
      </c>
      <c r="I2956">
        <v>32.735782529502067</v>
      </c>
      <c r="J2956">
        <v>25.206744195254949</v>
      </c>
      <c r="K2956">
        <v>1119.979694349533</v>
      </c>
      <c r="L2956">
        <v>0</v>
      </c>
      <c r="M2956" t="s">
        <v>69</v>
      </c>
    </row>
    <row r="2957" spans="1:13" x14ac:dyDescent="0.3">
      <c r="A2957" t="s">
        <v>19</v>
      </c>
      <c r="B2957" t="s">
        <v>48</v>
      </c>
      <c r="C2957">
        <v>41.376638767132391</v>
      </c>
      <c r="D2957">
        <v>1.9616975643725021</v>
      </c>
      <c r="E2957">
        <v>3.2323139924152788</v>
      </c>
      <c r="F2957">
        <v>6.4121644288619279</v>
      </c>
      <c r="G2957">
        <v>5.623608273308907</v>
      </c>
      <c r="H2957">
        <v>18.895845404031849</v>
      </c>
      <c r="I2957">
        <v>32.930147589279869</v>
      </c>
      <c r="J2957">
        <v>26.07378323872409</v>
      </c>
      <c r="K2957">
        <v>1146.6980268990851</v>
      </c>
      <c r="L2957">
        <v>0</v>
      </c>
      <c r="M2957" t="s">
        <v>69</v>
      </c>
    </row>
    <row r="2958" spans="1:13" x14ac:dyDescent="0.3">
      <c r="A2958" t="s">
        <v>20</v>
      </c>
      <c r="B2958" t="s">
        <v>49</v>
      </c>
      <c r="C2958">
        <v>42.597856885767172</v>
      </c>
      <c r="D2958">
        <v>1.2469944936087789</v>
      </c>
      <c r="E2958">
        <v>2.5410992845762612</v>
      </c>
      <c r="F2958">
        <v>6.4970332422323498</v>
      </c>
      <c r="G2958">
        <v>6.0684451153405936</v>
      </c>
      <c r="H2958">
        <v>18.491048748281109</v>
      </c>
      <c r="I2958">
        <v>32.196444402100369</v>
      </c>
      <c r="J2958">
        <v>24.91951030245793</v>
      </c>
      <c r="K2958">
        <v>1148.419700004079</v>
      </c>
      <c r="L2958">
        <v>0</v>
      </c>
      <c r="M2958" t="s">
        <v>69</v>
      </c>
    </row>
    <row r="2959" spans="1:13" x14ac:dyDescent="0.3">
      <c r="A2959" t="s">
        <v>25</v>
      </c>
      <c r="B2959" t="s">
        <v>62</v>
      </c>
      <c r="C2959">
        <v>550.05591884036585</v>
      </c>
      <c r="D2959">
        <v>29.519252691818728</v>
      </c>
      <c r="E2959">
        <v>44.972119082145468</v>
      </c>
      <c r="F2959">
        <v>107.0966206761173</v>
      </c>
      <c r="G2959">
        <v>4.6056034645329964</v>
      </c>
      <c r="H2959">
        <v>88.4</v>
      </c>
      <c r="I2959">
        <v>27.202013479242531</v>
      </c>
      <c r="J2959">
        <v>23.446947989895119</v>
      </c>
      <c r="K2959">
        <v>702.05020341226373</v>
      </c>
      <c r="L2959">
        <v>0</v>
      </c>
      <c r="M2959" t="s">
        <v>69</v>
      </c>
    </row>
    <row r="2960" spans="1:13" x14ac:dyDescent="0.3">
      <c r="A2960" t="s">
        <v>19</v>
      </c>
      <c r="B2960" t="s">
        <v>48</v>
      </c>
      <c r="C2960">
        <v>41.887947528958442</v>
      </c>
      <c r="D2960">
        <v>1.86308969523503</v>
      </c>
      <c r="E2960">
        <v>3.3784394461673428</v>
      </c>
      <c r="F2960">
        <v>6.0191022756811714</v>
      </c>
      <c r="G2960">
        <v>5.6144995777845113</v>
      </c>
      <c r="H2960">
        <v>18.903960297928069</v>
      </c>
      <c r="I2960">
        <v>32.697719479429587</v>
      </c>
      <c r="J2960">
        <v>26.29289536858078</v>
      </c>
      <c r="K2960">
        <v>1173.231736305753</v>
      </c>
      <c r="L2960">
        <v>0</v>
      </c>
      <c r="M2960" t="s">
        <v>69</v>
      </c>
    </row>
    <row r="2961" spans="1:13" x14ac:dyDescent="0.3">
      <c r="A2961" t="s">
        <v>19</v>
      </c>
      <c r="B2961" t="s">
        <v>48</v>
      </c>
      <c r="C2961">
        <v>38.269199839819109</v>
      </c>
      <c r="D2961">
        <v>1.0078842275162561</v>
      </c>
      <c r="E2961">
        <v>1.964178782501887</v>
      </c>
      <c r="F2961">
        <v>6.1469908126621462</v>
      </c>
      <c r="G2961">
        <v>6.2801666844046187</v>
      </c>
      <c r="H2961">
        <v>16.989275564512351</v>
      </c>
      <c r="I2961">
        <v>31.676205365582259</v>
      </c>
      <c r="J2961">
        <v>25.172835639299031</v>
      </c>
      <c r="K2961">
        <v>1190.071939986856</v>
      </c>
      <c r="L2961">
        <v>0</v>
      </c>
      <c r="M2961" t="s">
        <v>69</v>
      </c>
    </row>
    <row r="2962" spans="1:13" x14ac:dyDescent="0.3">
      <c r="A2962" t="s">
        <v>25</v>
      </c>
      <c r="B2962" t="s">
        <v>62</v>
      </c>
      <c r="C2962">
        <v>25.118376242804359</v>
      </c>
      <c r="D2962">
        <v>1.1377682879129929</v>
      </c>
      <c r="E2962">
        <v>0.98521784807047741</v>
      </c>
      <c r="F2962">
        <v>2.7938982783667701</v>
      </c>
      <c r="G2962">
        <v>6.2313993885375112</v>
      </c>
      <c r="H2962">
        <v>67.264517004379726</v>
      </c>
      <c r="I2962">
        <v>20.012725124649879</v>
      </c>
      <c r="J2962">
        <v>24.521486766928291</v>
      </c>
      <c r="K2962">
        <v>1199.5511574241841</v>
      </c>
      <c r="L2962">
        <v>0</v>
      </c>
      <c r="M2962" t="s">
        <v>69</v>
      </c>
    </row>
    <row r="2963" spans="1:13" x14ac:dyDescent="0.3">
      <c r="A2963" t="s">
        <v>24</v>
      </c>
      <c r="B2963" t="s">
        <v>59</v>
      </c>
      <c r="C2963">
        <v>61.082530117213459</v>
      </c>
      <c r="D2963">
        <v>2.1042289323479468</v>
      </c>
      <c r="E2963">
        <v>3.699023893639851</v>
      </c>
      <c r="F2963">
        <v>8.9194901512729281</v>
      </c>
      <c r="G2963">
        <v>6.6022453376512127</v>
      </c>
      <c r="H2963">
        <v>55.725045937787037</v>
      </c>
      <c r="I2963">
        <v>27.226769633284881</v>
      </c>
      <c r="J2963">
        <v>23.492203725325371</v>
      </c>
      <c r="K2963">
        <v>736.3622963099117</v>
      </c>
      <c r="L2963">
        <v>0</v>
      </c>
      <c r="M2963" t="s">
        <v>69</v>
      </c>
    </row>
    <row r="2964" spans="1:13" x14ac:dyDescent="0.3">
      <c r="A2964" t="s">
        <v>25</v>
      </c>
      <c r="B2964" t="s">
        <v>62</v>
      </c>
      <c r="C2964">
        <v>587.61128091075409</v>
      </c>
      <c r="D2964">
        <v>29.357002067045538</v>
      </c>
      <c r="E2964">
        <v>40.772321437020381</v>
      </c>
      <c r="F2964">
        <v>92.007856738766918</v>
      </c>
      <c r="G2964">
        <v>4.4819667554565266</v>
      </c>
      <c r="H2964">
        <v>85.784660183731489</v>
      </c>
      <c r="I2964">
        <v>27.27321212258077</v>
      </c>
      <c r="J2964">
        <v>23.626941241005959</v>
      </c>
      <c r="K2964">
        <v>708.16715903926979</v>
      </c>
      <c r="L2964">
        <v>0</v>
      </c>
      <c r="M2964" t="s">
        <v>69</v>
      </c>
    </row>
    <row r="2965" spans="1:13" x14ac:dyDescent="0.3">
      <c r="A2965" t="s">
        <v>22</v>
      </c>
      <c r="B2965" t="s">
        <v>53</v>
      </c>
      <c r="C2965">
        <v>24.026748798509711</v>
      </c>
      <c r="D2965">
        <v>1.0992979917183421</v>
      </c>
      <c r="E2965">
        <v>1.2562582866066641</v>
      </c>
      <c r="F2965">
        <v>2.9570846156803992</v>
      </c>
      <c r="G2965">
        <v>6.2940864142881372</v>
      </c>
      <c r="H2965">
        <v>18.00920230373999</v>
      </c>
      <c r="I2965">
        <v>30.934439779565771</v>
      </c>
      <c r="J2965">
        <v>25.044996835153061</v>
      </c>
      <c r="K2965">
        <v>1266.845930209005</v>
      </c>
      <c r="L2965">
        <v>0</v>
      </c>
      <c r="M2965" t="s">
        <v>69</v>
      </c>
    </row>
    <row r="2966" spans="1:13" x14ac:dyDescent="0.3">
      <c r="A2966" t="s">
        <v>19</v>
      </c>
      <c r="B2966" t="s">
        <v>44</v>
      </c>
      <c r="C2966">
        <v>18.334405663700711</v>
      </c>
      <c r="D2966">
        <v>0</v>
      </c>
      <c r="E2966">
        <v>1.0964353137285869</v>
      </c>
      <c r="F2966">
        <v>2.3345941490786992</v>
      </c>
      <c r="G2966">
        <v>5.3345213362600612</v>
      </c>
      <c r="H2966">
        <v>15.125457337557959</v>
      </c>
      <c r="I2966">
        <v>30.427730240214299</v>
      </c>
      <c r="J2966">
        <v>23.019075629979199</v>
      </c>
      <c r="K2966">
        <v>1341.235014205668</v>
      </c>
      <c r="L2966">
        <v>0</v>
      </c>
      <c r="M2966" t="s">
        <v>69</v>
      </c>
    </row>
    <row r="2967" spans="1:13" x14ac:dyDescent="0.3">
      <c r="A2967" t="s">
        <v>19</v>
      </c>
      <c r="B2967" t="s">
        <v>48</v>
      </c>
      <c r="C2967">
        <v>44.090800111411198</v>
      </c>
      <c r="D2967">
        <v>1.933306372032908</v>
      </c>
      <c r="E2967">
        <v>3.0587820049420622</v>
      </c>
      <c r="F2967">
        <v>6.8707107201348538</v>
      </c>
      <c r="G2967">
        <v>6.1038212892731796</v>
      </c>
      <c r="H2967">
        <v>20.109433516183412</v>
      </c>
      <c r="I2967">
        <v>32.040111667128429</v>
      </c>
      <c r="J2967">
        <v>26.128945775605349</v>
      </c>
      <c r="K2967">
        <v>1165.2319011547961</v>
      </c>
      <c r="L2967">
        <v>0</v>
      </c>
      <c r="M2967" t="s">
        <v>69</v>
      </c>
    </row>
    <row r="2968" spans="1:13" x14ac:dyDescent="0.3">
      <c r="A2968" t="s">
        <v>25</v>
      </c>
      <c r="B2968" t="s">
        <v>62</v>
      </c>
      <c r="C2968">
        <v>247.55440796087899</v>
      </c>
      <c r="D2968">
        <v>17.890345219546472</v>
      </c>
      <c r="E2968">
        <v>24.79540312911832</v>
      </c>
      <c r="F2968">
        <v>65.971380513201595</v>
      </c>
      <c r="G2968">
        <v>4.3</v>
      </c>
      <c r="H2968">
        <v>70.148415904222944</v>
      </c>
      <c r="I2968">
        <v>29.728756879386349</v>
      </c>
      <c r="J2968">
        <v>22.428347454569771</v>
      </c>
      <c r="K2968">
        <v>706.80608593136265</v>
      </c>
      <c r="L2968">
        <v>0</v>
      </c>
      <c r="M2968" t="s">
        <v>69</v>
      </c>
    </row>
    <row r="2969" spans="1:13" x14ac:dyDescent="0.3">
      <c r="A2969" t="s">
        <v>19</v>
      </c>
      <c r="B2969" t="s">
        <v>48</v>
      </c>
      <c r="C2969">
        <v>41.011321030633603</v>
      </c>
      <c r="D2969">
        <v>1.033352913297759</v>
      </c>
      <c r="E2969">
        <v>2.007999731291163</v>
      </c>
      <c r="F2969">
        <v>7.5263013769691671</v>
      </c>
      <c r="G2969">
        <v>6.3725603145571021</v>
      </c>
      <c r="H2969">
        <v>18.300096031100178</v>
      </c>
      <c r="I2969">
        <v>30.92740173011239</v>
      </c>
      <c r="J2969">
        <v>27.331880539114689</v>
      </c>
      <c r="K2969">
        <v>1162.184094160458</v>
      </c>
      <c r="L2969">
        <v>0</v>
      </c>
      <c r="M2969" t="s">
        <v>69</v>
      </c>
    </row>
    <row r="2970" spans="1:13" x14ac:dyDescent="0.3">
      <c r="A2970" t="s">
        <v>24</v>
      </c>
      <c r="B2970" t="s">
        <v>58</v>
      </c>
      <c r="C2970">
        <v>13.27724371558509</v>
      </c>
      <c r="D2970">
        <v>0</v>
      </c>
      <c r="E2970">
        <v>0</v>
      </c>
      <c r="F2970">
        <v>2.1704110684540461</v>
      </c>
      <c r="G2970">
        <v>6.5417267725909678</v>
      </c>
      <c r="H2970">
        <v>41.689494694558277</v>
      </c>
      <c r="I2970">
        <v>24.171740514558291</v>
      </c>
      <c r="J2970">
        <v>22.73635656525763</v>
      </c>
      <c r="K2970">
        <v>736.66223301041146</v>
      </c>
      <c r="L2970">
        <v>0</v>
      </c>
      <c r="M2970" t="s">
        <v>69</v>
      </c>
    </row>
    <row r="2971" spans="1:13" x14ac:dyDescent="0.3">
      <c r="A2971" t="s">
        <v>25</v>
      </c>
      <c r="B2971" t="s">
        <v>62</v>
      </c>
      <c r="C2971">
        <v>266.33019251023092</v>
      </c>
      <c r="D2971">
        <v>20.86027860662945</v>
      </c>
      <c r="E2971">
        <v>27.334406210338081</v>
      </c>
      <c r="F2971">
        <v>58.294334991681033</v>
      </c>
      <c r="G2971">
        <v>4.3602503691959518</v>
      </c>
      <c r="H2971">
        <v>70.213435793557252</v>
      </c>
      <c r="I2971">
        <v>28.65234543974902</v>
      </c>
      <c r="J2971">
        <v>24.794710765459989</v>
      </c>
      <c r="K2971">
        <v>715.1704176179793</v>
      </c>
      <c r="L2971">
        <v>0</v>
      </c>
      <c r="M2971" t="s">
        <v>69</v>
      </c>
    </row>
    <row r="2972" spans="1:13" x14ac:dyDescent="0.3">
      <c r="A2972" t="s">
        <v>21</v>
      </c>
      <c r="B2972" t="s">
        <v>52</v>
      </c>
      <c r="C2972">
        <v>135.99969986564469</v>
      </c>
      <c r="D2972">
        <v>5.8944860842979567</v>
      </c>
      <c r="E2972">
        <v>10.298417734676891</v>
      </c>
      <c r="F2972">
        <v>21.31506664024112</v>
      </c>
      <c r="G2972">
        <v>5.6688307791383634</v>
      </c>
      <c r="H2972">
        <v>55.968251084535439</v>
      </c>
      <c r="I2972">
        <v>28.04230204754645</v>
      </c>
      <c r="J2972">
        <v>24.46002031174454</v>
      </c>
      <c r="K2972">
        <v>744.47721497824818</v>
      </c>
      <c r="L2972">
        <v>0</v>
      </c>
      <c r="M2972" t="s">
        <v>69</v>
      </c>
    </row>
    <row r="2973" spans="1:13" x14ac:dyDescent="0.3">
      <c r="A2973" t="s">
        <v>19</v>
      </c>
      <c r="B2973" t="s">
        <v>48</v>
      </c>
      <c r="C2973">
        <v>27.116131056629371</v>
      </c>
      <c r="D2973">
        <v>1.015320226508331</v>
      </c>
      <c r="E2973">
        <v>0.98305066122445339</v>
      </c>
      <c r="F2973">
        <v>4.0597741233337166</v>
      </c>
      <c r="G2973">
        <v>5.9826369493413933</v>
      </c>
      <c r="H2973">
        <v>16.119879163199201</v>
      </c>
      <c r="I2973">
        <v>30.63106934717721</v>
      </c>
      <c r="J2973">
        <v>26.219921387311391</v>
      </c>
      <c r="K2973">
        <v>1173.182774429137</v>
      </c>
      <c r="L2973">
        <v>0</v>
      </c>
      <c r="M2973" t="s">
        <v>69</v>
      </c>
    </row>
    <row r="2974" spans="1:13" x14ac:dyDescent="0.3">
      <c r="A2974" t="s">
        <v>19</v>
      </c>
      <c r="B2974" t="s">
        <v>45</v>
      </c>
      <c r="C2974">
        <v>21.063491625660891</v>
      </c>
      <c r="D2974">
        <v>1.140252069384633</v>
      </c>
      <c r="E2974">
        <v>1.1192445094190551</v>
      </c>
      <c r="F2974">
        <v>2.8272623691117702</v>
      </c>
      <c r="G2974">
        <v>6.1501183243615669</v>
      </c>
      <c r="H2974">
        <v>19.509497553325431</v>
      </c>
      <c r="I2974">
        <v>31.860214122649651</v>
      </c>
      <c r="J2974">
        <v>23.14796457122462</v>
      </c>
      <c r="K2974">
        <v>1332.860993003188</v>
      </c>
      <c r="L2974">
        <v>0</v>
      </c>
      <c r="M2974" t="s">
        <v>69</v>
      </c>
    </row>
    <row r="2975" spans="1:13" x14ac:dyDescent="0.3">
      <c r="A2975" t="s">
        <v>19</v>
      </c>
      <c r="B2975" t="s">
        <v>48</v>
      </c>
      <c r="C2975">
        <v>27.415250858345289</v>
      </c>
      <c r="D2975">
        <v>0.97169482782742644</v>
      </c>
      <c r="E2975">
        <v>1.040086118707966</v>
      </c>
      <c r="F2975">
        <v>4.3818844824484113</v>
      </c>
      <c r="G2975">
        <v>5.7743650087514169</v>
      </c>
      <c r="H2975">
        <v>16.750530866107859</v>
      </c>
      <c r="I2975">
        <v>29.726328733298281</v>
      </c>
      <c r="J2975">
        <v>25.463954796272368</v>
      </c>
      <c r="K2975">
        <v>1183.039097220978</v>
      </c>
      <c r="L2975">
        <v>0</v>
      </c>
      <c r="M2975" t="s">
        <v>69</v>
      </c>
    </row>
    <row r="2976" spans="1:13" x14ac:dyDescent="0.3">
      <c r="A2976" t="s">
        <v>20</v>
      </c>
      <c r="B2976" t="s">
        <v>49</v>
      </c>
      <c r="C2976">
        <v>25.13534537327693</v>
      </c>
      <c r="D2976">
        <v>1.033704886868074</v>
      </c>
      <c r="E2976">
        <v>0.94628746568295963</v>
      </c>
      <c r="F2976">
        <v>3.5370819095248578</v>
      </c>
      <c r="G2976">
        <v>5.8845668651993028</v>
      </c>
      <c r="H2976">
        <v>16.816946163083369</v>
      </c>
      <c r="I2976">
        <v>31.616636319609771</v>
      </c>
      <c r="J2976">
        <v>26.223356365890041</v>
      </c>
      <c r="K2976">
        <v>1153.3367929448409</v>
      </c>
      <c r="L2976">
        <v>0</v>
      </c>
      <c r="M2976" t="s">
        <v>69</v>
      </c>
    </row>
    <row r="2977" spans="1:13" x14ac:dyDescent="0.3">
      <c r="A2977" t="s">
        <v>24</v>
      </c>
      <c r="B2977" t="s">
        <v>59</v>
      </c>
      <c r="C2977">
        <v>59.356277204939133</v>
      </c>
      <c r="D2977">
        <v>2.0314794390269948</v>
      </c>
      <c r="E2977">
        <v>3.684456403113995</v>
      </c>
      <c r="F2977">
        <v>9.4749121299929708</v>
      </c>
      <c r="G2977">
        <v>6.6427764949756094</v>
      </c>
      <c r="H2977">
        <v>55.837270763991128</v>
      </c>
      <c r="I2977">
        <v>27.599491048425168</v>
      </c>
      <c r="J2977">
        <v>23.294082275404911</v>
      </c>
      <c r="K2977">
        <v>743.47657703801258</v>
      </c>
      <c r="L2977">
        <v>0</v>
      </c>
      <c r="M2977" t="s">
        <v>69</v>
      </c>
    </row>
    <row r="2978" spans="1:13" x14ac:dyDescent="0.3">
      <c r="A2978" t="s">
        <v>19</v>
      </c>
      <c r="B2978" t="s">
        <v>44</v>
      </c>
      <c r="C2978">
        <v>22.520088816576461</v>
      </c>
      <c r="D2978">
        <v>0.98471943849354782</v>
      </c>
      <c r="E2978">
        <v>0.94642949412895039</v>
      </c>
      <c r="F2978">
        <v>3.1684877633156741</v>
      </c>
      <c r="G2978">
        <v>6.6328447195385012</v>
      </c>
      <c r="H2978">
        <v>19.117701632019919</v>
      </c>
      <c r="I2978">
        <v>26.85855393073895</v>
      </c>
      <c r="J2978">
        <v>23.9563339234188</v>
      </c>
      <c r="K2978">
        <v>1320.8374065030191</v>
      </c>
      <c r="L2978">
        <v>0</v>
      </c>
      <c r="M2978" t="s">
        <v>69</v>
      </c>
    </row>
    <row r="2979" spans="1:13" x14ac:dyDescent="0.3">
      <c r="A2979" t="s">
        <v>24</v>
      </c>
      <c r="B2979" t="s">
        <v>59</v>
      </c>
      <c r="C2979">
        <v>60.455832595349442</v>
      </c>
      <c r="D2979">
        <v>2.084835725525982</v>
      </c>
      <c r="E2979">
        <v>3.6801430310316099</v>
      </c>
      <c r="F2979">
        <v>9.0763183842543924</v>
      </c>
      <c r="G2979">
        <v>6.6170926456626544</v>
      </c>
      <c r="H2979">
        <v>55.707005101639957</v>
      </c>
      <c r="I2979">
        <v>27.380692406865691</v>
      </c>
      <c r="J2979">
        <v>23.399174112950408</v>
      </c>
      <c r="K2979">
        <v>739.72460170991292</v>
      </c>
      <c r="L2979">
        <v>0</v>
      </c>
      <c r="M2979" t="s">
        <v>69</v>
      </c>
    </row>
    <row r="2980" spans="1:13" x14ac:dyDescent="0.3">
      <c r="A2980" t="s">
        <v>24</v>
      </c>
      <c r="B2980" t="s">
        <v>58</v>
      </c>
      <c r="C2980">
        <v>28.88540076351568</v>
      </c>
      <c r="D2980">
        <v>1.0227593332201099</v>
      </c>
      <c r="E2980">
        <v>1.9805023322129141</v>
      </c>
      <c r="F2980">
        <v>3.9214439701200221</v>
      </c>
      <c r="G2980">
        <v>6.9870975454807907</v>
      </c>
      <c r="H2980">
        <v>34.026066575842123</v>
      </c>
      <c r="I2980">
        <v>26.44316456966903</v>
      </c>
      <c r="J2980">
        <v>23.583405518449322</v>
      </c>
      <c r="K2980">
        <v>740.79141599951356</v>
      </c>
      <c r="L2980">
        <v>0</v>
      </c>
      <c r="M2980" t="s">
        <v>69</v>
      </c>
    </row>
    <row r="2981" spans="1:13" x14ac:dyDescent="0.3">
      <c r="A2981" t="s">
        <v>19</v>
      </c>
      <c r="B2981" t="s">
        <v>44</v>
      </c>
      <c r="C2981">
        <v>22.879396458920919</v>
      </c>
      <c r="D2981">
        <v>0.99542031699239431</v>
      </c>
      <c r="E2981">
        <v>0.9857998434938624</v>
      </c>
      <c r="F2981">
        <v>2.9885456129793329</v>
      </c>
      <c r="G2981">
        <v>6.517156973015088</v>
      </c>
      <c r="H2981">
        <v>19.15663453046659</v>
      </c>
      <c r="I2981">
        <v>26.94106611952277</v>
      </c>
      <c r="J2981">
        <v>23.948092465180661</v>
      </c>
      <c r="K2981">
        <v>1320.1166503979509</v>
      </c>
      <c r="L2981">
        <v>0</v>
      </c>
      <c r="M2981" t="s">
        <v>69</v>
      </c>
    </row>
    <row r="2982" spans="1:13" x14ac:dyDescent="0.3">
      <c r="A2982" t="s">
        <v>25</v>
      </c>
      <c r="B2982" t="s">
        <v>62</v>
      </c>
      <c r="C2982">
        <v>41.110838857827858</v>
      </c>
      <c r="D2982">
        <v>1.9483929100780271</v>
      </c>
      <c r="E2982">
        <v>2.9595515735995228</v>
      </c>
      <c r="F2982">
        <v>6.4701964958318134</v>
      </c>
      <c r="G2982">
        <v>6.0819763424810871</v>
      </c>
      <c r="H2982">
        <v>20.24342537315707</v>
      </c>
      <c r="I2982">
        <v>31.840650570027751</v>
      </c>
      <c r="J2982">
        <v>25.34169089930716</v>
      </c>
      <c r="K2982">
        <v>1198.7338407321211</v>
      </c>
      <c r="L2982">
        <v>0</v>
      </c>
      <c r="M2982" t="s">
        <v>69</v>
      </c>
    </row>
    <row r="2983" spans="1:13" x14ac:dyDescent="0.3">
      <c r="A2983" t="s">
        <v>21</v>
      </c>
      <c r="B2983" t="s">
        <v>52</v>
      </c>
      <c r="C2983">
        <v>139.32259382959691</v>
      </c>
      <c r="D2983">
        <v>5.5749871646013389</v>
      </c>
      <c r="E2983">
        <v>9.482619196744368</v>
      </c>
      <c r="F2983">
        <v>20.723913661318189</v>
      </c>
      <c r="G2983">
        <v>5.5823286172820934</v>
      </c>
      <c r="H2983">
        <v>55.195705575340767</v>
      </c>
      <c r="I2983">
        <v>27.174053114728189</v>
      </c>
      <c r="J2983">
        <v>24.559585907432901</v>
      </c>
      <c r="K2983">
        <v>747.48200551547916</v>
      </c>
      <c r="L2983">
        <v>0</v>
      </c>
      <c r="M2983" t="s">
        <v>69</v>
      </c>
    </row>
    <row r="2984" spans="1:13" x14ac:dyDescent="0.3">
      <c r="A2984" t="s">
        <v>25</v>
      </c>
      <c r="B2984" t="s">
        <v>62</v>
      </c>
      <c r="C2984">
        <v>248.14383723821379</v>
      </c>
      <c r="D2984">
        <v>19.132423350735341</v>
      </c>
      <c r="E2984">
        <v>28.14130720231422</v>
      </c>
      <c r="F2984">
        <v>64.189991317512863</v>
      </c>
      <c r="G2984">
        <v>4.4767195960350374</v>
      </c>
      <c r="H2984">
        <v>80.664393432389744</v>
      </c>
      <c r="I2984">
        <v>30.738734732999831</v>
      </c>
      <c r="J2984">
        <v>23.94211395862629</v>
      </c>
      <c r="K2984">
        <v>728.21172055407783</v>
      </c>
      <c r="L2984">
        <v>0</v>
      </c>
      <c r="M2984" t="s">
        <v>69</v>
      </c>
    </row>
    <row r="2985" spans="1:13" x14ac:dyDescent="0.3">
      <c r="A2985" t="s">
        <v>19</v>
      </c>
      <c r="B2985" t="s">
        <v>48</v>
      </c>
      <c r="C2985">
        <v>42.665889913481507</v>
      </c>
      <c r="D2985">
        <v>2.0085127687160811</v>
      </c>
      <c r="E2985">
        <v>3.002105269469955</v>
      </c>
      <c r="F2985">
        <v>6.6794745913428546</v>
      </c>
      <c r="G2985">
        <v>6.0849710053073949</v>
      </c>
      <c r="H2985">
        <v>20.114311609503179</v>
      </c>
      <c r="I2985">
        <v>31.923380565677011</v>
      </c>
      <c r="J2985">
        <v>25.572402713998631</v>
      </c>
      <c r="K2985">
        <v>1189.9616258112389</v>
      </c>
      <c r="L2985">
        <v>0</v>
      </c>
      <c r="M2985" t="s">
        <v>69</v>
      </c>
    </row>
    <row r="2986" spans="1:13" x14ac:dyDescent="0.3">
      <c r="A2986" t="s">
        <v>21</v>
      </c>
      <c r="B2986" t="s">
        <v>52</v>
      </c>
      <c r="C2986">
        <v>131.26871933419179</v>
      </c>
      <c r="D2986">
        <v>6.1328902764322244</v>
      </c>
      <c r="E2986">
        <v>9.6961152332185563</v>
      </c>
      <c r="F2986">
        <v>21.105806261405061</v>
      </c>
      <c r="G2986">
        <v>5.4655093496603646</v>
      </c>
      <c r="H2986">
        <v>58.05242883303896</v>
      </c>
      <c r="I2986">
        <v>28.344426458681809</v>
      </c>
      <c r="J2986">
        <v>24.278827989406651</v>
      </c>
      <c r="K2986">
        <v>743.83600560597574</v>
      </c>
      <c r="L2986">
        <v>0</v>
      </c>
      <c r="M2986" t="s">
        <v>69</v>
      </c>
    </row>
    <row r="2987" spans="1:13" x14ac:dyDescent="0.3">
      <c r="A2987" t="s">
        <v>19</v>
      </c>
      <c r="B2987" t="s">
        <v>45</v>
      </c>
      <c r="C2987">
        <v>19.818774719169181</v>
      </c>
      <c r="D2987">
        <v>1.0553573895676529</v>
      </c>
      <c r="E2987">
        <v>1.123332111830432</v>
      </c>
      <c r="F2987">
        <v>3.334435968096285</v>
      </c>
      <c r="G2987">
        <v>6.1268460645504206</v>
      </c>
      <c r="H2987">
        <v>17.91311333874047</v>
      </c>
      <c r="I2987">
        <v>31.570980018322111</v>
      </c>
      <c r="J2987">
        <v>24.527306727707501</v>
      </c>
      <c r="K2987">
        <v>1328.0142807423199</v>
      </c>
      <c r="L2987">
        <v>0</v>
      </c>
      <c r="M2987" t="s">
        <v>69</v>
      </c>
    </row>
    <row r="2988" spans="1:13" x14ac:dyDescent="0.3">
      <c r="A2988" t="s">
        <v>19</v>
      </c>
      <c r="B2988" t="s">
        <v>44</v>
      </c>
      <c r="C2988">
        <v>22.870307668825749</v>
      </c>
      <c r="D2988">
        <v>1.041406521077102</v>
      </c>
      <c r="E2988">
        <v>1.0936674331178129</v>
      </c>
      <c r="F2988">
        <v>3.2241579418050841</v>
      </c>
      <c r="G2988">
        <v>6.5824971145144868</v>
      </c>
      <c r="H2988">
        <v>18.38192494335755</v>
      </c>
      <c r="I2988">
        <v>27.26597529116108</v>
      </c>
      <c r="J2988">
        <v>24.571026718550009</v>
      </c>
      <c r="K2988">
        <v>1337.3253595989411</v>
      </c>
      <c r="L2988">
        <v>0</v>
      </c>
      <c r="M2988" t="s">
        <v>69</v>
      </c>
    </row>
    <row r="2989" spans="1:13" x14ac:dyDescent="0.3">
      <c r="A2989" t="s">
        <v>19</v>
      </c>
      <c r="B2989" t="s">
        <v>48</v>
      </c>
      <c r="C2989">
        <v>38.532664663621148</v>
      </c>
      <c r="D2989">
        <v>1.0327619805663411</v>
      </c>
      <c r="E2989">
        <v>2.1869898607764808</v>
      </c>
      <c r="F2989">
        <v>6.1855627153419839</v>
      </c>
      <c r="G2989">
        <v>6.1559232270001516</v>
      </c>
      <c r="H2989">
        <v>16.60193463214366</v>
      </c>
      <c r="I2989">
        <v>31.769700515508362</v>
      </c>
      <c r="J2989">
        <v>24.890135525707429</v>
      </c>
      <c r="K2989">
        <v>1170.5623530973021</v>
      </c>
      <c r="L2989">
        <v>0</v>
      </c>
      <c r="M2989" t="s">
        <v>69</v>
      </c>
    </row>
    <row r="2990" spans="1:13" x14ac:dyDescent="0.3">
      <c r="A2990" t="s">
        <v>24</v>
      </c>
      <c r="B2990" t="s">
        <v>58</v>
      </c>
      <c r="C2990">
        <v>13.004009706271891</v>
      </c>
      <c r="D2990">
        <v>0</v>
      </c>
      <c r="E2990">
        <v>0</v>
      </c>
      <c r="F2990">
        <v>1.7595332701613491</v>
      </c>
      <c r="G2990">
        <v>6.486178716444579</v>
      </c>
      <c r="H2990">
        <v>42.726575339133248</v>
      </c>
      <c r="I2990">
        <v>24.22270948765668</v>
      </c>
      <c r="J2990">
        <v>22.898027974065329</v>
      </c>
      <c r="K2990">
        <v>754.10512544158132</v>
      </c>
      <c r="L2990">
        <v>0</v>
      </c>
      <c r="M2990" t="s">
        <v>69</v>
      </c>
    </row>
    <row r="2991" spans="1:13" x14ac:dyDescent="0.3">
      <c r="A2991" t="s">
        <v>25</v>
      </c>
      <c r="B2991" t="s">
        <v>62</v>
      </c>
      <c r="C2991">
        <v>23.824306078129649</v>
      </c>
      <c r="D2991">
        <v>0.86809072968360024</v>
      </c>
      <c r="E2991">
        <v>0.95244874485397357</v>
      </c>
      <c r="F2991">
        <v>2.7539038733219741</v>
      </c>
      <c r="G2991">
        <v>6.2092454863142343</v>
      </c>
      <c r="H2991">
        <v>60.82211610886128</v>
      </c>
      <c r="I2991">
        <v>20.08660527081263</v>
      </c>
      <c r="J2991">
        <v>23.7971624683505</v>
      </c>
      <c r="K2991">
        <v>1211.8512171562741</v>
      </c>
      <c r="L2991">
        <v>0</v>
      </c>
      <c r="M2991" t="s">
        <v>69</v>
      </c>
    </row>
    <row r="2992" spans="1:13" x14ac:dyDescent="0.3">
      <c r="A2992" t="s">
        <v>19</v>
      </c>
      <c r="B2992" t="s">
        <v>44</v>
      </c>
      <c r="C2992">
        <v>18.906439306108538</v>
      </c>
      <c r="D2992">
        <v>0</v>
      </c>
      <c r="E2992">
        <v>1.006726449918224</v>
      </c>
      <c r="F2992">
        <v>3.0217825658352702</v>
      </c>
      <c r="G2992">
        <v>5.2354908539378124</v>
      </c>
      <c r="H2992">
        <v>14.523046326991929</v>
      </c>
      <c r="I2992">
        <v>31.611663199995188</v>
      </c>
      <c r="J2992">
        <v>23.88364110389152</v>
      </c>
      <c r="K2992">
        <v>1321.822677326609</v>
      </c>
      <c r="L2992">
        <v>0</v>
      </c>
      <c r="M2992" t="s">
        <v>69</v>
      </c>
    </row>
    <row r="2993" spans="1:13" x14ac:dyDescent="0.3">
      <c r="A2993" t="s">
        <v>19</v>
      </c>
      <c r="B2993" t="s">
        <v>48</v>
      </c>
      <c r="C2993">
        <v>40.179736596978607</v>
      </c>
      <c r="D2993">
        <v>2.0386253644765748</v>
      </c>
      <c r="E2993">
        <v>2.1525692593363699</v>
      </c>
      <c r="F2993">
        <v>5.4084099590509229</v>
      </c>
      <c r="G2993">
        <v>6.1580517653037896</v>
      </c>
      <c r="H2993">
        <v>17.094141130102241</v>
      </c>
      <c r="I2993">
        <v>32.866178088918552</v>
      </c>
      <c r="J2993">
        <v>26.20354939246997</v>
      </c>
      <c r="K2993">
        <v>1154.424267556027</v>
      </c>
      <c r="L2993">
        <v>0</v>
      </c>
      <c r="M2993" t="s">
        <v>69</v>
      </c>
    </row>
    <row r="2994" spans="1:13" x14ac:dyDescent="0.3">
      <c r="A2994" t="s">
        <v>19</v>
      </c>
      <c r="B2994" t="s">
        <v>44</v>
      </c>
      <c r="C2994">
        <v>22.933982639705501</v>
      </c>
      <c r="D2994">
        <v>0.99880897653246103</v>
      </c>
      <c r="E2994">
        <v>0.99015734826198543</v>
      </c>
      <c r="F2994">
        <v>2.972548998903374</v>
      </c>
      <c r="G2994">
        <v>6.4740595664053231</v>
      </c>
      <c r="H2994">
        <v>19.240383907497009</v>
      </c>
      <c r="I2994">
        <v>27.055428233786969</v>
      </c>
      <c r="J2994">
        <v>23.72576401793064</v>
      </c>
      <c r="K2994">
        <v>1314.451460793465</v>
      </c>
      <c r="L2994">
        <v>0</v>
      </c>
      <c r="M2994" t="s">
        <v>69</v>
      </c>
    </row>
    <row r="2995" spans="1:13" x14ac:dyDescent="0.3">
      <c r="A2995" t="s">
        <v>24</v>
      </c>
      <c r="B2995" t="s">
        <v>58</v>
      </c>
      <c r="C2995">
        <v>28.845617083736489</v>
      </c>
      <c r="D2995">
        <v>1.026003846198458</v>
      </c>
      <c r="E2995">
        <v>1.9796401247619799</v>
      </c>
      <c r="F2995">
        <v>3.9266182967593992</v>
      </c>
      <c r="G2995">
        <v>7.00614388600955</v>
      </c>
      <c r="H2995">
        <v>34.119169438599251</v>
      </c>
      <c r="I2995">
        <v>26.686734731559831</v>
      </c>
      <c r="J2995">
        <v>23.733271030590789</v>
      </c>
      <c r="K2995">
        <v>741.52629495729946</v>
      </c>
      <c r="L2995">
        <v>0</v>
      </c>
      <c r="M2995" t="s">
        <v>69</v>
      </c>
    </row>
    <row r="2996" spans="1:13" x14ac:dyDescent="0.3">
      <c r="A2996" t="s">
        <v>25</v>
      </c>
      <c r="B2996" t="s">
        <v>62</v>
      </c>
      <c r="C2996">
        <v>32.373687108669607</v>
      </c>
      <c r="D2996">
        <v>1.1047002549145879</v>
      </c>
      <c r="E2996">
        <v>2.1273008035276222</v>
      </c>
      <c r="F2996">
        <v>4.7113817580773549</v>
      </c>
      <c r="G2996">
        <v>6.4969665917582784</v>
      </c>
      <c r="H2996">
        <v>37.118042240786707</v>
      </c>
      <c r="I2996">
        <v>20.165993839302391</v>
      </c>
      <c r="J2996">
        <v>23.947375232461159</v>
      </c>
      <c r="K2996">
        <v>1089.8877136832789</v>
      </c>
      <c r="L2996">
        <v>0</v>
      </c>
      <c r="M2996" t="s">
        <v>69</v>
      </c>
    </row>
    <row r="2997" spans="1:13" x14ac:dyDescent="0.3">
      <c r="A2997" t="s">
        <v>24</v>
      </c>
      <c r="B2997" t="s">
        <v>59</v>
      </c>
      <c r="C2997">
        <v>59.735714566418018</v>
      </c>
      <c r="D2997">
        <v>1.7925795351970391</v>
      </c>
      <c r="E2997">
        <v>3.751986226671558</v>
      </c>
      <c r="F2997">
        <v>9.7729097461566017</v>
      </c>
      <c r="G2997">
        <v>6.6943474481074476</v>
      </c>
      <c r="H2997">
        <v>60.589273959914998</v>
      </c>
      <c r="I2997">
        <v>27.22650692637631</v>
      </c>
      <c r="J2997">
        <v>22.744015451774771</v>
      </c>
      <c r="K2997">
        <v>737.26815396054042</v>
      </c>
      <c r="L2997">
        <v>0</v>
      </c>
      <c r="M2997" t="s">
        <v>69</v>
      </c>
    </row>
    <row r="2998" spans="1:13" x14ac:dyDescent="0.3">
      <c r="A2998" t="s">
        <v>24</v>
      </c>
      <c r="B2998" t="s">
        <v>59</v>
      </c>
      <c r="C2998">
        <v>60.968639479508717</v>
      </c>
      <c r="D2998">
        <v>2.0803933951905349</v>
      </c>
      <c r="E2998">
        <v>3.7349324608200658</v>
      </c>
      <c r="F2998">
        <v>9.0776881886248084</v>
      </c>
      <c r="G2998">
        <v>6.6045588880306676</v>
      </c>
      <c r="H2998">
        <v>55.891901007271613</v>
      </c>
      <c r="I2998">
        <v>27.200878997462169</v>
      </c>
      <c r="J2998">
        <v>23.536377361855831</v>
      </c>
      <c r="K2998">
        <v>734.71712374881372</v>
      </c>
      <c r="L2998">
        <v>0</v>
      </c>
      <c r="M2998" t="s">
        <v>69</v>
      </c>
    </row>
    <row r="2999" spans="1:13" x14ac:dyDescent="0.3">
      <c r="A2999" t="s">
        <v>19</v>
      </c>
      <c r="B2999" t="s">
        <v>48</v>
      </c>
      <c r="C2999">
        <v>39.134344137561399</v>
      </c>
      <c r="D2999">
        <v>1.0364733585500241</v>
      </c>
      <c r="E2999">
        <v>2.0248789595701862</v>
      </c>
      <c r="F2999">
        <v>6.4820685383782521</v>
      </c>
      <c r="G2999">
        <v>6.2106380882519332</v>
      </c>
      <c r="H2999">
        <v>16.9760073511043</v>
      </c>
      <c r="I2999">
        <v>31.85839523670883</v>
      </c>
      <c r="J2999">
        <v>24.9557777215126</v>
      </c>
      <c r="K2999">
        <v>1190.982609359969</v>
      </c>
      <c r="L2999">
        <v>0</v>
      </c>
      <c r="M2999" t="s">
        <v>69</v>
      </c>
    </row>
    <row r="3000" spans="1:13" x14ac:dyDescent="0.3">
      <c r="A3000" t="s">
        <v>19</v>
      </c>
      <c r="B3000" t="s">
        <v>44</v>
      </c>
      <c r="C3000">
        <v>22.628920455042721</v>
      </c>
      <c r="D3000">
        <v>1.044122414685376</v>
      </c>
      <c r="E3000">
        <v>0.96670318577524661</v>
      </c>
      <c r="F3000">
        <v>2.8789767956965449</v>
      </c>
      <c r="G3000">
        <v>6.4218399983970631</v>
      </c>
      <c r="H3000">
        <v>19.535877769971421</v>
      </c>
      <c r="I3000">
        <v>27.30686309809953</v>
      </c>
      <c r="J3000">
        <v>23.32373531560625</v>
      </c>
      <c r="K3000">
        <v>1313.379531016762</v>
      </c>
      <c r="L3000">
        <v>0</v>
      </c>
      <c r="M3000" t="s">
        <v>69</v>
      </c>
    </row>
    <row r="3001" spans="1:13" x14ac:dyDescent="0.3">
      <c r="A3001" t="s">
        <v>19</v>
      </c>
      <c r="B3001" t="s">
        <v>48</v>
      </c>
      <c r="C3001">
        <v>27.18082095247911</v>
      </c>
      <c r="D3001">
        <v>0.9937173538025017</v>
      </c>
      <c r="E3001">
        <v>0.98779090569962946</v>
      </c>
      <c r="F3001">
        <v>3.997021715940813</v>
      </c>
      <c r="G3001">
        <v>6.0039848059989023</v>
      </c>
      <c r="H3001">
        <v>16.257270574969859</v>
      </c>
      <c r="I3001">
        <v>30.781159749117691</v>
      </c>
      <c r="J3001">
        <v>25.92208928757023</v>
      </c>
      <c r="K3001">
        <v>1168.8386956301561</v>
      </c>
      <c r="L3001">
        <v>0</v>
      </c>
      <c r="M3001" t="s">
        <v>69</v>
      </c>
    </row>
    <row r="3002" spans="1:13" x14ac:dyDescent="0.3">
      <c r="A3002" t="s">
        <v>19</v>
      </c>
      <c r="B3002" t="s">
        <v>48</v>
      </c>
      <c r="C3002">
        <v>25.795639377275119</v>
      </c>
      <c r="D3002">
        <v>1.02570178747537</v>
      </c>
      <c r="E3002">
        <v>0.98755207449717819</v>
      </c>
      <c r="F3002">
        <v>3.497290190638342</v>
      </c>
      <c r="G3002">
        <v>6.0224861311243343</v>
      </c>
      <c r="H3002">
        <v>17.05801104622288</v>
      </c>
      <c r="I3002">
        <v>31.322863814356118</v>
      </c>
      <c r="J3002">
        <v>26.400339814563619</v>
      </c>
      <c r="K3002">
        <v>1169.8533184157</v>
      </c>
      <c r="L3002">
        <v>0</v>
      </c>
      <c r="M3002" t="s">
        <v>69</v>
      </c>
    </row>
    <row r="3003" spans="1:13" x14ac:dyDescent="0.3">
      <c r="A3003" t="s">
        <v>25</v>
      </c>
      <c r="B3003" t="s">
        <v>62</v>
      </c>
      <c r="C3003">
        <v>275.86781629279801</v>
      </c>
      <c r="D3003">
        <v>21.07353674415651</v>
      </c>
      <c r="E3003">
        <v>29.691013524193931</v>
      </c>
      <c r="F3003">
        <v>59.255473591204058</v>
      </c>
      <c r="G3003">
        <v>4.4528865834520266</v>
      </c>
      <c r="H3003">
        <v>75.420364937286621</v>
      </c>
      <c r="I3003">
        <v>29.16256347897825</v>
      </c>
      <c r="J3003">
        <v>24.607399859743371</v>
      </c>
      <c r="K3003">
        <v>706.99280352074788</v>
      </c>
      <c r="L3003">
        <v>0</v>
      </c>
      <c r="M3003" t="s">
        <v>69</v>
      </c>
    </row>
    <row r="3004" spans="1:13" x14ac:dyDescent="0.3">
      <c r="A3004" t="s">
        <v>19</v>
      </c>
      <c r="B3004" t="s">
        <v>48</v>
      </c>
      <c r="C3004">
        <v>41.37405753467619</v>
      </c>
      <c r="D3004">
        <v>1.962193900470836</v>
      </c>
      <c r="E3004">
        <v>3.231564383003815</v>
      </c>
      <c r="F3004">
        <v>6.4141639820456664</v>
      </c>
      <c r="G3004">
        <v>5.6236545244779572</v>
      </c>
      <c r="H3004">
        <v>18.895807199550621</v>
      </c>
      <c r="I3004">
        <v>32.931336103150137</v>
      </c>
      <c r="J3004">
        <v>26.072682447585031</v>
      </c>
      <c r="K3004">
        <v>1146.5620856377909</v>
      </c>
      <c r="L3004">
        <v>0</v>
      </c>
      <c r="M3004" t="s">
        <v>69</v>
      </c>
    </row>
    <row r="3005" spans="1:13" x14ac:dyDescent="0.3">
      <c r="A3005" t="s">
        <v>19</v>
      </c>
      <c r="B3005" t="s">
        <v>48</v>
      </c>
      <c r="C3005">
        <v>60.620285264025583</v>
      </c>
      <c r="D3005">
        <v>3.0901958705767592</v>
      </c>
      <c r="E3005">
        <v>4.3425406678840996</v>
      </c>
      <c r="F3005">
        <v>8.506651682328279</v>
      </c>
      <c r="G3005">
        <v>6.1667544875992224</v>
      </c>
      <c r="H3005">
        <v>18.35604199150897</v>
      </c>
      <c r="I3005">
        <v>32.374009579227547</v>
      </c>
      <c r="J3005">
        <v>27.015298086103211</v>
      </c>
      <c r="K3005">
        <v>1162.166069266309</v>
      </c>
      <c r="L3005">
        <v>0</v>
      </c>
      <c r="M3005" t="s">
        <v>69</v>
      </c>
    </row>
    <row r="3006" spans="1:13" x14ac:dyDescent="0.3">
      <c r="A3006" t="s">
        <v>24</v>
      </c>
      <c r="B3006" t="s">
        <v>58</v>
      </c>
      <c r="C3006">
        <v>35.761756779597746</v>
      </c>
      <c r="D3006">
        <v>0.97175747958708403</v>
      </c>
      <c r="E3006">
        <v>1.9914480146583859</v>
      </c>
      <c r="F3006">
        <v>4.8249700035555438</v>
      </c>
      <c r="G3006">
        <v>6.8065410202708811</v>
      </c>
      <c r="H3006">
        <v>56.215997767421293</v>
      </c>
      <c r="I3006">
        <v>24.00828124183645</v>
      </c>
      <c r="J3006">
        <v>22.146956097568729</v>
      </c>
      <c r="K3006">
        <v>738.25834028455733</v>
      </c>
      <c r="L3006">
        <v>0</v>
      </c>
      <c r="M3006" t="s">
        <v>69</v>
      </c>
    </row>
    <row r="3007" spans="1:13" x14ac:dyDescent="0.3">
      <c r="A3007" t="s">
        <v>25</v>
      </c>
      <c r="B3007" t="s">
        <v>62</v>
      </c>
      <c r="C3007">
        <v>25.655550634359741</v>
      </c>
      <c r="D3007">
        <v>1.1173436041206199</v>
      </c>
      <c r="E3007">
        <v>1.007034582397311</v>
      </c>
      <c r="F3007">
        <v>3.1578424712314672</v>
      </c>
      <c r="G3007">
        <v>6.2887167820824574</v>
      </c>
      <c r="H3007">
        <v>68.678601936500286</v>
      </c>
      <c r="I3007">
        <v>20.480835909341231</v>
      </c>
      <c r="J3007">
        <v>23.23385208293999</v>
      </c>
      <c r="K3007">
        <v>1237.76816996706</v>
      </c>
      <c r="L3007">
        <v>0</v>
      </c>
      <c r="M3007" t="s">
        <v>69</v>
      </c>
    </row>
    <row r="3008" spans="1:13" x14ac:dyDescent="0.3">
      <c r="A3008" t="s">
        <v>24</v>
      </c>
      <c r="B3008" t="s">
        <v>57</v>
      </c>
      <c r="C3008">
        <v>7.9055704985165107</v>
      </c>
      <c r="D3008">
        <v>0</v>
      </c>
      <c r="E3008">
        <v>0</v>
      </c>
      <c r="F3008">
        <v>1.0793064353521209</v>
      </c>
      <c r="G3008">
        <v>6.0826569685475436</v>
      </c>
      <c r="H3008">
        <v>40.446045086811438</v>
      </c>
      <c r="I3008">
        <v>23.130413124598121</v>
      </c>
      <c r="J3008">
        <v>24.009989648994239</v>
      </c>
      <c r="K3008">
        <v>732.41075844660475</v>
      </c>
      <c r="L3008">
        <v>0</v>
      </c>
      <c r="M3008" t="s">
        <v>69</v>
      </c>
    </row>
    <row r="3009" spans="1:13" x14ac:dyDescent="0.3">
      <c r="A3009" t="s">
        <v>21</v>
      </c>
      <c r="B3009" t="s">
        <v>52</v>
      </c>
      <c r="C3009">
        <v>138.31038543904111</v>
      </c>
      <c r="D3009">
        <v>5.7557410538080536</v>
      </c>
      <c r="E3009">
        <v>9.2014756554258099</v>
      </c>
      <c r="F3009">
        <v>21.76542197794085</v>
      </c>
      <c r="G3009">
        <v>5.5574336342671531</v>
      </c>
      <c r="H3009">
        <v>55.683815958426578</v>
      </c>
      <c r="I3009">
        <v>28.006372414545311</v>
      </c>
      <c r="J3009">
        <v>24.789604440079209</v>
      </c>
      <c r="K3009">
        <v>742.80595183691833</v>
      </c>
      <c r="L3009">
        <v>0</v>
      </c>
      <c r="M3009" t="s">
        <v>69</v>
      </c>
    </row>
    <row r="3010" spans="1:13" x14ac:dyDescent="0.3">
      <c r="A3010" t="s">
        <v>25</v>
      </c>
      <c r="B3010" t="s">
        <v>62</v>
      </c>
      <c r="C3010">
        <v>577.82279314112566</v>
      </c>
      <c r="D3010">
        <v>28.067810845937629</v>
      </c>
      <c r="E3010">
        <v>40.46294310424733</v>
      </c>
      <c r="F3010">
        <v>89.99565718059273</v>
      </c>
      <c r="G3010">
        <v>4.5106975783679397</v>
      </c>
      <c r="H3010">
        <v>88.4</v>
      </c>
      <c r="I3010">
        <v>27.380318084427259</v>
      </c>
      <c r="J3010">
        <v>23.289837312486849</v>
      </c>
      <c r="K3010">
        <v>724.86028501956469</v>
      </c>
      <c r="L3010">
        <v>0</v>
      </c>
      <c r="M3010" t="s">
        <v>69</v>
      </c>
    </row>
    <row r="3011" spans="1:13" x14ac:dyDescent="0.3">
      <c r="A3011" t="s">
        <v>24</v>
      </c>
      <c r="B3011" t="s">
        <v>57</v>
      </c>
      <c r="C3011">
        <v>51.139921418465548</v>
      </c>
      <c r="D3011">
        <v>2.2132525307279951</v>
      </c>
      <c r="E3011">
        <v>3.370637548005436</v>
      </c>
      <c r="F3011">
        <v>8.9146267484526351</v>
      </c>
      <c r="G3011">
        <v>5.5506953907774239</v>
      </c>
      <c r="H3011">
        <v>50.906303331187758</v>
      </c>
      <c r="I3011">
        <v>23.562738335499091</v>
      </c>
      <c r="J3011">
        <v>22.43870051386045</v>
      </c>
      <c r="K3011">
        <v>738.81150723033807</v>
      </c>
      <c r="L3011">
        <v>0</v>
      </c>
      <c r="M3011" t="s">
        <v>69</v>
      </c>
    </row>
    <row r="3012" spans="1:13" x14ac:dyDescent="0.3">
      <c r="A3012" t="s">
        <v>25</v>
      </c>
      <c r="B3012" t="s">
        <v>62</v>
      </c>
      <c r="C3012">
        <v>579.22686867487391</v>
      </c>
      <c r="D3012">
        <v>25.007093785957348</v>
      </c>
      <c r="E3012">
        <v>39.302321032547667</v>
      </c>
      <c r="F3012">
        <v>79.378618732007368</v>
      </c>
      <c r="G3012">
        <v>4.4249340803321724</v>
      </c>
      <c r="H3012">
        <v>84.765122311773695</v>
      </c>
      <c r="I3012">
        <v>25.756318128286001</v>
      </c>
      <c r="J3012">
        <v>24.599764695800651</v>
      </c>
      <c r="K3012">
        <v>712.65909256427381</v>
      </c>
      <c r="L3012">
        <v>0</v>
      </c>
      <c r="M3012" t="s">
        <v>69</v>
      </c>
    </row>
    <row r="3013" spans="1:13" x14ac:dyDescent="0.3">
      <c r="A3013" t="s">
        <v>25</v>
      </c>
      <c r="B3013" t="s">
        <v>62</v>
      </c>
      <c r="C3013">
        <v>280.29170633371473</v>
      </c>
      <c r="D3013">
        <v>18.764642419739818</v>
      </c>
      <c r="E3013">
        <v>28.380471733867441</v>
      </c>
      <c r="F3013">
        <v>57.432087801697683</v>
      </c>
      <c r="G3013">
        <v>4.381195932274311</v>
      </c>
      <c r="H3013">
        <v>74.770889019010156</v>
      </c>
      <c r="I3013">
        <v>30.331813082477609</v>
      </c>
      <c r="J3013">
        <v>23.970087080653951</v>
      </c>
      <c r="K3013">
        <v>720.10046960993338</v>
      </c>
      <c r="L3013">
        <v>0</v>
      </c>
      <c r="M3013" t="s">
        <v>69</v>
      </c>
    </row>
    <row r="3014" spans="1:13" x14ac:dyDescent="0.3">
      <c r="A3014" t="s">
        <v>24</v>
      </c>
      <c r="B3014" t="s">
        <v>59</v>
      </c>
      <c r="C3014">
        <v>57.083148104909213</v>
      </c>
      <c r="D3014">
        <v>2.108340931847648</v>
      </c>
      <c r="E3014">
        <v>3.6009447775686931</v>
      </c>
      <c r="F3014">
        <v>8.5561789849895646</v>
      </c>
      <c r="G3014">
        <v>6.7352160748159147</v>
      </c>
      <c r="H3014">
        <v>56.593129651164148</v>
      </c>
      <c r="I3014">
        <v>26.56311403629071</v>
      </c>
      <c r="J3014">
        <v>22.42822703145724</v>
      </c>
      <c r="K3014">
        <v>733.2366198115426</v>
      </c>
      <c r="L3014">
        <v>0</v>
      </c>
      <c r="M3014" t="s">
        <v>69</v>
      </c>
    </row>
    <row r="3015" spans="1:13" x14ac:dyDescent="0.3">
      <c r="A3015" t="s">
        <v>24</v>
      </c>
      <c r="B3015" t="s">
        <v>57</v>
      </c>
      <c r="C3015">
        <v>8.1071558093770335</v>
      </c>
      <c r="D3015">
        <v>0</v>
      </c>
      <c r="E3015">
        <v>0</v>
      </c>
      <c r="F3015">
        <v>1.112030245713042</v>
      </c>
      <c r="G3015">
        <v>6.1419445896013469</v>
      </c>
      <c r="H3015">
        <v>36.252918215588032</v>
      </c>
      <c r="I3015">
        <v>23.72908537112523</v>
      </c>
      <c r="J3015">
        <v>24.584356894652078</v>
      </c>
      <c r="K3015">
        <v>734.24870437257221</v>
      </c>
      <c r="L3015">
        <v>0</v>
      </c>
      <c r="M3015" t="s">
        <v>69</v>
      </c>
    </row>
    <row r="3016" spans="1:13" x14ac:dyDescent="0.3">
      <c r="A3016" t="s">
        <v>19</v>
      </c>
      <c r="B3016" t="s">
        <v>45</v>
      </c>
      <c r="C3016">
        <v>18.87879535732495</v>
      </c>
      <c r="D3016">
        <v>0.88884862395187092</v>
      </c>
      <c r="E3016">
        <v>0.86123490867719799</v>
      </c>
      <c r="F3016">
        <v>3.2089049285403881</v>
      </c>
      <c r="G3016">
        <v>6.2660847572803871</v>
      </c>
      <c r="H3016">
        <v>18.51416301420041</v>
      </c>
      <c r="I3016">
        <v>31.598729462027048</v>
      </c>
      <c r="J3016">
        <v>24.449776316071159</v>
      </c>
      <c r="K3016">
        <v>1338.076623967539</v>
      </c>
      <c r="L3016">
        <v>0</v>
      </c>
      <c r="M3016" t="s">
        <v>69</v>
      </c>
    </row>
    <row r="3017" spans="1:13" x14ac:dyDescent="0.3">
      <c r="A3017" t="s">
        <v>19</v>
      </c>
      <c r="B3017" t="s">
        <v>44</v>
      </c>
      <c r="C3017">
        <v>19.925580335026179</v>
      </c>
      <c r="D3017">
        <v>0</v>
      </c>
      <c r="E3017">
        <v>0.99367820164678111</v>
      </c>
      <c r="F3017">
        <v>3.042084948859014</v>
      </c>
      <c r="G3017">
        <v>5.1473719368421804</v>
      </c>
      <c r="H3017">
        <v>15.25301657259023</v>
      </c>
      <c r="I3017">
        <v>31.446209469465561</v>
      </c>
      <c r="J3017">
        <v>24.125962134313479</v>
      </c>
      <c r="K3017">
        <v>1323.264344509937</v>
      </c>
      <c r="L3017">
        <v>0</v>
      </c>
      <c r="M3017" t="s">
        <v>69</v>
      </c>
    </row>
    <row r="3018" spans="1:13" x14ac:dyDescent="0.3">
      <c r="A3018" t="s">
        <v>20</v>
      </c>
      <c r="B3018" t="s">
        <v>49</v>
      </c>
      <c r="C3018">
        <v>43.929630333751348</v>
      </c>
      <c r="D3018">
        <v>1.6832812092341769</v>
      </c>
      <c r="E3018">
        <v>1.8336732905630331</v>
      </c>
      <c r="F3018">
        <v>5.1359480355616274</v>
      </c>
      <c r="G3018">
        <v>6.3405354705884163</v>
      </c>
      <c r="H3018">
        <v>17.517219933232909</v>
      </c>
      <c r="I3018">
        <v>32.053652413786459</v>
      </c>
      <c r="J3018">
        <v>26.426099189178061</v>
      </c>
      <c r="K3018">
        <v>1149.2053239707441</v>
      </c>
      <c r="L3018">
        <v>0</v>
      </c>
      <c r="M3018" t="s">
        <v>69</v>
      </c>
    </row>
    <row r="3019" spans="1:13" x14ac:dyDescent="0.3">
      <c r="A3019" t="s">
        <v>25</v>
      </c>
      <c r="B3019" t="s">
        <v>62</v>
      </c>
      <c r="C3019">
        <v>25.132493166260009</v>
      </c>
      <c r="D3019">
        <v>1.017651575265516</v>
      </c>
      <c r="E3019">
        <v>0.99945929265347733</v>
      </c>
      <c r="F3019">
        <v>3.0430085944074641</v>
      </c>
      <c r="G3019">
        <v>6.3131524431727328</v>
      </c>
      <c r="H3019">
        <v>66.624862948791048</v>
      </c>
      <c r="I3019">
        <v>20.54545579089233</v>
      </c>
      <c r="J3019">
        <v>24.006548650206639</v>
      </c>
      <c r="K3019">
        <v>1205.893490476886</v>
      </c>
      <c r="L3019">
        <v>0</v>
      </c>
      <c r="M3019" t="s">
        <v>69</v>
      </c>
    </row>
    <row r="3020" spans="1:13" x14ac:dyDescent="0.3">
      <c r="A3020" t="s">
        <v>25</v>
      </c>
      <c r="B3020" t="s">
        <v>62</v>
      </c>
      <c r="C3020">
        <v>272.93263874177552</v>
      </c>
      <c r="D3020">
        <v>18.414261429732239</v>
      </c>
      <c r="E3020">
        <v>28.228199594230269</v>
      </c>
      <c r="F3020">
        <v>57.067611906589391</v>
      </c>
      <c r="G3020">
        <v>4.4335160163829768</v>
      </c>
      <c r="H3020">
        <v>75.073931111873208</v>
      </c>
      <c r="I3020">
        <v>30.65660081796451</v>
      </c>
      <c r="J3020">
        <v>24.109545091234288</v>
      </c>
      <c r="K3020">
        <v>730.46919232928326</v>
      </c>
      <c r="L3020">
        <v>0</v>
      </c>
      <c r="M3020" t="s">
        <v>69</v>
      </c>
    </row>
    <row r="3021" spans="1:13" x14ac:dyDescent="0.3">
      <c r="A3021" t="s">
        <v>24</v>
      </c>
      <c r="B3021" t="s">
        <v>59</v>
      </c>
      <c r="C3021">
        <v>57.044188068003493</v>
      </c>
      <c r="D3021">
        <v>2.360686723954482</v>
      </c>
      <c r="E3021">
        <v>3.85478366634735</v>
      </c>
      <c r="F3021">
        <v>7.9811352706341419</v>
      </c>
      <c r="G3021">
        <v>6.6859855302244684</v>
      </c>
      <c r="H3021">
        <v>55.855646966698203</v>
      </c>
      <c r="I3021">
        <v>26.305755697487641</v>
      </c>
      <c r="J3021">
        <v>23.369650114127229</v>
      </c>
      <c r="K3021">
        <v>735.21881243812402</v>
      </c>
      <c r="L3021">
        <v>0</v>
      </c>
      <c r="M3021" t="s">
        <v>69</v>
      </c>
    </row>
    <row r="3022" spans="1:13" x14ac:dyDescent="0.3">
      <c r="A3022" t="s">
        <v>19</v>
      </c>
      <c r="B3022" t="s">
        <v>48</v>
      </c>
      <c r="C3022">
        <v>32.934146292987592</v>
      </c>
      <c r="D3022">
        <v>0.89805844274415136</v>
      </c>
      <c r="E3022">
        <v>1.596606813237357</v>
      </c>
      <c r="F3022">
        <v>5.9753842760150722</v>
      </c>
      <c r="G3022">
        <v>6.0470679384816641</v>
      </c>
      <c r="H3022">
        <v>15.91345336683899</v>
      </c>
      <c r="I3022">
        <v>30.691222981008469</v>
      </c>
      <c r="J3022">
        <v>25.985101670267671</v>
      </c>
      <c r="K3022">
        <v>1172.9553526276079</v>
      </c>
      <c r="L3022">
        <v>0</v>
      </c>
      <c r="M3022" t="s">
        <v>69</v>
      </c>
    </row>
    <row r="3023" spans="1:13" x14ac:dyDescent="0.3">
      <c r="A3023" t="s">
        <v>20</v>
      </c>
      <c r="B3023" t="s">
        <v>49</v>
      </c>
      <c r="C3023">
        <v>36.534945314708459</v>
      </c>
      <c r="D3023">
        <v>1.3012310503657609</v>
      </c>
      <c r="E3023">
        <v>2.05752563370319</v>
      </c>
      <c r="F3023">
        <v>6.2490738894811066</v>
      </c>
      <c r="G3023">
        <v>6.2246642218630353</v>
      </c>
      <c r="H3023">
        <v>16.090193080444589</v>
      </c>
      <c r="I3023">
        <v>32.647315849096103</v>
      </c>
      <c r="J3023">
        <v>25.462170664883178</v>
      </c>
      <c r="K3023">
        <v>1126.9422241482509</v>
      </c>
      <c r="L3023">
        <v>0</v>
      </c>
      <c r="M3023" t="s">
        <v>69</v>
      </c>
    </row>
    <row r="3024" spans="1:13" x14ac:dyDescent="0.3">
      <c r="A3024" t="s">
        <v>19</v>
      </c>
      <c r="B3024" t="s">
        <v>44</v>
      </c>
      <c r="C3024">
        <v>24.842949598728989</v>
      </c>
      <c r="D3024">
        <v>1.026384028046915</v>
      </c>
      <c r="E3024">
        <v>1.0984890601629329</v>
      </c>
      <c r="F3024">
        <v>3.2028552429837549</v>
      </c>
      <c r="G3024">
        <v>6.6320051386562691</v>
      </c>
      <c r="H3024">
        <v>20.813486102395618</v>
      </c>
      <c r="I3024">
        <v>26.605150707749079</v>
      </c>
      <c r="J3024">
        <v>24.161030252466329</v>
      </c>
      <c r="K3024">
        <v>1330.8820131803859</v>
      </c>
      <c r="L3024">
        <v>0</v>
      </c>
      <c r="M3024" t="s">
        <v>69</v>
      </c>
    </row>
    <row r="3025" spans="1:13" x14ac:dyDescent="0.3">
      <c r="A3025" t="s">
        <v>24</v>
      </c>
      <c r="B3025" t="s">
        <v>58</v>
      </c>
      <c r="C3025">
        <v>28.073663082999349</v>
      </c>
      <c r="D3025">
        <v>1.0127352737242949</v>
      </c>
      <c r="E3025">
        <v>2.1717820308872651</v>
      </c>
      <c r="F3025">
        <v>4.1172842743490854</v>
      </c>
      <c r="G3025">
        <v>6.2174059392684837</v>
      </c>
      <c r="H3025">
        <v>38.50079475770098</v>
      </c>
      <c r="I3025">
        <v>23.417910079040549</v>
      </c>
      <c r="J3025">
        <v>22.915007926909361</v>
      </c>
      <c r="K3025">
        <v>735.25420983671347</v>
      </c>
      <c r="L3025">
        <v>0</v>
      </c>
      <c r="M3025" t="s">
        <v>69</v>
      </c>
    </row>
    <row r="3026" spans="1:13" x14ac:dyDescent="0.3">
      <c r="A3026" t="s">
        <v>25</v>
      </c>
      <c r="B3026" t="s">
        <v>62</v>
      </c>
      <c r="C3026">
        <v>576.66027848597321</v>
      </c>
      <c r="D3026">
        <v>31.422488134904839</v>
      </c>
      <c r="E3026">
        <v>37.923004297197863</v>
      </c>
      <c r="F3026">
        <v>88.764478015247136</v>
      </c>
      <c r="G3026">
        <v>4.5785158597016764</v>
      </c>
      <c r="H3026">
        <v>88.4</v>
      </c>
      <c r="I3026">
        <v>26.406021429414341</v>
      </c>
      <c r="J3026">
        <v>24.691109967674741</v>
      </c>
      <c r="K3026">
        <v>717.4120583653006</v>
      </c>
      <c r="L3026">
        <v>0</v>
      </c>
      <c r="M3026" t="s">
        <v>69</v>
      </c>
    </row>
    <row r="3027" spans="1:13" x14ac:dyDescent="0.3">
      <c r="A3027" t="s">
        <v>19</v>
      </c>
      <c r="B3027" t="s">
        <v>48</v>
      </c>
      <c r="C3027">
        <v>42.347311513901111</v>
      </c>
      <c r="D3027">
        <v>1.8452788497158681</v>
      </c>
      <c r="E3027">
        <v>3.210773040963931</v>
      </c>
      <c r="F3027">
        <v>7.1947044834755314</v>
      </c>
      <c r="G3027">
        <v>6.1293733337127856</v>
      </c>
      <c r="H3027">
        <v>20.534094432371479</v>
      </c>
      <c r="I3027">
        <v>31.64899883471838</v>
      </c>
      <c r="J3027">
        <v>25.624611047830371</v>
      </c>
      <c r="K3027">
        <v>1190.376452776736</v>
      </c>
      <c r="L3027">
        <v>0</v>
      </c>
      <c r="M3027" t="s">
        <v>69</v>
      </c>
    </row>
    <row r="3028" spans="1:13" x14ac:dyDescent="0.3">
      <c r="A3028" t="s">
        <v>20</v>
      </c>
      <c r="B3028" t="s">
        <v>49</v>
      </c>
      <c r="C3028">
        <v>25.827099395899221</v>
      </c>
      <c r="D3028">
        <v>1.018891964851325</v>
      </c>
      <c r="E3028">
        <v>0.95315172030959694</v>
      </c>
      <c r="F3028">
        <v>3.8284403781995402</v>
      </c>
      <c r="G3028">
        <v>5.8704058166283781</v>
      </c>
      <c r="H3028">
        <v>16.318228222576799</v>
      </c>
      <c r="I3028">
        <v>31.258483668302819</v>
      </c>
      <c r="J3028">
        <v>25.99012454442612</v>
      </c>
      <c r="K3028">
        <v>1153.2847836361079</v>
      </c>
      <c r="L3028">
        <v>0</v>
      </c>
      <c r="M3028" t="s">
        <v>69</v>
      </c>
    </row>
    <row r="3029" spans="1:13" x14ac:dyDescent="0.3">
      <c r="A3029" t="s">
        <v>19</v>
      </c>
      <c r="B3029" t="s">
        <v>48</v>
      </c>
      <c r="C3029">
        <v>55.18219700973583</v>
      </c>
      <c r="D3029">
        <v>2.748353012470595</v>
      </c>
      <c r="E3029">
        <v>3.7011346252061812</v>
      </c>
      <c r="F3029">
        <v>7.3130556974455159</v>
      </c>
      <c r="G3029">
        <v>6.1732428225693727</v>
      </c>
      <c r="H3029">
        <v>18.112331393635831</v>
      </c>
      <c r="I3029">
        <v>32.346976110101913</v>
      </c>
      <c r="J3029">
        <v>26.81312617706369</v>
      </c>
      <c r="K3029">
        <v>1157.265673069777</v>
      </c>
      <c r="L3029">
        <v>0</v>
      </c>
      <c r="M3029" t="s">
        <v>69</v>
      </c>
    </row>
    <row r="3030" spans="1:13" x14ac:dyDescent="0.3">
      <c r="A3030" t="s">
        <v>19</v>
      </c>
      <c r="B3030" t="s">
        <v>45</v>
      </c>
      <c r="C3030">
        <v>20.57306307340005</v>
      </c>
      <c r="D3030">
        <v>1.122899862503572</v>
      </c>
      <c r="E3030">
        <v>1.04148187310388</v>
      </c>
      <c r="F3030">
        <v>2.329512896706484</v>
      </c>
      <c r="G3030">
        <v>6.2975740379640994</v>
      </c>
      <c r="H3030">
        <v>18.41035035868833</v>
      </c>
      <c r="I3030">
        <v>30.839693044307289</v>
      </c>
      <c r="J3030">
        <v>24.93136093517392</v>
      </c>
      <c r="K3030">
        <v>1295.0491951520089</v>
      </c>
      <c r="L3030">
        <v>0</v>
      </c>
      <c r="M3030" t="s">
        <v>69</v>
      </c>
    </row>
    <row r="3031" spans="1:13" x14ac:dyDescent="0.3">
      <c r="A3031" t="s">
        <v>19</v>
      </c>
      <c r="B3031" t="s">
        <v>44</v>
      </c>
      <c r="C3031">
        <v>20.121944443142841</v>
      </c>
      <c r="D3031">
        <v>0</v>
      </c>
      <c r="E3031">
        <v>0.99881995249909394</v>
      </c>
      <c r="F3031">
        <v>3.0787416843089779</v>
      </c>
      <c r="G3031">
        <v>5.1683380846278562</v>
      </c>
      <c r="H3031">
        <v>15.51837746629386</v>
      </c>
      <c r="I3031">
        <v>31.68640285767102</v>
      </c>
      <c r="J3031">
        <v>24.042326239739729</v>
      </c>
      <c r="K3031">
        <v>1326.249393575725</v>
      </c>
      <c r="L3031">
        <v>0</v>
      </c>
      <c r="M3031" t="s">
        <v>69</v>
      </c>
    </row>
    <row r="3032" spans="1:13" x14ac:dyDescent="0.3">
      <c r="A3032" t="s">
        <v>19</v>
      </c>
      <c r="B3032" t="s">
        <v>45</v>
      </c>
      <c r="C3032">
        <v>20.317404029069049</v>
      </c>
      <c r="D3032">
        <v>1.1000139718485979</v>
      </c>
      <c r="E3032">
        <v>1.017445226997528</v>
      </c>
      <c r="F3032">
        <v>2.3583411878663969</v>
      </c>
      <c r="G3032">
        <v>6.2947773296499019</v>
      </c>
      <c r="H3032">
        <v>18.294023950780591</v>
      </c>
      <c r="I3032">
        <v>30.90173786430211</v>
      </c>
      <c r="J3032">
        <v>24.91498874801551</v>
      </c>
      <c r="K3032">
        <v>1298.6656777331891</v>
      </c>
      <c r="L3032">
        <v>0</v>
      </c>
      <c r="M3032" t="s">
        <v>69</v>
      </c>
    </row>
    <row r="3033" spans="1:13" x14ac:dyDescent="0.3">
      <c r="A3033" t="s">
        <v>19</v>
      </c>
      <c r="B3033" t="s">
        <v>44</v>
      </c>
      <c r="C3033">
        <v>18.198618136972058</v>
      </c>
      <c r="D3033">
        <v>0</v>
      </c>
      <c r="E3033">
        <v>1.0943354725284751</v>
      </c>
      <c r="F3033">
        <v>2.349344762056198</v>
      </c>
      <c r="G3033">
        <v>5.3390571710771866</v>
      </c>
      <c r="H3033">
        <v>14.97654046316981</v>
      </c>
      <c r="I3033">
        <v>30.451887652545661</v>
      </c>
      <c r="J3033">
        <v>23.029928608216739</v>
      </c>
      <c r="K3033">
        <v>1339.9791964301451</v>
      </c>
      <c r="L3033">
        <v>0</v>
      </c>
      <c r="M3033" t="s">
        <v>69</v>
      </c>
    </row>
    <row r="3034" spans="1:13" x14ac:dyDescent="0.3">
      <c r="A3034" t="s">
        <v>24</v>
      </c>
      <c r="B3034" t="s">
        <v>58</v>
      </c>
      <c r="C3034">
        <v>17.748623964990269</v>
      </c>
      <c r="D3034">
        <v>0.4874311982495132</v>
      </c>
      <c r="E3034">
        <v>0.97486239649902728</v>
      </c>
      <c r="F3034">
        <v>2.4622935947485409</v>
      </c>
      <c r="G3034">
        <v>6.1487431198249514</v>
      </c>
      <c r="H3034">
        <v>39</v>
      </c>
      <c r="I3034">
        <v>23.6</v>
      </c>
      <c r="J3034">
        <v>23</v>
      </c>
      <c r="K3034">
        <v>738</v>
      </c>
      <c r="L3034">
        <v>0</v>
      </c>
      <c r="M3034" t="s">
        <v>69</v>
      </c>
    </row>
    <row r="3035" spans="1:13" x14ac:dyDescent="0.3">
      <c r="A3035" t="s">
        <v>24</v>
      </c>
      <c r="B3035" t="s">
        <v>58</v>
      </c>
      <c r="C3035">
        <v>32.646052795819621</v>
      </c>
      <c r="D3035">
        <v>0.99911407668817365</v>
      </c>
      <c r="E3035">
        <v>2.1611641658066181</v>
      </c>
      <c r="F3035">
        <v>5.0180347625329311</v>
      </c>
      <c r="G3035">
        <v>7.0554891956205861</v>
      </c>
      <c r="H3035">
        <v>54.804703221328452</v>
      </c>
      <c r="I3035">
        <v>23.654697150575249</v>
      </c>
      <c r="J3035">
        <v>22.621741648474181</v>
      </c>
      <c r="K3035">
        <v>716.72997773293275</v>
      </c>
      <c r="L3035">
        <v>0</v>
      </c>
      <c r="M3035" t="s">
        <v>69</v>
      </c>
    </row>
    <row r="3036" spans="1:13" x14ac:dyDescent="0.3">
      <c r="A3036" t="s">
        <v>21</v>
      </c>
      <c r="B3036" t="s">
        <v>52</v>
      </c>
      <c r="C3036">
        <v>131.75593365357389</v>
      </c>
      <c r="D3036">
        <v>6.1994121420873167</v>
      </c>
      <c r="E3036">
        <v>9.3475021651194474</v>
      </c>
      <c r="F3036">
        <v>21.429474571857192</v>
      </c>
      <c r="G3036">
        <v>5.6201117381736827</v>
      </c>
      <c r="H3036">
        <v>54.888997654429019</v>
      </c>
      <c r="I3036">
        <v>27.75714943596067</v>
      </c>
      <c r="J3036">
        <v>24.605849910722551</v>
      </c>
      <c r="K3036">
        <v>754.29042286481854</v>
      </c>
      <c r="L3036">
        <v>0</v>
      </c>
      <c r="M3036" t="s">
        <v>69</v>
      </c>
    </row>
    <row r="3037" spans="1:13" x14ac:dyDescent="0.3">
      <c r="A3037" t="s">
        <v>25</v>
      </c>
      <c r="B3037" t="s">
        <v>62</v>
      </c>
      <c r="C3037">
        <v>259.16041845525962</v>
      </c>
      <c r="D3037">
        <v>19.254830508347791</v>
      </c>
      <c r="E3037">
        <v>28.279018905340369</v>
      </c>
      <c r="F3037">
        <v>62.966918438347797</v>
      </c>
      <c r="G3037">
        <v>4.4265751437674874</v>
      </c>
      <c r="H3037">
        <v>79.242801458303759</v>
      </c>
      <c r="I3037">
        <v>30.466863654144941</v>
      </c>
      <c r="J3037">
        <v>23.868312325101279</v>
      </c>
      <c r="K3037">
        <v>720.56591751946019</v>
      </c>
      <c r="L3037">
        <v>0</v>
      </c>
      <c r="M3037" t="s">
        <v>69</v>
      </c>
    </row>
    <row r="3038" spans="1:13" x14ac:dyDescent="0.3">
      <c r="A3038" t="s">
        <v>25</v>
      </c>
      <c r="B3038" t="s">
        <v>62</v>
      </c>
      <c r="C3038">
        <v>32.375958618970131</v>
      </c>
      <c r="D3038">
        <v>1.0439702483307469</v>
      </c>
      <c r="E3038">
        <v>2.4263660551670001</v>
      </c>
      <c r="F3038">
        <v>4.022010765748588</v>
      </c>
      <c r="G3038">
        <v>6.3575548396325221</v>
      </c>
      <c r="H3038">
        <v>23.288289238304589</v>
      </c>
      <c r="I3038">
        <v>22.418283433524369</v>
      </c>
      <c r="J3038">
        <v>23.827886775747491</v>
      </c>
      <c r="K3038">
        <v>1208.0056195607081</v>
      </c>
      <c r="L3038">
        <v>0</v>
      </c>
      <c r="M3038" t="s">
        <v>69</v>
      </c>
    </row>
    <row r="3039" spans="1:13" x14ac:dyDescent="0.3">
      <c r="A3039" t="s">
        <v>25</v>
      </c>
      <c r="B3039" t="s">
        <v>62</v>
      </c>
      <c r="C3039">
        <v>593.2534731892348</v>
      </c>
      <c r="D3039">
        <v>28.177263170939629</v>
      </c>
      <c r="E3039">
        <v>44.096566308440913</v>
      </c>
      <c r="F3039">
        <v>96.82741177091566</v>
      </c>
      <c r="G3039">
        <v>4.4178231806094601</v>
      </c>
      <c r="H3039">
        <v>88.4</v>
      </c>
      <c r="I3039">
        <v>27.22883057127676</v>
      </c>
      <c r="J3039">
        <v>23.5723681522636</v>
      </c>
      <c r="K3039">
        <v>730.49158637520782</v>
      </c>
      <c r="L3039">
        <v>0</v>
      </c>
      <c r="M3039" t="s">
        <v>69</v>
      </c>
    </row>
    <row r="3040" spans="1:13" x14ac:dyDescent="0.3">
      <c r="A3040" t="s">
        <v>25</v>
      </c>
      <c r="B3040" t="s">
        <v>62</v>
      </c>
      <c r="C3040">
        <v>581.101977649731</v>
      </c>
      <c r="D3040">
        <v>29.939546315985421</v>
      </c>
      <c r="E3040">
        <v>35.991989003600523</v>
      </c>
      <c r="F3040">
        <v>92.78530223234759</v>
      </c>
      <c r="G3040">
        <v>4.4378409001152157</v>
      </c>
      <c r="H3040">
        <v>88.4</v>
      </c>
      <c r="I3040">
        <v>27.305868046693639</v>
      </c>
      <c r="J3040">
        <v>23.995602100238379</v>
      </c>
      <c r="K3040">
        <v>711.90636168137621</v>
      </c>
      <c r="L3040">
        <v>0</v>
      </c>
      <c r="M3040" t="s">
        <v>69</v>
      </c>
    </row>
    <row r="3041" spans="1:13" x14ac:dyDescent="0.3">
      <c r="A3041" t="s">
        <v>24</v>
      </c>
      <c r="B3041" t="s">
        <v>59</v>
      </c>
      <c r="C3041">
        <v>58.126252100941457</v>
      </c>
      <c r="D3041">
        <v>1.868462402127435</v>
      </c>
      <c r="E3041">
        <v>4.0561290347991896</v>
      </c>
      <c r="F3041">
        <v>9.5706912183828514</v>
      </c>
      <c r="G3041">
        <v>6.6432414995466482</v>
      </c>
      <c r="H3041">
        <v>58.723885601850057</v>
      </c>
      <c r="I3041">
        <v>26.668735235788901</v>
      </c>
      <c r="J3041">
        <v>23.561731771483281</v>
      </c>
      <c r="K3041">
        <v>720.1730495464551</v>
      </c>
      <c r="L3041">
        <v>0</v>
      </c>
      <c r="M3041" t="s">
        <v>69</v>
      </c>
    </row>
    <row r="3042" spans="1:13" x14ac:dyDescent="0.3">
      <c r="A3042" t="s">
        <v>21</v>
      </c>
      <c r="B3042" t="s">
        <v>52</v>
      </c>
      <c r="C3042">
        <v>129.1073785072694</v>
      </c>
      <c r="D3042">
        <v>6.2657186666242506</v>
      </c>
      <c r="E3042">
        <v>9.0724662247835823</v>
      </c>
      <c r="F3042">
        <v>20.847313502774739</v>
      </c>
      <c r="G3042">
        <v>5.4837818259661546</v>
      </c>
      <c r="H3042">
        <v>58.517880186955949</v>
      </c>
      <c r="I3042">
        <v>27.821138088330461</v>
      </c>
      <c r="J3042">
        <v>24.695834805369849</v>
      </c>
      <c r="K3042">
        <v>748.90458292585799</v>
      </c>
      <c r="L3042">
        <v>0</v>
      </c>
      <c r="M3042" t="s">
        <v>69</v>
      </c>
    </row>
    <row r="3043" spans="1:13" x14ac:dyDescent="0.3">
      <c r="A3043" t="s">
        <v>25</v>
      </c>
      <c r="B3043" t="s">
        <v>62</v>
      </c>
      <c r="C3043">
        <v>247.2276253704747</v>
      </c>
      <c r="D3043">
        <v>17.42252891164053</v>
      </c>
      <c r="E3043">
        <v>23.52065268570805</v>
      </c>
      <c r="F3043">
        <v>67.066072124186675</v>
      </c>
      <c r="G3043">
        <v>4.3989752524357009</v>
      </c>
      <c r="H3043">
        <v>74.87400127993493</v>
      </c>
      <c r="I3043">
        <v>27.831004343112578</v>
      </c>
      <c r="J3043">
        <v>24.33868416107174</v>
      </c>
      <c r="K3043">
        <v>710.28525297468946</v>
      </c>
      <c r="L3043">
        <v>0</v>
      </c>
      <c r="M3043" t="s">
        <v>69</v>
      </c>
    </row>
    <row r="3044" spans="1:13" x14ac:dyDescent="0.3">
      <c r="A3044" t="s">
        <v>19</v>
      </c>
      <c r="B3044" t="s">
        <v>48</v>
      </c>
      <c r="C3044">
        <v>46.774322194551253</v>
      </c>
      <c r="D3044">
        <v>2.179492397612762</v>
      </c>
      <c r="E3044">
        <v>3.241283921630556</v>
      </c>
      <c r="F3044">
        <v>7.1415961555181662</v>
      </c>
      <c r="G3044">
        <v>6.1106692873437058</v>
      </c>
      <c r="H3044">
        <v>19.749649445562181</v>
      </c>
      <c r="I3044">
        <v>32.029517652654789</v>
      </c>
      <c r="J3044">
        <v>26.152816710453049</v>
      </c>
      <c r="K3044">
        <v>1168.7638195058989</v>
      </c>
      <c r="L3044">
        <v>0</v>
      </c>
      <c r="M3044" t="s">
        <v>69</v>
      </c>
    </row>
    <row r="3045" spans="1:13" x14ac:dyDescent="0.3">
      <c r="A3045" t="s">
        <v>24</v>
      </c>
      <c r="B3045" t="s">
        <v>57</v>
      </c>
      <c r="C3045">
        <v>54.461104948505742</v>
      </c>
      <c r="D3045">
        <v>2.0726379848388001</v>
      </c>
      <c r="E3045">
        <v>3.2599732527051208</v>
      </c>
      <c r="F3045">
        <v>8.5582317040426084</v>
      </c>
      <c r="G3045">
        <v>5.6665173517729022</v>
      </c>
      <c r="H3045">
        <v>51.673329236687792</v>
      </c>
      <c r="I3045">
        <v>24.165203775175861</v>
      </c>
      <c r="J3045">
        <v>21.652489360987229</v>
      </c>
      <c r="K3045">
        <v>737.16588174361777</v>
      </c>
      <c r="L3045">
        <v>0</v>
      </c>
      <c r="M3045" t="s">
        <v>69</v>
      </c>
    </row>
    <row r="3046" spans="1:13" x14ac:dyDescent="0.3">
      <c r="A3046" t="s">
        <v>25</v>
      </c>
      <c r="B3046" t="s">
        <v>62</v>
      </c>
      <c r="C3046">
        <v>25.607180694408271</v>
      </c>
      <c r="D3046">
        <v>1.02181729656729</v>
      </c>
      <c r="E3046">
        <v>0.89755931187881988</v>
      </c>
      <c r="F3046">
        <v>3.153939180310211</v>
      </c>
      <c r="G3046">
        <v>6.3077069920080859</v>
      </c>
      <c r="H3046">
        <v>68.029054765288322</v>
      </c>
      <c r="I3046">
        <v>20.8437611244556</v>
      </c>
      <c r="J3046">
        <v>23.93817791578379</v>
      </c>
      <c r="K3046">
        <v>1206.9748411790249</v>
      </c>
      <c r="L3046">
        <v>0</v>
      </c>
      <c r="M3046" t="s">
        <v>69</v>
      </c>
    </row>
    <row r="3047" spans="1:13" x14ac:dyDescent="0.3">
      <c r="A3047" t="s">
        <v>19</v>
      </c>
      <c r="B3047" t="s">
        <v>48</v>
      </c>
      <c r="C3047">
        <v>61.465737746915593</v>
      </c>
      <c r="D3047">
        <v>2.9838805572138858</v>
      </c>
      <c r="E3047">
        <v>3.980061826136704</v>
      </c>
      <c r="F3047">
        <v>9.0076424949938438</v>
      </c>
      <c r="G3047">
        <v>6.2067849110301188</v>
      </c>
      <c r="H3047">
        <v>18.6304218007683</v>
      </c>
      <c r="I3047">
        <v>33.412963552253743</v>
      </c>
      <c r="J3047">
        <v>25.98529592154274</v>
      </c>
      <c r="K3047">
        <v>1161.293070053059</v>
      </c>
      <c r="L3047">
        <v>0</v>
      </c>
      <c r="M3047" t="s">
        <v>69</v>
      </c>
    </row>
    <row r="3048" spans="1:13" x14ac:dyDescent="0.3">
      <c r="A3048" t="s">
        <v>19</v>
      </c>
      <c r="B3048" t="s">
        <v>45</v>
      </c>
      <c r="C3048">
        <v>21.319996101165099</v>
      </c>
      <c r="D3048">
        <v>0.89464951308116225</v>
      </c>
      <c r="E3048">
        <v>1.106143805111895</v>
      </c>
      <c r="F3048">
        <v>2.9793126308190701</v>
      </c>
      <c r="G3048">
        <v>6.1642712957573256</v>
      </c>
      <c r="H3048">
        <v>19.393318745236471</v>
      </c>
      <c r="I3048">
        <v>31.084027333873181</v>
      </c>
      <c r="J3048">
        <v>23.75317884551524</v>
      </c>
      <c r="K3048">
        <v>1342.0804767481629</v>
      </c>
      <c r="L3048">
        <v>0</v>
      </c>
      <c r="M3048" t="s">
        <v>69</v>
      </c>
    </row>
    <row r="3049" spans="1:13" x14ac:dyDescent="0.3">
      <c r="A3049" t="s">
        <v>19</v>
      </c>
      <c r="B3049" t="s">
        <v>48</v>
      </c>
      <c r="C3049">
        <v>41.341874828767658</v>
      </c>
      <c r="D3049">
        <v>1.9666753175136049</v>
      </c>
      <c r="E3049">
        <v>3.208318407747651</v>
      </c>
      <c r="F3049">
        <v>6.4568832376243446</v>
      </c>
      <c r="G3049">
        <v>5.624543383050284</v>
      </c>
      <c r="H3049">
        <v>18.898549673734919</v>
      </c>
      <c r="I3049">
        <v>32.963811829757688</v>
      </c>
      <c r="J3049">
        <v>26.065192354693391</v>
      </c>
      <c r="K3049">
        <v>1142.546115014125</v>
      </c>
      <c r="L3049">
        <v>0</v>
      </c>
      <c r="M3049" t="s">
        <v>69</v>
      </c>
    </row>
    <row r="3050" spans="1:13" x14ac:dyDescent="0.3">
      <c r="A3050" t="s">
        <v>25</v>
      </c>
      <c r="B3050" t="s">
        <v>62</v>
      </c>
      <c r="C3050">
        <v>594.5757278505032</v>
      </c>
      <c r="D3050">
        <v>24.85258594833897</v>
      </c>
      <c r="E3050">
        <v>38.719516156526502</v>
      </c>
      <c r="F3050">
        <v>87.732614255171825</v>
      </c>
      <c r="G3050">
        <v>4.4337305740219213</v>
      </c>
      <c r="H3050">
        <v>88.086549658737582</v>
      </c>
      <c r="I3050">
        <v>26.75865223996464</v>
      </c>
      <c r="J3050">
        <v>23.620201254410539</v>
      </c>
      <c r="K3050">
        <v>705.2583832256239</v>
      </c>
      <c r="L3050">
        <v>0</v>
      </c>
      <c r="M3050" t="s">
        <v>69</v>
      </c>
    </row>
    <row r="3051" spans="1:13" x14ac:dyDescent="0.3">
      <c r="A3051" t="s">
        <v>19</v>
      </c>
      <c r="B3051" t="s">
        <v>44</v>
      </c>
      <c r="C3051">
        <v>22.719738041958049</v>
      </c>
      <c r="D3051">
        <v>0.99289581306400443</v>
      </c>
      <c r="E3051">
        <v>0.96143629847710521</v>
      </c>
      <c r="F3051">
        <v>2.9164283825508321</v>
      </c>
      <c r="G3051">
        <v>6.4448654656819402</v>
      </c>
      <c r="H3051">
        <v>19.27164344522491</v>
      </c>
      <c r="I3051">
        <v>27.098832760831261</v>
      </c>
      <c r="J3051">
        <v>23.218383390969901</v>
      </c>
      <c r="K3051">
        <v>1305.17989043541</v>
      </c>
      <c r="L3051">
        <v>0</v>
      </c>
      <c r="M3051" t="s">
        <v>69</v>
      </c>
    </row>
    <row r="3052" spans="1:13" x14ac:dyDescent="0.3">
      <c r="A3052" t="s">
        <v>21</v>
      </c>
      <c r="B3052" t="s">
        <v>52</v>
      </c>
      <c r="C3052">
        <v>127.3053489555727</v>
      </c>
      <c r="D3052">
        <v>5.738627592336413</v>
      </c>
      <c r="E3052">
        <v>9.0939529689833325</v>
      </c>
      <c r="F3052">
        <v>20.763623926315429</v>
      </c>
      <c r="G3052">
        <v>5.5976228369160417</v>
      </c>
      <c r="H3052">
        <v>56.082036354998174</v>
      </c>
      <c r="I3052">
        <v>27.879786498485871</v>
      </c>
      <c r="J3052">
        <v>24.98960069925813</v>
      </c>
      <c r="K3052">
        <v>751.71477971961144</v>
      </c>
      <c r="L3052">
        <v>0</v>
      </c>
      <c r="M3052" t="s">
        <v>69</v>
      </c>
    </row>
    <row r="3053" spans="1:13" x14ac:dyDescent="0.3">
      <c r="A3053" t="s">
        <v>19</v>
      </c>
      <c r="B3053" t="s">
        <v>48</v>
      </c>
      <c r="C3053">
        <v>60.66043670372229</v>
      </c>
      <c r="D3053">
        <v>2.9112435528132261</v>
      </c>
      <c r="E3053">
        <v>3.9100818675972602</v>
      </c>
      <c r="F3053">
        <v>9.1546588442111556</v>
      </c>
      <c r="G3053">
        <v>6.2674074178449484</v>
      </c>
      <c r="H3053">
        <v>19.148607897963629</v>
      </c>
      <c r="I3053">
        <v>33.89491337446043</v>
      </c>
      <c r="J3053">
        <v>26.018522709478919</v>
      </c>
      <c r="K3053">
        <v>1185.981510915542</v>
      </c>
      <c r="L3053">
        <v>0</v>
      </c>
      <c r="M3053" t="s">
        <v>69</v>
      </c>
    </row>
    <row r="3054" spans="1:13" x14ac:dyDescent="0.3">
      <c r="A3054" t="s">
        <v>24</v>
      </c>
      <c r="B3054" t="s">
        <v>58</v>
      </c>
      <c r="C3054">
        <v>13.11210045180842</v>
      </c>
      <c r="D3054">
        <v>0</v>
      </c>
      <c r="E3054">
        <v>0</v>
      </c>
      <c r="F3054">
        <v>2.0083427215636238</v>
      </c>
      <c r="G3054">
        <v>6.4495154346879762</v>
      </c>
      <c r="H3054">
        <v>41.601940730480933</v>
      </c>
      <c r="I3054">
        <v>24.07879929573749</v>
      </c>
      <c r="J3054">
        <v>23.687287831002109</v>
      </c>
      <c r="K3054">
        <v>741.50195035949764</v>
      </c>
      <c r="L3054">
        <v>0</v>
      </c>
      <c r="M3054" t="s">
        <v>69</v>
      </c>
    </row>
    <row r="3055" spans="1:13" x14ac:dyDescent="0.3">
      <c r="A3055" t="s">
        <v>24</v>
      </c>
      <c r="B3055" t="s">
        <v>57</v>
      </c>
      <c r="C3055">
        <v>7.9209093902067593</v>
      </c>
      <c r="D3055">
        <v>0</v>
      </c>
      <c r="E3055">
        <v>0</v>
      </c>
      <c r="F3055">
        <v>1.0285693585866991</v>
      </c>
      <c r="G3055">
        <v>6.0548755523791247</v>
      </c>
      <c r="H3055">
        <v>38.425759320394938</v>
      </c>
      <c r="I3055">
        <v>23.598751769140591</v>
      </c>
      <c r="J3055">
        <v>22.450473342741301</v>
      </c>
      <c r="K3055">
        <v>733.96284986474564</v>
      </c>
      <c r="L3055">
        <v>0</v>
      </c>
      <c r="M3055" t="s">
        <v>69</v>
      </c>
    </row>
    <row r="3056" spans="1:13" x14ac:dyDescent="0.3">
      <c r="A3056" t="s">
        <v>24</v>
      </c>
      <c r="B3056" t="s">
        <v>58</v>
      </c>
      <c r="C3056">
        <v>28.432219632307682</v>
      </c>
      <c r="D3056">
        <v>1.0033312492350459</v>
      </c>
      <c r="E3056">
        <v>2.4253584300847781</v>
      </c>
      <c r="F3056">
        <v>4.3286329675648769</v>
      </c>
      <c r="G3056">
        <v>6.2402332794867696</v>
      </c>
      <c r="H3056">
        <v>37.920355302730421</v>
      </c>
      <c r="I3056">
        <v>23.1367837948352</v>
      </c>
      <c r="J3056">
        <v>22.820478743375741</v>
      </c>
      <c r="K3056">
        <v>730.38444298081345</v>
      </c>
      <c r="L3056">
        <v>0</v>
      </c>
      <c r="M3056" t="s">
        <v>69</v>
      </c>
    </row>
    <row r="3057" spans="1:13" x14ac:dyDescent="0.3">
      <c r="A3057" t="s">
        <v>24</v>
      </c>
      <c r="B3057" t="s">
        <v>57</v>
      </c>
      <c r="C3057">
        <v>53.845547582481537</v>
      </c>
      <c r="D3057">
        <v>1.898600232677486</v>
      </c>
      <c r="E3057">
        <v>2.9399008181626911</v>
      </c>
      <c r="F3057">
        <v>7.9244686879541861</v>
      </c>
      <c r="G3057">
        <v>5.6221426939763433</v>
      </c>
      <c r="H3057">
        <v>49.701050764366101</v>
      </c>
      <c r="I3057">
        <v>23.41103004662509</v>
      </c>
      <c r="J3057">
        <v>22.840822013145871</v>
      </c>
      <c r="K3057">
        <v>750.48171437175517</v>
      </c>
      <c r="L3057">
        <v>0</v>
      </c>
      <c r="M3057" t="s">
        <v>69</v>
      </c>
    </row>
    <row r="3058" spans="1:13" x14ac:dyDescent="0.3">
      <c r="A3058" t="s">
        <v>25</v>
      </c>
      <c r="B3058" t="s">
        <v>62</v>
      </c>
      <c r="C3058">
        <v>23.33741237995018</v>
      </c>
      <c r="D3058">
        <v>1.009382314638966</v>
      </c>
      <c r="E3058">
        <v>1.0203866736516169</v>
      </c>
      <c r="F3058">
        <v>4.0412351870508694</v>
      </c>
      <c r="G3058">
        <v>5.5012122941883286</v>
      </c>
      <c r="H3058">
        <v>48.210913358596258</v>
      </c>
      <c r="I3058">
        <v>21.024338161413048</v>
      </c>
      <c r="J3058">
        <v>23.990640228965901</v>
      </c>
      <c r="K3058">
        <v>1079.380846573536</v>
      </c>
      <c r="L3058">
        <v>0</v>
      </c>
      <c r="M3058" t="s">
        <v>69</v>
      </c>
    </row>
    <row r="3059" spans="1:13" x14ac:dyDescent="0.3">
      <c r="A3059" t="s">
        <v>19</v>
      </c>
      <c r="B3059" t="s">
        <v>48</v>
      </c>
      <c r="C3059">
        <v>64.896082586424711</v>
      </c>
      <c r="D3059">
        <v>2.935136214925306</v>
      </c>
      <c r="E3059">
        <v>3.9823327436546281</v>
      </c>
      <c r="F3059">
        <v>9.3853079601599507</v>
      </c>
      <c r="G3059">
        <v>6.321937468283604</v>
      </c>
      <c r="H3059">
        <v>19.92265940326681</v>
      </c>
      <c r="I3059">
        <v>33.669262000384457</v>
      </c>
      <c r="J3059">
        <v>26.254154271051831</v>
      </c>
      <c r="K3059">
        <v>1179.9349370280349</v>
      </c>
      <c r="L3059">
        <v>0</v>
      </c>
      <c r="M3059" t="s">
        <v>69</v>
      </c>
    </row>
    <row r="3060" spans="1:13" x14ac:dyDescent="0.3">
      <c r="A3060" t="s">
        <v>25</v>
      </c>
      <c r="B3060" t="s">
        <v>62</v>
      </c>
      <c r="C3060">
        <v>600.86759836046531</v>
      </c>
      <c r="D3060">
        <v>28.49305038863228</v>
      </c>
      <c r="E3060">
        <v>43.535725242721263</v>
      </c>
      <c r="F3060">
        <v>97.249698295206088</v>
      </c>
      <c r="G3060">
        <v>4.3992304802950084</v>
      </c>
      <c r="H3060">
        <v>88.4</v>
      </c>
      <c r="I3060">
        <v>27.297260092774479</v>
      </c>
      <c r="J3060">
        <v>23.53254932017223</v>
      </c>
      <c r="K3060">
        <v>736.75379840962296</v>
      </c>
      <c r="L3060">
        <v>0</v>
      </c>
      <c r="M3060" t="s">
        <v>69</v>
      </c>
    </row>
    <row r="3061" spans="1:13" x14ac:dyDescent="0.3">
      <c r="A3061" t="s">
        <v>19</v>
      </c>
      <c r="B3061" t="s">
        <v>44</v>
      </c>
      <c r="C3061">
        <v>19.450961803972891</v>
      </c>
      <c r="D3061">
        <v>1.060268226564252</v>
      </c>
      <c r="E3061">
        <v>0.94390917114627371</v>
      </c>
      <c r="F3061">
        <v>2.9570497375108591</v>
      </c>
      <c r="G3061">
        <v>6.0793324280406491</v>
      </c>
      <c r="H3061">
        <v>16.411847988706619</v>
      </c>
      <c r="I3061">
        <v>25.36551059395233</v>
      </c>
      <c r="J3061">
        <v>23.701982892576929</v>
      </c>
      <c r="K3061">
        <v>1322.3855976142941</v>
      </c>
      <c r="L3061">
        <v>0</v>
      </c>
      <c r="M3061" t="s">
        <v>69</v>
      </c>
    </row>
    <row r="3062" spans="1:13" x14ac:dyDescent="0.3">
      <c r="A3062" t="s">
        <v>21</v>
      </c>
      <c r="B3062" t="s">
        <v>52</v>
      </c>
      <c r="C3062">
        <v>139.3320360626993</v>
      </c>
      <c r="D3062">
        <v>5.8170571600240351</v>
      </c>
      <c r="E3062">
        <v>9.3111894030081555</v>
      </c>
      <c r="F3062">
        <v>23.773796676782609</v>
      </c>
      <c r="G3062">
        <v>5.5849992926316299</v>
      </c>
      <c r="H3062">
        <v>57.376101168583631</v>
      </c>
      <c r="I3062">
        <v>27.963970883557081</v>
      </c>
      <c r="J3062">
        <v>24.895795451078619</v>
      </c>
      <c r="K3062">
        <v>742.51571441823853</v>
      </c>
      <c r="L3062">
        <v>0</v>
      </c>
      <c r="M3062" t="s">
        <v>69</v>
      </c>
    </row>
    <row r="3063" spans="1:13" x14ac:dyDescent="0.3">
      <c r="A3063" t="s">
        <v>24</v>
      </c>
      <c r="B3063" t="s">
        <v>58</v>
      </c>
      <c r="C3063">
        <v>36.146658343672193</v>
      </c>
      <c r="D3063">
        <v>1.0082104773183871</v>
      </c>
      <c r="E3063">
        <v>2.232126669579745</v>
      </c>
      <c r="F3063">
        <v>5.0335310978455787</v>
      </c>
      <c r="G3063">
        <v>6.855158760567492</v>
      </c>
      <c r="H3063">
        <v>55.914921106961501</v>
      </c>
      <c r="I3063">
        <v>24.799529487813111</v>
      </c>
      <c r="J3063">
        <v>23.03605200479214</v>
      </c>
      <c r="K3063">
        <v>752.08456411501982</v>
      </c>
      <c r="L3063">
        <v>0</v>
      </c>
      <c r="M3063" t="s">
        <v>69</v>
      </c>
    </row>
    <row r="3064" spans="1:13" x14ac:dyDescent="0.3">
      <c r="A3064" t="s">
        <v>19</v>
      </c>
      <c r="B3064" t="s">
        <v>48</v>
      </c>
      <c r="C3064">
        <v>44.095914550002107</v>
      </c>
      <c r="D3064">
        <v>2.0203926366921499</v>
      </c>
      <c r="E3064">
        <v>2.8879119702336791</v>
      </c>
      <c r="F3064">
        <v>6.0483945231671843</v>
      </c>
      <c r="G3064">
        <v>5.5109784947936564</v>
      </c>
      <c r="H3064">
        <v>19.236573519896709</v>
      </c>
      <c r="I3064">
        <v>32.477050449125393</v>
      </c>
      <c r="J3064">
        <v>25.672784280548619</v>
      </c>
      <c r="K3064">
        <v>1168.756059979009</v>
      </c>
      <c r="L3064">
        <v>0</v>
      </c>
      <c r="M3064" t="s">
        <v>69</v>
      </c>
    </row>
    <row r="3065" spans="1:13" x14ac:dyDescent="0.3">
      <c r="A3065" t="s">
        <v>25</v>
      </c>
      <c r="B3065" t="s">
        <v>62</v>
      </c>
      <c r="C3065">
        <v>22.745900730622939</v>
      </c>
      <c r="D3065">
        <v>1.1737312998917131</v>
      </c>
      <c r="E3065">
        <v>0.87388467443999573</v>
      </c>
      <c r="F3065">
        <v>4.35292172543992</v>
      </c>
      <c r="G3065">
        <v>5.4879712008933161</v>
      </c>
      <c r="H3065">
        <v>47.609747061726473</v>
      </c>
      <c r="I3065">
        <v>19.96769190353869</v>
      </c>
      <c r="J3065">
        <v>23.775351054935982</v>
      </c>
      <c r="K3065">
        <v>1074.0088174251671</v>
      </c>
      <c r="L3065">
        <v>0</v>
      </c>
      <c r="M3065" t="s">
        <v>69</v>
      </c>
    </row>
    <row r="3066" spans="1:13" x14ac:dyDescent="0.3">
      <c r="A3066" t="s">
        <v>24</v>
      </c>
      <c r="B3066" t="s">
        <v>57</v>
      </c>
      <c r="C3066">
        <v>7.9805805871553872</v>
      </c>
      <c r="D3066">
        <v>0</v>
      </c>
      <c r="E3066">
        <v>0</v>
      </c>
      <c r="F3066">
        <v>1.0070147413270849</v>
      </c>
      <c r="G3066">
        <v>6.0889204258251901</v>
      </c>
      <c r="H3066">
        <v>38.859004541012183</v>
      </c>
      <c r="I3066">
        <v>23.59969351721465</v>
      </c>
      <c r="J3066">
        <v>22.86507266723158</v>
      </c>
      <c r="K3066">
        <v>737.00874344758302</v>
      </c>
      <c r="L3066">
        <v>0</v>
      </c>
      <c r="M3066" t="s">
        <v>69</v>
      </c>
    </row>
    <row r="3067" spans="1:13" x14ac:dyDescent="0.3">
      <c r="A3067" t="s">
        <v>20</v>
      </c>
      <c r="B3067" t="s">
        <v>49</v>
      </c>
      <c r="C3067">
        <v>44.612679725648341</v>
      </c>
      <c r="D3067">
        <v>1.7892923939184531</v>
      </c>
      <c r="E3067">
        <v>3.1256161490595549</v>
      </c>
      <c r="F3067">
        <v>7.0784362565378354</v>
      </c>
      <c r="G3067">
        <v>6.0743709758689493</v>
      </c>
      <c r="H3067">
        <v>19.856934973105929</v>
      </c>
      <c r="I3067">
        <v>32.055501884788661</v>
      </c>
      <c r="J3067">
        <v>25.41619761996736</v>
      </c>
      <c r="K3067">
        <v>1151.777616120404</v>
      </c>
      <c r="L3067">
        <v>0</v>
      </c>
      <c r="M3067" t="s">
        <v>69</v>
      </c>
    </row>
    <row r="3068" spans="1:13" x14ac:dyDescent="0.3">
      <c r="A3068" t="s">
        <v>25</v>
      </c>
      <c r="B3068" t="s">
        <v>62</v>
      </c>
      <c r="C3068">
        <v>23.92365154966534</v>
      </c>
      <c r="D3068">
        <v>1.020306833719681</v>
      </c>
      <c r="E3068">
        <v>0.92059977858941</v>
      </c>
      <c r="F3068">
        <v>2.933485731496003</v>
      </c>
      <c r="G3068">
        <v>6.3261008947932016</v>
      </c>
      <c r="H3068">
        <v>67.481907946381583</v>
      </c>
      <c r="I3068">
        <v>20.572053980958049</v>
      </c>
      <c r="J3068">
        <v>23.999036037085101</v>
      </c>
      <c r="K3068">
        <v>1212.263583787776</v>
      </c>
      <c r="L3068">
        <v>0</v>
      </c>
      <c r="M3068" t="s">
        <v>69</v>
      </c>
    </row>
    <row r="3069" spans="1:13" x14ac:dyDescent="0.3">
      <c r="A3069" t="s">
        <v>20</v>
      </c>
      <c r="B3069" t="s">
        <v>49</v>
      </c>
      <c r="C3069">
        <v>38.488435308098587</v>
      </c>
      <c r="D3069">
        <v>1.930601183307157</v>
      </c>
      <c r="E3069">
        <v>1.990455025756207</v>
      </c>
      <c r="F3069">
        <v>6.0646316533509426</v>
      </c>
      <c r="G3069">
        <v>6.2567598305363266</v>
      </c>
      <c r="H3069">
        <v>15.88462855791551</v>
      </c>
      <c r="I3069">
        <v>32.730303998336858</v>
      </c>
      <c r="J3069">
        <v>25.791158244925558</v>
      </c>
      <c r="K3069">
        <v>1133.276284464868</v>
      </c>
      <c r="L3069">
        <v>0</v>
      </c>
      <c r="M3069" t="s">
        <v>69</v>
      </c>
    </row>
    <row r="3070" spans="1:13" x14ac:dyDescent="0.3">
      <c r="A3070" t="s">
        <v>24</v>
      </c>
      <c r="B3070" t="s">
        <v>58</v>
      </c>
      <c r="C3070">
        <v>28.14619120445165</v>
      </c>
      <c r="D3070">
        <v>1.0387363316488281</v>
      </c>
      <c r="E3070">
        <v>2.4230783345469158</v>
      </c>
      <c r="F3070">
        <v>4.2659618002922937</v>
      </c>
      <c r="G3070">
        <v>6.2461728198558752</v>
      </c>
      <c r="H3070">
        <v>37.799979555829857</v>
      </c>
      <c r="I3070">
        <v>23.193269844768491</v>
      </c>
      <c r="J3070">
        <v>22.793940418939751</v>
      </c>
      <c r="K3070">
        <v>732.09272893692571</v>
      </c>
      <c r="L3070">
        <v>0</v>
      </c>
      <c r="M3070" t="s">
        <v>69</v>
      </c>
    </row>
    <row r="3071" spans="1:13" x14ac:dyDescent="0.3">
      <c r="A3071" t="s">
        <v>24</v>
      </c>
      <c r="B3071" t="s">
        <v>59</v>
      </c>
      <c r="C3071">
        <v>59.618955025251338</v>
      </c>
      <c r="D3071">
        <v>1.9946710838469861</v>
      </c>
      <c r="E3071">
        <v>3.9904112566243191</v>
      </c>
      <c r="F3071">
        <v>9.8360619713347361</v>
      </c>
      <c r="G3071">
        <v>6.6293784925760981</v>
      </c>
      <c r="H3071">
        <v>56.875008858210407</v>
      </c>
      <c r="I3071">
        <v>26.879234136250609</v>
      </c>
      <c r="J3071">
        <v>23.835292985519661</v>
      </c>
      <c r="K3071">
        <v>724.81416981922087</v>
      </c>
      <c r="L3071">
        <v>0</v>
      </c>
      <c r="M3071" t="s">
        <v>69</v>
      </c>
    </row>
    <row r="3072" spans="1:13" x14ac:dyDescent="0.3">
      <c r="A3072" t="s">
        <v>19</v>
      </c>
      <c r="B3072" t="s">
        <v>48</v>
      </c>
      <c r="C3072">
        <v>32.72158465888802</v>
      </c>
      <c r="D3072">
        <v>0.85746497259982668</v>
      </c>
      <c r="E3072">
        <v>1.6246379916129809</v>
      </c>
      <c r="F3072">
        <v>5.8860095695001</v>
      </c>
      <c r="G3072">
        <v>6.0351228644045323</v>
      </c>
      <c r="H3072">
        <v>16.460975139995881</v>
      </c>
      <c r="I3072">
        <v>31.04969478003013</v>
      </c>
      <c r="J3072">
        <v>26.07792128829103</v>
      </c>
      <c r="K3072">
        <v>1177.0364886985519</v>
      </c>
      <c r="L3072">
        <v>0</v>
      </c>
      <c r="M3072" t="s">
        <v>69</v>
      </c>
    </row>
    <row r="3073" spans="1:13" x14ac:dyDescent="0.3">
      <c r="A3073" t="s">
        <v>21</v>
      </c>
      <c r="B3073" t="s">
        <v>52</v>
      </c>
      <c r="C3073">
        <v>63.844818015043778</v>
      </c>
      <c r="D3073">
        <v>3.3481584833429241</v>
      </c>
      <c r="E3073">
        <v>3.778816328155775</v>
      </c>
      <c r="F3073">
        <v>10.26334042771283</v>
      </c>
      <c r="G3073">
        <v>6.4148554054889244</v>
      </c>
      <c r="H3073">
        <v>19.40183730573305</v>
      </c>
      <c r="I3073">
        <v>33.393790551010163</v>
      </c>
      <c r="J3073">
        <v>25.204266068013091</v>
      </c>
      <c r="K3073">
        <v>1218.3521126410369</v>
      </c>
      <c r="L3073">
        <v>0</v>
      </c>
      <c r="M3073" t="s">
        <v>69</v>
      </c>
    </row>
    <row r="3074" spans="1:13" x14ac:dyDescent="0.3">
      <c r="A3074" t="s">
        <v>25</v>
      </c>
      <c r="B3074" t="s">
        <v>62</v>
      </c>
      <c r="C3074">
        <v>29.592741254906802</v>
      </c>
      <c r="D3074">
        <v>1.0396743351737661</v>
      </c>
      <c r="E3074">
        <v>1.931560976633397</v>
      </c>
      <c r="F3074">
        <v>4.7926105650152717</v>
      </c>
      <c r="G3074">
        <v>6.1784383565512231</v>
      </c>
      <c r="H3074">
        <v>36.52498292487769</v>
      </c>
      <c r="I3074">
        <v>20.53070120068325</v>
      </c>
      <c r="J3074">
        <v>23.743983909570531</v>
      </c>
      <c r="K3074">
        <v>1085.741894125096</v>
      </c>
      <c r="L3074">
        <v>0</v>
      </c>
      <c r="M3074" t="s">
        <v>69</v>
      </c>
    </row>
    <row r="3075" spans="1:13" x14ac:dyDescent="0.3">
      <c r="A3075" t="s">
        <v>25</v>
      </c>
      <c r="B3075" t="s">
        <v>62</v>
      </c>
      <c r="C3075">
        <v>30.789780200835501</v>
      </c>
      <c r="D3075">
        <v>0.90864568765154585</v>
      </c>
      <c r="E3075">
        <v>1.70123166877389</v>
      </c>
      <c r="F3075">
        <v>4.4654119240872694</v>
      </c>
      <c r="G3075">
        <v>6.2900331495325563</v>
      </c>
      <c r="H3075">
        <v>38.123514954657772</v>
      </c>
      <c r="I3075">
        <v>19.80272698794213</v>
      </c>
      <c r="J3075">
        <v>23.927572652164748</v>
      </c>
      <c r="K3075">
        <v>1065.1134418963179</v>
      </c>
      <c r="L3075">
        <v>0</v>
      </c>
      <c r="M3075" t="s">
        <v>69</v>
      </c>
    </row>
    <row r="3076" spans="1:13" x14ac:dyDescent="0.3">
      <c r="A3076" t="s">
        <v>19</v>
      </c>
      <c r="B3076" t="s">
        <v>45</v>
      </c>
      <c r="C3076">
        <v>19.815364488511289</v>
      </c>
      <c r="D3076">
        <v>1.0253180825259789</v>
      </c>
      <c r="E3076">
        <v>1.0345900761543469</v>
      </c>
      <c r="F3076">
        <v>2.7097358438931489</v>
      </c>
      <c r="G3076">
        <v>6.2737177047062413</v>
      </c>
      <c r="H3076">
        <v>18.646774087130101</v>
      </c>
      <c r="I3076">
        <v>31.780180498411688</v>
      </c>
      <c r="J3076">
        <v>24.196332893993748</v>
      </c>
      <c r="K3076">
        <v>1327.435471011742</v>
      </c>
      <c r="L3076">
        <v>0</v>
      </c>
      <c r="M3076" t="s">
        <v>69</v>
      </c>
    </row>
    <row r="3077" spans="1:13" x14ac:dyDescent="0.3">
      <c r="A3077" t="s">
        <v>24</v>
      </c>
      <c r="B3077" t="s">
        <v>57</v>
      </c>
      <c r="C3077">
        <v>55.841502233660513</v>
      </c>
      <c r="D3077">
        <v>2.0998467465823878</v>
      </c>
      <c r="E3077">
        <v>2.621454140871434</v>
      </c>
      <c r="F3077">
        <v>7.3935494162299689</v>
      </c>
      <c r="G3077">
        <v>5.4776862900988732</v>
      </c>
      <c r="H3077">
        <v>50.936829718021507</v>
      </c>
      <c r="I3077">
        <v>23.623539359005949</v>
      </c>
      <c r="J3077">
        <v>22.481163585197869</v>
      </c>
      <c r="K3077">
        <v>725.47838646190235</v>
      </c>
      <c r="L3077">
        <v>0</v>
      </c>
      <c r="M3077" t="s">
        <v>69</v>
      </c>
    </row>
    <row r="3078" spans="1:13" x14ac:dyDescent="0.3">
      <c r="A3078" t="s">
        <v>24</v>
      </c>
      <c r="B3078" t="s">
        <v>58</v>
      </c>
      <c r="C3078">
        <v>29.393145720622101</v>
      </c>
      <c r="D3078">
        <v>1.0536514289251031</v>
      </c>
      <c r="E3078">
        <v>1.9437769214836329</v>
      </c>
      <c r="F3078">
        <v>3.909644498170199</v>
      </c>
      <c r="G3078">
        <v>6.9834846608607366</v>
      </c>
      <c r="H3078">
        <v>33.787739847610318</v>
      </c>
      <c r="I3078">
        <v>26.04789947206573</v>
      </c>
      <c r="J3078">
        <v>23.729567046330882</v>
      </c>
      <c r="K3078">
        <v>732.87766915460929</v>
      </c>
      <c r="L3078">
        <v>0</v>
      </c>
      <c r="M3078" t="s">
        <v>69</v>
      </c>
    </row>
    <row r="3079" spans="1:13" x14ac:dyDescent="0.3">
      <c r="A3079" t="s">
        <v>19</v>
      </c>
      <c r="B3079" t="s">
        <v>48</v>
      </c>
      <c r="C3079">
        <v>59.062050812634148</v>
      </c>
      <c r="D3079">
        <v>3.105512984853688</v>
      </c>
      <c r="E3079">
        <v>3.3122375689497781</v>
      </c>
      <c r="F3079">
        <v>10.901686011885729</v>
      </c>
      <c r="G3079">
        <v>6.2133435150022889</v>
      </c>
      <c r="H3079">
        <v>17.912973858945261</v>
      </c>
      <c r="I3079">
        <v>33.889663105042743</v>
      </c>
      <c r="J3079">
        <v>27.864958433150651</v>
      </c>
      <c r="K3079">
        <v>1185.0631394186739</v>
      </c>
      <c r="L3079">
        <v>0</v>
      </c>
      <c r="M3079" t="s">
        <v>69</v>
      </c>
    </row>
    <row r="3080" spans="1:13" x14ac:dyDescent="0.3">
      <c r="A3080" t="s">
        <v>25</v>
      </c>
      <c r="B3080" t="s">
        <v>62</v>
      </c>
      <c r="C3080">
        <v>22.90052827329249</v>
      </c>
      <c r="D3080">
        <v>1.0602577757471161</v>
      </c>
      <c r="E3080">
        <v>0.94441892524926185</v>
      </c>
      <c r="F3080">
        <v>4.0781288334533219</v>
      </c>
      <c r="G3080">
        <v>5.5009558649423864</v>
      </c>
      <c r="H3080">
        <v>48.116511531291437</v>
      </c>
      <c r="I3080">
        <v>20.655365273924929</v>
      </c>
      <c r="J3080">
        <v>23.866894779829519</v>
      </c>
      <c r="K3080">
        <v>1078.885316130189</v>
      </c>
      <c r="L3080">
        <v>0</v>
      </c>
      <c r="M3080" t="s">
        <v>69</v>
      </c>
    </row>
    <row r="3081" spans="1:13" x14ac:dyDescent="0.3">
      <c r="A3081" t="s">
        <v>24</v>
      </c>
      <c r="B3081" t="s">
        <v>58</v>
      </c>
      <c r="C3081">
        <v>34.527407195289527</v>
      </c>
      <c r="D3081">
        <v>1.026090650171434</v>
      </c>
      <c r="E3081">
        <v>1.919523593596381</v>
      </c>
      <c r="F3081">
        <v>4.8097211958088906</v>
      </c>
      <c r="G3081">
        <v>6.5346069754164109</v>
      </c>
      <c r="H3081">
        <v>54.635674441163466</v>
      </c>
      <c r="I3081">
        <v>25.528652940626479</v>
      </c>
      <c r="J3081">
        <v>22.941245799089302</v>
      </c>
      <c r="K3081">
        <v>723.48439101111762</v>
      </c>
      <c r="L3081">
        <v>0</v>
      </c>
      <c r="M3081" t="s">
        <v>69</v>
      </c>
    </row>
    <row r="3082" spans="1:13" x14ac:dyDescent="0.3">
      <c r="A3082" t="s">
        <v>24</v>
      </c>
      <c r="B3082" t="s">
        <v>57</v>
      </c>
      <c r="C3082">
        <v>54.468224325359579</v>
      </c>
      <c r="D3082">
        <v>2.063962342092438</v>
      </c>
      <c r="E3082">
        <v>2.9331621990283669</v>
      </c>
      <c r="F3082">
        <v>7.3626175836563812</v>
      </c>
      <c r="G3082">
        <v>5.6226845940225472</v>
      </c>
      <c r="H3082">
        <v>52.233048365177147</v>
      </c>
      <c r="I3082">
        <v>23.982384181873641</v>
      </c>
      <c r="J3082">
        <v>21.510211194959201</v>
      </c>
      <c r="K3082">
        <v>726.62651380598436</v>
      </c>
      <c r="L3082">
        <v>0</v>
      </c>
      <c r="M3082" t="s">
        <v>69</v>
      </c>
    </row>
    <row r="3083" spans="1:13" x14ac:dyDescent="0.3">
      <c r="A3083" t="s">
        <v>20</v>
      </c>
      <c r="B3083" t="s">
        <v>49</v>
      </c>
      <c r="C3083">
        <v>38.914799889181637</v>
      </c>
      <c r="D3083">
        <v>1.1185206299841719</v>
      </c>
      <c r="E3083">
        <v>2.1701339795643428</v>
      </c>
      <c r="F3083">
        <v>6.4214532115090872</v>
      </c>
      <c r="G3083">
        <v>6.3584998119539904</v>
      </c>
      <c r="H3083">
        <v>16.843381618361779</v>
      </c>
      <c r="I3083">
        <v>30.944323413551359</v>
      </c>
      <c r="J3083">
        <v>26.269852514548571</v>
      </c>
      <c r="K3083">
        <v>1143.713174035041</v>
      </c>
      <c r="L3083">
        <v>0</v>
      </c>
      <c r="M3083" t="s">
        <v>69</v>
      </c>
    </row>
    <row r="3084" spans="1:13" x14ac:dyDescent="0.3">
      <c r="A3084" t="s">
        <v>19</v>
      </c>
      <c r="B3084" t="s">
        <v>44</v>
      </c>
      <c r="C3084">
        <v>18.54604512745335</v>
      </c>
      <c r="D3084">
        <v>0</v>
      </c>
      <c r="E3084">
        <v>1.069281187724235</v>
      </c>
      <c r="F3084">
        <v>3.1151253203880209</v>
      </c>
      <c r="G3084">
        <v>5.143232974478102</v>
      </c>
      <c r="H3084">
        <v>15.03110260263399</v>
      </c>
      <c r="I3084">
        <v>32.726883352035912</v>
      </c>
      <c r="J3084">
        <v>23.489258615591321</v>
      </c>
      <c r="K3084">
        <v>1352.901358545646</v>
      </c>
      <c r="L3084">
        <v>0</v>
      </c>
      <c r="M3084" t="s">
        <v>69</v>
      </c>
    </row>
    <row r="3085" spans="1:13" x14ac:dyDescent="0.3">
      <c r="A3085" t="s">
        <v>21</v>
      </c>
      <c r="B3085" t="s">
        <v>52</v>
      </c>
      <c r="C3085">
        <v>134.1598977039053</v>
      </c>
      <c r="D3085">
        <v>6.0350251315310226</v>
      </c>
      <c r="E3085">
        <v>10.080704419073911</v>
      </c>
      <c r="F3085">
        <v>21.411171074356641</v>
      </c>
      <c r="G3085">
        <v>5.6633889240765516</v>
      </c>
      <c r="H3085">
        <v>55.689578029959478</v>
      </c>
      <c r="I3085">
        <v>28.040186852886119</v>
      </c>
      <c r="J3085">
        <v>24.493675264436359</v>
      </c>
      <c r="K3085">
        <v>747.5137407838796</v>
      </c>
      <c r="L3085">
        <v>0</v>
      </c>
      <c r="M3085" t="s">
        <v>69</v>
      </c>
    </row>
    <row r="3086" spans="1:13" x14ac:dyDescent="0.3">
      <c r="A3086" t="s">
        <v>19</v>
      </c>
      <c r="B3086" t="s">
        <v>48</v>
      </c>
      <c r="C3086">
        <v>55.51682824236314</v>
      </c>
      <c r="D3086">
        <v>2.769019173464113</v>
      </c>
      <c r="E3086">
        <v>3.4882133746412292</v>
      </c>
      <c r="F3086">
        <v>8.3638874431573562</v>
      </c>
      <c r="G3086">
        <v>6.2342748599682833</v>
      </c>
      <c r="H3086">
        <v>18.647635127984039</v>
      </c>
      <c r="I3086">
        <v>33.962341538579238</v>
      </c>
      <c r="J3086">
        <v>25.667988256342628</v>
      </c>
      <c r="K3086">
        <v>1179.285566098386</v>
      </c>
      <c r="L3086">
        <v>0</v>
      </c>
      <c r="M3086" t="s">
        <v>69</v>
      </c>
    </row>
    <row r="3087" spans="1:13" x14ac:dyDescent="0.3">
      <c r="A3087" t="s">
        <v>24</v>
      </c>
      <c r="B3087" t="s">
        <v>58</v>
      </c>
      <c r="C3087">
        <v>35.489518765300573</v>
      </c>
      <c r="D3087">
        <v>1.184975349259946</v>
      </c>
      <c r="E3087">
        <v>2.23304129557176</v>
      </c>
      <c r="F3087">
        <v>5.0633660327460728</v>
      </c>
      <c r="G3087">
        <v>7.135607055907057</v>
      </c>
      <c r="H3087">
        <v>58.438709072666512</v>
      </c>
      <c r="I3087">
        <v>24.07019885738649</v>
      </c>
      <c r="J3087">
        <v>22.905257300099439</v>
      </c>
      <c r="K3087">
        <v>730.67070860007573</v>
      </c>
      <c r="L3087">
        <v>0</v>
      </c>
      <c r="M3087" t="s">
        <v>69</v>
      </c>
    </row>
    <row r="3088" spans="1:13" x14ac:dyDescent="0.3">
      <c r="A3088" t="s">
        <v>19</v>
      </c>
      <c r="B3088" t="s">
        <v>45</v>
      </c>
      <c r="C3088">
        <v>20.316795265530221</v>
      </c>
      <c r="D3088">
        <v>1.062878897978879</v>
      </c>
      <c r="E3088">
        <v>0.9984346574720151</v>
      </c>
      <c r="F3088">
        <v>2.6335224826136092</v>
      </c>
      <c r="G3088">
        <v>6.2715515300814086</v>
      </c>
      <c r="H3088">
        <v>18.65789389887324</v>
      </c>
      <c r="I3088">
        <v>31.05807735071431</v>
      </c>
      <c r="J3088">
        <v>24.78722284463052</v>
      </c>
      <c r="K3088">
        <v>1305.1699949986439</v>
      </c>
      <c r="L3088">
        <v>0</v>
      </c>
      <c r="M3088" t="s">
        <v>69</v>
      </c>
    </row>
    <row r="3089" spans="1:13" x14ac:dyDescent="0.3">
      <c r="A3089" t="s">
        <v>19</v>
      </c>
      <c r="B3089" t="s">
        <v>44</v>
      </c>
      <c r="C3089">
        <v>22.658052240023519</v>
      </c>
      <c r="D3089">
        <v>0.99099238178557991</v>
      </c>
      <c r="E3089">
        <v>0.96370498905695801</v>
      </c>
      <c r="F3089">
        <v>3.2568025376267928</v>
      </c>
      <c r="G3089">
        <v>6.6359055214170892</v>
      </c>
      <c r="H3089">
        <v>19.199022855268609</v>
      </c>
      <c r="I3089">
        <v>26.958669272978991</v>
      </c>
      <c r="J3089">
        <v>24.072942610750001</v>
      </c>
      <c r="K3089">
        <v>1320.8350963608671</v>
      </c>
      <c r="L3089">
        <v>0</v>
      </c>
      <c r="M3089" t="s">
        <v>69</v>
      </c>
    </row>
    <row r="3090" spans="1:13" x14ac:dyDescent="0.3">
      <c r="A3090" t="s">
        <v>25</v>
      </c>
      <c r="B3090" t="s">
        <v>62</v>
      </c>
      <c r="C3090">
        <v>25.923485047240671</v>
      </c>
      <c r="D3090">
        <v>1.040926574477667</v>
      </c>
      <c r="E3090">
        <v>0.99671066609287173</v>
      </c>
      <c r="F3090">
        <v>2.778760277235198</v>
      </c>
      <c r="G3090">
        <v>6.2666746500145667</v>
      </c>
      <c r="H3090">
        <v>66.466648337034229</v>
      </c>
      <c r="I3090">
        <v>20.964734231521572</v>
      </c>
      <c r="J3090">
        <v>22.574551136790571</v>
      </c>
      <c r="K3090">
        <v>1217.0504358911619</v>
      </c>
      <c r="L3090">
        <v>0</v>
      </c>
      <c r="M3090" t="s">
        <v>69</v>
      </c>
    </row>
    <row r="3091" spans="1:13" x14ac:dyDescent="0.3">
      <c r="A3091" t="s">
        <v>24</v>
      </c>
      <c r="B3091" t="s">
        <v>58</v>
      </c>
      <c r="C3091">
        <v>34.710628786601887</v>
      </c>
      <c r="D3091">
        <v>1.0510627046115331</v>
      </c>
      <c r="E3091">
        <v>1.9462133807955579</v>
      </c>
      <c r="F3091">
        <v>5.08448511780737</v>
      </c>
      <c r="G3091">
        <v>6.773901888287563</v>
      </c>
      <c r="H3091">
        <v>59.310225976931712</v>
      </c>
      <c r="I3091">
        <v>24.013944977141911</v>
      </c>
      <c r="J3091">
        <v>21.666052687089131</v>
      </c>
      <c r="K3091">
        <v>733.22864764983763</v>
      </c>
      <c r="L3091">
        <v>0</v>
      </c>
      <c r="M3091" t="s">
        <v>69</v>
      </c>
    </row>
    <row r="3092" spans="1:13" x14ac:dyDescent="0.3">
      <c r="A3092" t="s">
        <v>19</v>
      </c>
      <c r="B3092" t="s">
        <v>48</v>
      </c>
      <c r="C3092">
        <v>61.495386056903357</v>
      </c>
      <c r="D3092">
        <v>2.9136631692010639</v>
      </c>
      <c r="E3092">
        <v>3.9224326580955871</v>
      </c>
      <c r="F3092">
        <v>9.20654487945189</v>
      </c>
      <c r="G3092">
        <v>6.2805442226754398</v>
      </c>
      <c r="H3092">
        <v>19.32357009179718</v>
      </c>
      <c r="I3092">
        <v>33.865198418055748</v>
      </c>
      <c r="J3092">
        <v>26.06759569582599</v>
      </c>
      <c r="K3092">
        <v>1185.5812622885389</v>
      </c>
      <c r="L3092">
        <v>0</v>
      </c>
      <c r="M3092" t="s">
        <v>69</v>
      </c>
    </row>
    <row r="3093" spans="1:13" x14ac:dyDescent="0.3">
      <c r="A3093" t="s">
        <v>24</v>
      </c>
      <c r="B3093" t="s">
        <v>59</v>
      </c>
      <c r="C3093">
        <v>57.828018085999886</v>
      </c>
      <c r="D3093">
        <v>1.902419682995018</v>
      </c>
      <c r="E3093">
        <v>3.7967857756250321</v>
      </c>
      <c r="F3093">
        <v>10.379480900242831</v>
      </c>
      <c r="G3093">
        <v>6.6774344187497237</v>
      </c>
      <c r="H3093">
        <v>56.478191352940073</v>
      </c>
      <c r="I3093">
        <v>27.75800607621386</v>
      </c>
      <c r="J3093">
        <v>23.313113778311688</v>
      </c>
      <c r="K3093">
        <v>742.59294176311823</v>
      </c>
      <c r="L3093">
        <v>0</v>
      </c>
      <c r="M3093" t="s">
        <v>69</v>
      </c>
    </row>
    <row r="3094" spans="1:13" x14ac:dyDescent="0.3">
      <c r="A3094" t="s">
        <v>19</v>
      </c>
      <c r="B3094" t="s">
        <v>45</v>
      </c>
      <c r="C3094">
        <v>19.891471436311061</v>
      </c>
      <c r="D3094">
        <v>0.95885180464224673</v>
      </c>
      <c r="E3094">
        <v>1.0542351598037649</v>
      </c>
      <c r="F3094">
        <v>2.8919633778131608</v>
      </c>
      <c r="G3094">
        <v>6.2145053646109334</v>
      </c>
      <c r="H3094">
        <v>18.994867044349579</v>
      </c>
      <c r="I3094">
        <v>31.068220353908309</v>
      </c>
      <c r="J3094">
        <v>23.85749870063799</v>
      </c>
      <c r="K3094">
        <v>1325.1895346158681</v>
      </c>
      <c r="L3094">
        <v>0</v>
      </c>
      <c r="M3094" t="s">
        <v>69</v>
      </c>
    </row>
    <row r="3095" spans="1:13" x14ac:dyDescent="0.3">
      <c r="A3095" t="s">
        <v>25</v>
      </c>
      <c r="B3095" t="s">
        <v>62</v>
      </c>
      <c r="C3095">
        <v>244.15592069155119</v>
      </c>
      <c r="D3095">
        <v>19.622863681837138</v>
      </c>
      <c r="E3095">
        <v>28.303420788730008</v>
      </c>
      <c r="F3095">
        <v>65.792475404181431</v>
      </c>
      <c r="G3095">
        <v>4.4900670392585162</v>
      </c>
      <c r="H3095">
        <v>82.481979623230188</v>
      </c>
      <c r="I3095">
        <v>30.68377780150584</v>
      </c>
      <c r="J3095">
        <v>23.835247433343898</v>
      </c>
      <c r="K3095">
        <v>722.02743075657372</v>
      </c>
      <c r="L3095">
        <v>0</v>
      </c>
      <c r="M3095" t="s">
        <v>69</v>
      </c>
    </row>
    <row r="3096" spans="1:13" x14ac:dyDescent="0.3">
      <c r="A3096" t="s">
        <v>24</v>
      </c>
      <c r="B3096" t="s">
        <v>58</v>
      </c>
      <c r="C3096">
        <v>29.93920578457913</v>
      </c>
      <c r="D3096">
        <v>0.91148026035046659</v>
      </c>
      <c r="E3096">
        <v>2.077524284695397</v>
      </c>
      <c r="F3096">
        <v>4.0933966668994231</v>
      </c>
      <c r="G3096">
        <v>6.8777563878678647</v>
      </c>
      <c r="H3096">
        <v>33.2792936737346</v>
      </c>
      <c r="I3096">
        <v>25.69329519446471</v>
      </c>
      <c r="J3096">
        <v>23.09814025023384</v>
      </c>
      <c r="K3096">
        <v>752.66320622044691</v>
      </c>
      <c r="L3096">
        <v>0</v>
      </c>
      <c r="M3096" t="s">
        <v>69</v>
      </c>
    </row>
    <row r="3097" spans="1:13" x14ac:dyDescent="0.3">
      <c r="A3097" t="s">
        <v>19</v>
      </c>
      <c r="B3097" t="s">
        <v>45</v>
      </c>
      <c r="C3097">
        <v>21.396779310827799</v>
      </c>
      <c r="D3097">
        <v>0.95348984572073903</v>
      </c>
      <c r="E3097">
        <v>1.0408895854940601</v>
      </c>
      <c r="F3097">
        <v>3.0152553016349199</v>
      </c>
      <c r="G3097">
        <v>6.187808514642831</v>
      </c>
      <c r="H3097">
        <v>19.86218555457916</v>
      </c>
      <c r="I3097">
        <v>31.16550683200936</v>
      </c>
      <c r="J3097">
        <v>23.550016717089079</v>
      </c>
      <c r="K3097">
        <v>1326.1890914243479</v>
      </c>
      <c r="L3097">
        <v>0</v>
      </c>
      <c r="M3097" t="s">
        <v>69</v>
      </c>
    </row>
    <row r="3098" spans="1:13" x14ac:dyDescent="0.3">
      <c r="A3098" t="s">
        <v>19</v>
      </c>
      <c r="B3098" t="s">
        <v>48</v>
      </c>
      <c r="C3098">
        <v>27.917381969481749</v>
      </c>
      <c r="D3098">
        <v>0.96812545082194523</v>
      </c>
      <c r="E3098">
        <v>0.93805804680651228</v>
      </c>
      <c r="F3098">
        <v>3.9848898921367581</v>
      </c>
      <c r="G3098">
        <v>6.0202166238212813</v>
      </c>
      <c r="H3098">
        <v>16.490558102580909</v>
      </c>
      <c r="I3098">
        <v>31.111758092563051</v>
      </c>
      <c r="J3098">
        <v>25.60472565909749</v>
      </c>
      <c r="K3098">
        <v>1164.1082066244601</v>
      </c>
      <c r="L3098">
        <v>0</v>
      </c>
      <c r="M3098" t="s">
        <v>69</v>
      </c>
    </row>
    <row r="3099" spans="1:13" x14ac:dyDescent="0.3">
      <c r="A3099" t="s">
        <v>19</v>
      </c>
      <c r="B3099" t="s">
        <v>48</v>
      </c>
      <c r="C3099">
        <v>25.256379381515799</v>
      </c>
      <c r="D3099">
        <v>1.033817805562838</v>
      </c>
      <c r="E3099">
        <v>0.96278904877415705</v>
      </c>
      <c r="F3099">
        <v>3.4479364010684588</v>
      </c>
      <c r="G3099">
        <v>5.948839137914824</v>
      </c>
      <c r="H3099">
        <v>17.045770726948369</v>
      </c>
      <c r="I3099">
        <v>31.575169382514311</v>
      </c>
      <c r="J3099">
        <v>26.358687572637809</v>
      </c>
      <c r="K3099">
        <v>1160.629718146658</v>
      </c>
      <c r="L3099">
        <v>0</v>
      </c>
      <c r="M3099" t="s">
        <v>69</v>
      </c>
    </row>
    <row r="3100" spans="1:13" x14ac:dyDescent="0.3">
      <c r="A3100" t="s">
        <v>19</v>
      </c>
      <c r="B3100" t="s">
        <v>44</v>
      </c>
      <c r="C3100">
        <v>22.169667026648948</v>
      </c>
      <c r="D3100">
        <v>1.139699998230836</v>
      </c>
      <c r="E3100">
        <v>1.0398350483009691</v>
      </c>
      <c r="F3100">
        <v>2.6686975570651388</v>
      </c>
      <c r="G3100">
        <v>6.3791984628539362</v>
      </c>
      <c r="H3100">
        <v>20.154563619621001</v>
      </c>
      <c r="I3100">
        <v>27.266701856335342</v>
      </c>
      <c r="J3100">
        <v>24.018536387115279</v>
      </c>
      <c r="K3100">
        <v>1327.5234238796411</v>
      </c>
      <c r="L3100">
        <v>0</v>
      </c>
      <c r="M3100" t="s">
        <v>69</v>
      </c>
    </row>
    <row r="3101" spans="1:13" x14ac:dyDescent="0.3">
      <c r="A3101" t="s">
        <v>24</v>
      </c>
      <c r="B3101" t="s">
        <v>57</v>
      </c>
      <c r="C3101">
        <v>54.439216091564717</v>
      </c>
      <c r="D3101">
        <v>2.0153992654334858</v>
      </c>
      <c r="E3101">
        <v>3.052374635331824</v>
      </c>
      <c r="F3101">
        <v>9.4360264221155337</v>
      </c>
      <c r="G3101">
        <v>5.5768694359024114</v>
      </c>
      <c r="H3101">
        <v>50.497840296307061</v>
      </c>
      <c r="I3101">
        <v>23.28634569969946</v>
      </c>
      <c r="J3101">
        <v>22.79061396188526</v>
      </c>
      <c r="K3101">
        <v>735.8732104230038</v>
      </c>
      <c r="L3101">
        <v>0</v>
      </c>
      <c r="M3101" t="s">
        <v>69</v>
      </c>
    </row>
    <row r="3102" spans="1:13" x14ac:dyDescent="0.3">
      <c r="A3102" t="s">
        <v>25</v>
      </c>
      <c r="B3102" t="s">
        <v>62</v>
      </c>
      <c r="C3102">
        <v>265.16818103025651</v>
      </c>
      <c r="D3102">
        <v>18.275712928357951</v>
      </c>
      <c r="E3102">
        <v>28.57969098771428</v>
      </c>
      <c r="F3102">
        <v>59.43436483708534</v>
      </c>
      <c r="G3102">
        <v>4.44189463886479</v>
      </c>
      <c r="H3102">
        <v>75.003765410139806</v>
      </c>
      <c r="I3102">
        <v>30.94246762367252</v>
      </c>
      <c r="J3102">
        <v>24.184669799220799</v>
      </c>
      <c r="K3102">
        <v>731.54296122123617</v>
      </c>
      <c r="L3102">
        <v>0</v>
      </c>
      <c r="M3102" t="s">
        <v>69</v>
      </c>
    </row>
    <row r="3103" spans="1:13" x14ac:dyDescent="0.3">
      <c r="A3103" t="s">
        <v>21</v>
      </c>
      <c r="B3103" t="s">
        <v>52</v>
      </c>
      <c r="C3103">
        <v>136.66581173293221</v>
      </c>
      <c r="D3103">
        <v>6.0493322966035237</v>
      </c>
      <c r="E3103">
        <v>10.058435594207859</v>
      </c>
      <c r="F3103">
        <v>21.24219617210246</v>
      </c>
      <c r="G3103">
        <v>5.6933379324223417</v>
      </c>
      <c r="H3103">
        <v>55.578323222174078</v>
      </c>
      <c r="I3103">
        <v>27.754924771624069</v>
      </c>
      <c r="J3103">
        <v>24.521361870580339</v>
      </c>
      <c r="K3103">
        <v>746.12743957375847</v>
      </c>
      <c r="L3103">
        <v>0</v>
      </c>
      <c r="M3103" t="s">
        <v>69</v>
      </c>
    </row>
    <row r="3104" spans="1:13" x14ac:dyDescent="0.3">
      <c r="A3104" t="s">
        <v>20</v>
      </c>
      <c r="B3104" t="s">
        <v>49</v>
      </c>
      <c r="C3104">
        <v>36.033733555636637</v>
      </c>
      <c r="D3104">
        <v>1.2515201817212109</v>
      </c>
      <c r="E3104">
        <v>2.204516282185645</v>
      </c>
      <c r="F3104">
        <v>6.3063246076585084</v>
      </c>
      <c r="G3104">
        <v>6.3435621583854154</v>
      </c>
      <c r="H3104">
        <v>16.72667243539107</v>
      </c>
      <c r="I3104">
        <v>32.271620135889378</v>
      </c>
      <c r="J3104">
        <v>26.853054089623171</v>
      </c>
      <c r="K3104">
        <v>1134.015499445331</v>
      </c>
      <c r="L3104">
        <v>0</v>
      </c>
      <c r="M3104" t="s">
        <v>69</v>
      </c>
    </row>
    <row r="3105" spans="1:13" x14ac:dyDescent="0.3">
      <c r="A3105" t="s">
        <v>24</v>
      </c>
      <c r="B3105" t="s">
        <v>58</v>
      </c>
      <c r="C3105">
        <v>35.873623714913201</v>
      </c>
      <c r="D3105">
        <v>0.89995525973078161</v>
      </c>
      <c r="E3105">
        <v>1.9569137204997591</v>
      </c>
      <c r="F3105">
        <v>4.500184687489174</v>
      </c>
      <c r="G3105">
        <v>6.8754012224458716</v>
      </c>
      <c r="H3105">
        <v>57.117761945810628</v>
      </c>
      <c r="I3105">
        <v>24.710093625170781</v>
      </c>
      <c r="J3105">
        <v>22.93956115925965</v>
      </c>
      <c r="K3105">
        <v>738.99580792949666</v>
      </c>
      <c r="L3105">
        <v>0</v>
      </c>
      <c r="M3105" t="s">
        <v>69</v>
      </c>
    </row>
    <row r="3106" spans="1:13" x14ac:dyDescent="0.3">
      <c r="A3106" t="s">
        <v>19</v>
      </c>
      <c r="B3106" t="s">
        <v>44</v>
      </c>
      <c r="C3106">
        <v>18.282299023112699</v>
      </c>
      <c r="D3106">
        <v>0</v>
      </c>
      <c r="E3106">
        <v>1.0914148104957291</v>
      </c>
      <c r="F3106">
        <v>2.6288565280027552</v>
      </c>
      <c r="G3106">
        <v>5.2652523692614901</v>
      </c>
      <c r="H3106">
        <v>15.04101072691493</v>
      </c>
      <c r="I3106">
        <v>31.366184576513032</v>
      </c>
      <c r="J3106">
        <v>23.1481822749465</v>
      </c>
      <c r="K3106">
        <v>1347.3337260025239</v>
      </c>
      <c r="L3106">
        <v>0</v>
      </c>
      <c r="M3106" t="s">
        <v>69</v>
      </c>
    </row>
    <row r="3107" spans="1:13" x14ac:dyDescent="0.3">
      <c r="A3107" t="s">
        <v>25</v>
      </c>
      <c r="B3107" t="s">
        <v>62</v>
      </c>
      <c r="C3107">
        <v>246.173157714013</v>
      </c>
      <c r="D3107">
        <v>19.26492718528506</v>
      </c>
      <c r="E3107">
        <v>29.069796168141611</v>
      </c>
      <c r="F3107">
        <v>68.54936728361838</v>
      </c>
      <c r="G3107">
        <v>4.4137558801944898</v>
      </c>
      <c r="H3107">
        <v>79.402116256397775</v>
      </c>
      <c r="I3107">
        <v>30.83754301874821</v>
      </c>
      <c r="J3107">
        <v>23.914593390322299</v>
      </c>
      <c r="K3107">
        <v>715.90160525131637</v>
      </c>
      <c r="L3107">
        <v>0</v>
      </c>
      <c r="M3107" t="s">
        <v>69</v>
      </c>
    </row>
    <row r="3108" spans="1:13" x14ac:dyDescent="0.3">
      <c r="A3108" t="s">
        <v>25</v>
      </c>
      <c r="B3108" t="s">
        <v>62</v>
      </c>
      <c r="C3108">
        <v>23.982519521639471</v>
      </c>
      <c r="D3108">
        <v>0.90205217698256446</v>
      </c>
      <c r="E3108">
        <v>0.95405940218373786</v>
      </c>
      <c r="F3108">
        <v>2.7404968515671579</v>
      </c>
      <c r="G3108">
        <v>6.2101344033070944</v>
      </c>
      <c r="H3108">
        <v>61.334677038644273</v>
      </c>
      <c r="I3108">
        <v>20.094390673811169</v>
      </c>
      <c r="J3108">
        <v>23.86742392008334</v>
      </c>
      <c r="K3108">
        <v>1211.249057784491</v>
      </c>
      <c r="L3108">
        <v>0</v>
      </c>
      <c r="M3108" t="s">
        <v>69</v>
      </c>
    </row>
    <row r="3109" spans="1:13" x14ac:dyDescent="0.3">
      <c r="A3109" t="s">
        <v>19</v>
      </c>
      <c r="B3109" t="s">
        <v>44</v>
      </c>
      <c r="C3109">
        <v>22.262959906121889</v>
      </c>
      <c r="D3109">
        <v>1.076279049186855</v>
      </c>
      <c r="E3109">
        <v>1.1326890524547231</v>
      </c>
      <c r="F3109">
        <v>2.5679568672323061</v>
      </c>
      <c r="G3109">
        <v>6.3286861608449856</v>
      </c>
      <c r="H3109">
        <v>20.085841422460781</v>
      </c>
      <c r="I3109">
        <v>26.73262300571713</v>
      </c>
      <c r="J3109">
        <v>24.223253871081539</v>
      </c>
      <c r="K3109">
        <v>1306.6971344162289</v>
      </c>
      <c r="L3109">
        <v>0</v>
      </c>
      <c r="M3109" t="s">
        <v>69</v>
      </c>
    </row>
    <row r="3110" spans="1:13" x14ac:dyDescent="0.3">
      <c r="A3110" t="s">
        <v>24</v>
      </c>
      <c r="B3110" t="s">
        <v>57</v>
      </c>
      <c r="C3110">
        <v>8.6311154372683916</v>
      </c>
      <c r="D3110">
        <v>0</v>
      </c>
      <c r="E3110">
        <v>0</v>
      </c>
      <c r="F3110">
        <v>1.1291962551690631</v>
      </c>
      <c r="G3110">
        <v>6.1113102915921331</v>
      </c>
      <c r="H3110">
        <v>38.844890409663293</v>
      </c>
      <c r="I3110">
        <v>23.437843447190509</v>
      </c>
      <c r="J3110">
        <v>24.39378818192672</v>
      </c>
      <c r="K3110">
        <v>745.44930961146679</v>
      </c>
      <c r="L3110">
        <v>0</v>
      </c>
      <c r="M3110" t="s">
        <v>69</v>
      </c>
    </row>
    <row r="3111" spans="1:13" x14ac:dyDescent="0.3">
      <c r="A3111" t="s">
        <v>19</v>
      </c>
      <c r="B3111" t="s">
        <v>48</v>
      </c>
      <c r="C3111">
        <v>62.166972927429633</v>
      </c>
      <c r="D3111">
        <v>2.9962602944650629</v>
      </c>
      <c r="E3111">
        <v>3.9989813986916452</v>
      </c>
      <c r="F3111">
        <v>9.0222148354371576</v>
      </c>
      <c r="G3111">
        <v>6.207030274667618</v>
      </c>
      <c r="H3111">
        <v>18.67625760176557</v>
      </c>
      <c r="I3111">
        <v>33.321289709582771</v>
      </c>
      <c r="J3111">
        <v>26.01465320183036</v>
      </c>
      <c r="K3111">
        <v>1157.379962892684</v>
      </c>
      <c r="L3111">
        <v>0</v>
      </c>
      <c r="M3111" t="s">
        <v>69</v>
      </c>
    </row>
    <row r="3112" spans="1:13" x14ac:dyDescent="0.3">
      <c r="A3112" t="s">
        <v>19</v>
      </c>
      <c r="B3112" t="s">
        <v>48</v>
      </c>
      <c r="C3112">
        <v>29.372420468420319</v>
      </c>
      <c r="D3112">
        <v>0.95428137403398727</v>
      </c>
      <c r="E3112">
        <v>2.0336917249700002</v>
      </c>
      <c r="F3112">
        <v>5.2836667264685886</v>
      </c>
      <c r="G3112">
        <v>5.9896500486687572</v>
      </c>
      <c r="H3112">
        <v>23.838864236669931</v>
      </c>
      <c r="I3112">
        <v>31.766904615159</v>
      </c>
      <c r="J3112">
        <v>25.91795308501856</v>
      </c>
      <c r="K3112">
        <v>1178.094210650858</v>
      </c>
      <c r="L3112">
        <v>0</v>
      </c>
      <c r="M3112" t="s">
        <v>69</v>
      </c>
    </row>
    <row r="3113" spans="1:13" x14ac:dyDescent="0.3">
      <c r="A3113" t="s">
        <v>24</v>
      </c>
      <c r="B3113" t="s">
        <v>57</v>
      </c>
      <c r="C3113">
        <v>8.6293205968037512</v>
      </c>
      <c r="D3113">
        <v>0</v>
      </c>
      <c r="E3113">
        <v>0</v>
      </c>
      <c r="F3113">
        <v>1.1333389123343061</v>
      </c>
      <c r="G3113">
        <v>6.1228478293032396</v>
      </c>
      <c r="H3113">
        <v>38.001115170206397</v>
      </c>
      <c r="I3113">
        <v>23.553164865643598</v>
      </c>
      <c r="J3113">
        <v>24.498624815861739</v>
      </c>
      <c r="K3113">
        <v>745.01341718561127</v>
      </c>
      <c r="L3113">
        <v>0</v>
      </c>
      <c r="M3113" t="s">
        <v>69</v>
      </c>
    </row>
    <row r="3114" spans="1:13" x14ac:dyDescent="0.3">
      <c r="A3114" t="s">
        <v>25</v>
      </c>
      <c r="B3114" t="s">
        <v>62</v>
      </c>
      <c r="C3114">
        <v>23.869128708738291</v>
      </c>
      <c r="D3114">
        <v>1.025079848275031</v>
      </c>
      <c r="E3114">
        <v>0.95421021481750579</v>
      </c>
      <c r="F3114">
        <v>3.1011154669490448</v>
      </c>
      <c r="G3114">
        <v>6.2613925693675458</v>
      </c>
      <c r="H3114">
        <v>64.476770876204313</v>
      </c>
      <c r="I3114">
        <v>20.71485873912636</v>
      </c>
      <c r="J3114">
        <v>23.874043412542932</v>
      </c>
      <c r="K3114">
        <v>1203.8075991263829</v>
      </c>
      <c r="L3114">
        <v>0</v>
      </c>
      <c r="M3114" t="s">
        <v>69</v>
      </c>
    </row>
    <row r="3115" spans="1:13" x14ac:dyDescent="0.3">
      <c r="A3115" t="s">
        <v>19</v>
      </c>
      <c r="B3115" t="s">
        <v>48</v>
      </c>
      <c r="C3115">
        <v>45.48303580207908</v>
      </c>
      <c r="D3115">
        <v>2.0946196114270279</v>
      </c>
      <c r="E3115">
        <v>2.6936157942513872</v>
      </c>
      <c r="F3115">
        <v>6.0252392842491993</v>
      </c>
      <c r="G3115">
        <v>5.4480014914785064</v>
      </c>
      <c r="H3115">
        <v>19.345360609834859</v>
      </c>
      <c r="I3115">
        <v>32.303418090514377</v>
      </c>
      <c r="J3115">
        <v>25.415372582425849</v>
      </c>
      <c r="K3115">
        <v>1167.340148949964</v>
      </c>
      <c r="L3115">
        <v>0</v>
      </c>
      <c r="M3115" t="s">
        <v>69</v>
      </c>
    </row>
    <row r="3116" spans="1:13" x14ac:dyDescent="0.3">
      <c r="A3116" t="s">
        <v>19</v>
      </c>
      <c r="B3116" t="s">
        <v>47</v>
      </c>
      <c r="C3116">
        <v>29.957678813286631</v>
      </c>
      <c r="D3116">
        <v>1.080998526533967</v>
      </c>
      <c r="E3116">
        <v>1.909486137856643</v>
      </c>
      <c r="F3116">
        <v>3.9156476974569379</v>
      </c>
      <c r="G3116">
        <v>6.9591533090168216</v>
      </c>
      <c r="H3116">
        <v>33.388020310355948</v>
      </c>
      <c r="I3116">
        <v>25.33673816464912</v>
      </c>
      <c r="J3116">
        <v>23.74695099252077</v>
      </c>
      <c r="K3116">
        <v>723.84213762666559</v>
      </c>
      <c r="L3116">
        <v>0</v>
      </c>
      <c r="M3116" t="s">
        <v>69</v>
      </c>
    </row>
    <row r="3117" spans="1:13" x14ac:dyDescent="0.3">
      <c r="A3117" t="s">
        <v>19</v>
      </c>
      <c r="B3117" t="s">
        <v>45</v>
      </c>
      <c r="C3117">
        <v>20.444046790797149</v>
      </c>
      <c r="D3117">
        <v>1.057582687483281</v>
      </c>
      <c r="E3117">
        <v>1.0953100229610331</v>
      </c>
      <c r="F3117">
        <v>2.798370717929787</v>
      </c>
      <c r="G3117">
        <v>6.2453082276332008</v>
      </c>
      <c r="H3117">
        <v>19.225239542263061</v>
      </c>
      <c r="I3117">
        <v>31.93075020284051</v>
      </c>
      <c r="J3117">
        <v>24.015662592060082</v>
      </c>
      <c r="K3117">
        <v>1325.4823766576251</v>
      </c>
      <c r="L3117">
        <v>0</v>
      </c>
      <c r="M3117" t="s">
        <v>69</v>
      </c>
    </row>
    <row r="3118" spans="1:13" x14ac:dyDescent="0.3">
      <c r="A3118" t="s">
        <v>25</v>
      </c>
      <c r="B3118" t="s">
        <v>62</v>
      </c>
      <c r="C3118">
        <v>24.15766668261038</v>
      </c>
      <c r="D3118">
        <v>1.0186808100624469</v>
      </c>
      <c r="E3118">
        <v>0.9658933231806639</v>
      </c>
      <c r="F3118">
        <v>3.075316198556568</v>
      </c>
      <c r="G3118">
        <v>6.2712431243309386</v>
      </c>
      <c r="H3118">
        <v>64.941961602460765</v>
      </c>
      <c r="I3118">
        <v>20.660038260672909</v>
      </c>
      <c r="J3118">
        <v>23.906180808568049</v>
      </c>
      <c r="K3118">
        <v>1205.3875692036891</v>
      </c>
      <c r="L3118">
        <v>0</v>
      </c>
      <c r="M3118" t="s">
        <v>69</v>
      </c>
    </row>
    <row r="3119" spans="1:13" x14ac:dyDescent="0.3">
      <c r="A3119" t="s">
        <v>25</v>
      </c>
      <c r="B3119" t="s">
        <v>62</v>
      </c>
      <c r="C3119">
        <v>25.40617740815139</v>
      </c>
      <c r="D3119">
        <v>1.0577258547968149</v>
      </c>
      <c r="E3119">
        <v>0.85327118781614075</v>
      </c>
      <c r="F3119">
        <v>2.9744743701273682</v>
      </c>
      <c r="G3119">
        <v>6.240758530287998</v>
      </c>
      <c r="H3119">
        <v>67.629373095425592</v>
      </c>
      <c r="I3119">
        <v>20.771132316654331</v>
      </c>
      <c r="J3119">
        <v>24.0637167417356</v>
      </c>
      <c r="K3119">
        <v>1217.3064106861541</v>
      </c>
      <c r="L3119">
        <v>0</v>
      </c>
      <c r="M3119" t="s">
        <v>69</v>
      </c>
    </row>
    <row r="3120" spans="1:13" x14ac:dyDescent="0.3">
      <c r="A3120" t="s">
        <v>25</v>
      </c>
      <c r="B3120" t="s">
        <v>62</v>
      </c>
      <c r="C3120">
        <v>276.8141370058101</v>
      </c>
      <c r="D3120">
        <v>21.14426517660894</v>
      </c>
      <c r="E3120">
        <v>29.711786762010561</v>
      </c>
      <c r="F3120">
        <v>59.792363180994343</v>
      </c>
      <c r="G3120">
        <v>4.4286009464325424</v>
      </c>
      <c r="H3120">
        <v>74.433499300567689</v>
      </c>
      <c r="I3120">
        <v>28.886271961104171</v>
      </c>
      <c r="J3120">
        <v>24.75105354893152</v>
      </c>
      <c r="K3120">
        <v>707.92091305666042</v>
      </c>
      <c r="L3120">
        <v>0</v>
      </c>
      <c r="M3120" t="s">
        <v>69</v>
      </c>
    </row>
    <row r="3121" spans="1:13" x14ac:dyDescent="0.3">
      <c r="A3121" t="s">
        <v>19</v>
      </c>
      <c r="B3121" t="s">
        <v>45</v>
      </c>
      <c r="C3121">
        <v>21.037097208837519</v>
      </c>
      <c r="D3121">
        <v>1.1284314977180769</v>
      </c>
      <c r="E3121">
        <v>1.070800732398999</v>
      </c>
      <c r="F3121">
        <v>3.01575093822097</v>
      </c>
      <c r="G3121">
        <v>6.0982481054088762</v>
      </c>
      <c r="H3121">
        <v>19.595543569509871</v>
      </c>
      <c r="I3121">
        <v>31.676456394998041</v>
      </c>
      <c r="J3121">
        <v>22.859226240311429</v>
      </c>
      <c r="K3121">
        <v>1336.5075611261741</v>
      </c>
      <c r="L3121">
        <v>0</v>
      </c>
      <c r="M3121" t="s">
        <v>69</v>
      </c>
    </row>
    <row r="3122" spans="1:13" x14ac:dyDescent="0.3">
      <c r="A3122" t="s">
        <v>19</v>
      </c>
      <c r="B3122" t="s">
        <v>48</v>
      </c>
      <c r="C3122">
        <v>31.524256467239699</v>
      </c>
      <c r="D3122">
        <v>1.0271801456721881</v>
      </c>
      <c r="E3122">
        <v>2.025924742470997</v>
      </c>
      <c r="F3122">
        <v>4.1759007922687168</v>
      </c>
      <c r="G3122">
        <v>6.2742223255109888</v>
      </c>
      <c r="H3122">
        <v>24.029519307619449</v>
      </c>
      <c r="I3122">
        <v>23.266128075538681</v>
      </c>
      <c r="J3122">
        <v>24.074620406505989</v>
      </c>
      <c r="K3122">
        <v>1184.312231957151</v>
      </c>
      <c r="L3122">
        <v>0</v>
      </c>
      <c r="M3122" t="s">
        <v>69</v>
      </c>
    </row>
    <row r="3123" spans="1:13" x14ac:dyDescent="0.3">
      <c r="A3123" t="s">
        <v>19</v>
      </c>
      <c r="B3123" t="s">
        <v>44</v>
      </c>
      <c r="C3123">
        <v>19.55094500328639</v>
      </c>
      <c r="D3123">
        <v>1.00537339099503</v>
      </c>
      <c r="E3123">
        <v>0.99021853010320626</v>
      </c>
      <c r="F3123">
        <v>3.104104142334267</v>
      </c>
      <c r="G3123">
        <v>6.2036239525131283</v>
      </c>
      <c r="H3123">
        <v>15.06818583727059</v>
      </c>
      <c r="I3123">
        <v>25.973694900246439</v>
      </c>
      <c r="J3123">
        <v>23.982081546838721</v>
      </c>
      <c r="K3123">
        <v>1321.7661194202731</v>
      </c>
      <c r="L3123">
        <v>0</v>
      </c>
      <c r="M3123" t="s">
        <v>69</v>
      </c>
    </row>
    <row r="3124" spans="1:13" x14ac:dyDescent="0.3">
      <c r="A3124" t="s">
        <v>24</v>
      </c>
      <c r="B3124" t="s">
        <v>58</v>
      </c>
      <c r="C3124">
        <v>35.013340257607268</v>
      </c>
      <c r="D3124">
        <v>1.001922714815783</v>
      </c>
      <c r="E3124">
        <v>2.0061225831963978</v>
      </c>
      <c r="F3124">
        <v>5.0105771228078577</v>
      </c>
      <c r="G3124">
        <v>6.8990785969683488</v>
      </c>
      <c r="H3124">
        <v>57.163587317565643</v>
      </c>
      <c r="I3124">
        <v>24.602162115699159</v>
      </c>
      <c r="J3124">
        <v>23.00642131982227</v>
      </c>
      <c r="K3124">
        <v>738.24974051781874</v>
      </c>
      <c r="L3124">
        <v>0</v>
      </c>
      <c r="M3124" t="s">
        <v>69</v>
      </c>
    </row>
    <row r="3125" spans="1:13" x14ac:dyDescent="0.3">
      <c r="A3125" t="s">
        <v>25</v>
      </c>
      <c r="B3125" t="s">
        <v>62</v>
      </c>
      <c r="C3125">
        <v>551.08623696694349</v>
      </c>
      <c r="D3125">
        <v>30.447514073808879</v>
      </c>
      <c r="E3125">
        <v>42.564115979463118</v>
      </c>
      <c r="F3125">
        <v>99.850149537949136</v>
      </c>
      <c r="G3125">
        <v>4.6340184858766822</v>
      </c>
      <c r="H3125">
        <v>88.4</v>
      </c>
      <c r="I3125">
        <v>28.329018189594951</v>
      </c>
      <c r="J3125">
        <v>24.357874867665998</v>
      </c>
      <c r="K3125">
        <v>704.3783565840788</v>
      </c>
      <c r="L3125">
        <v>0</v>
      </c>
      <c r="M3125" t="s">
        <v>69</v>
      </c>
    </row>
    <row r="3126" spans="1:13" x14ac:dyDescent="0.3">
      <c r="A3126" t="s">
        <v>19</v>
      </c>
      <c r="B3126" t="s">
        <v>48</v>
      </c>
      <c r="C3126">
        <v>41.610841485091079</v>
      </c>
      <c r="D3126">
        <v>1.8958734672787689</v>
      </c>
      <c r="E3126">
        <v>1.888237106671252</v>
      </c>
      <c r="F3126">
        <v>6.036901967658677</v>
      </c>
      <c r="G3126">
        <v>6.1889657015571684</v>
      </c>
      <c r="H3126">
        <v>17.23853497857894</v>
      </c>
      <c r="I3126">
        <v>32.734424065193281</v>
      </c>
      <c r="J3126">
        <v>26.535159589164159</v>
      </c>
      <c r="K3126">
        <v>1145.287653241614</v>
      </c>
      <c r="L3126">
        <v>0</v>
      </c>
      <c r="M3126" t="s">
        <v>69</v>
      </c>
    </row>
    <row r="3127" spans="1:13" x14ac:dyDescent="0.3">
      <c r="A3127" t="s">
        <v>19</v>
      </c>
      <c r="B3127" t="s">
        <v>44</v>
      </c>
      <c r="C3127">
        <v>22.22201845785489</v>
      </c>
      <c r="D3127">
        <v>1.104111243015558</v>
      </c>
      <c r="E3127">
        <v>1.0919402040010939</v>
      </c>
      <c r="F3127">
        <v>2.6121667765466601</v>
      </c>
      <c r="G3127">
        <v>6.3508534131715342</v>
      </c>
      <c r="H3127">
        <v>20.11600006153083</v>
      </c>
      <c r="I3127">
        <v>26.967002754274802</v>
      </c>
      <c r="J3127">
        <v>24.133413892655451</v>
      </c>
      <c r="K3127">
        <v>1315.8367221047761</v>
      </c>
      <c r="L3127">
        <v>0</v>
      </c>
      <c r="M3127" t="s">
        <v>69</v>
      </c>
    </row>
    <row r="3128" spans="1:13" x14ac:dyDescent="0.3">
      <c r="A3128" t="s">
        <v>19</v>
      </c>
      <c r="B3128" t="s">
        <v>48</v>
      </c>
      <c r="C3128">
        <v>39.251618848929397</v>
      </c>
      <c r="D3128">
        <v>1.786481617323687</v>
      </c>
      <c r="E3128">
        <v>2.2478256344858152</v>
      </c>
      <c r="F3128">
        <v>6.9200333812889721</v>
      </c>
      <c r="G3128">
        <v>6.2133249007477653</v>
      </c>
      <c r="H3128">
        <v>16.832236190814541</v>
      </c>
      <c r="I3128">
        <v>32.55995464521888</v>
      </c>
      <c r="J3128">
        <v>25.884153295652489</v>
      </c>
      <c r="K3128">
        <v>1138.940597528308</v>
      </c>
      <c r="L3128">
        <v>0</v>
      </c>
      <c r="M3128" t="s">
        <v>69</v>
      </c>
    </row>
    <row r="3129" spans="1:13" x14ac:dyDescent="0.3">
      <c r="A3129" t="s">
        <v>21</v>
      </c>
      <c r="B3129" t="s">
        <v>52</v>
      </c>
      <c r="C3129">
        <v>137.50531240705479</v>
      </c>
      <c r="D3129">
        <v>5.6688330314680613</v>
      </c>
      <c r="E3129">
        <v>9.7948478256452969</v>
      </c>
      <c r="F3129">
        <v>20.31575041992971</v>
      </c>
      <c r="G3129">
        <v>5.6248990558976351</v>
      </c>
      <c r="H3129">
        <v>54.944311273596277</v>
      </c>
      <c r="I3129">
        <v>26.929081803267891</v>
      </c>
      <c r="J3129">
        <v>24.398172056446949</v>
      </c>
      <c r="K3129">
        <v>751.68647500059558</v>
      </c>
      <c r="L3129">
        <v>0</v>
      </c>
      <c r="M3129" t="s">
        <v>69</v>
      </c>
    </row>
    <row r="3130" spans="1:13" x14ac:dyDescent="0.3">
      <c r="A3130" t="s">
        <v>19</v>
      </c>
      <c r="B3130" t="s">
        <v>44</v>
      </c>
      <c r="C3130">
        <v>24.09571025743676</v>
      </c>
      <c r="D3130">
        <v>1.0186100422943669</v>
      </c>
      <c r="E3130">
        <v>1.061790777353814</v>
      </c>
      <c r="F3130">
        <v>3.319655747039794</v>
      </c>
      <c r="G3130">
        <v>6.6368851868118428</v>
      </c>
      <c r="H3130">
        <v>20.239223238073691</v>
      </c>
      <c r="I3130">
        <v>26.857341993144569</v>
      </c>
      <c r="J3130">
        <v>24.24997650119948</v>
      </c>
      <c r="K3130">
        <v>1326.7632145501329</v>
      </c>
      <c r="L3130">
        <v>0</v>
      </c>
      <c r="M3130" t="s">
        <v>69</v>
      </c>
    </row>
    <row r="3131" spans="1:13" x14ac:dyDescent="0.3">
      <c r="A3131" t="s">
        <v>25</v>
      </c>
      <c r="B3131" t="s">
        <v>62</v>
      </c>
      <c r="C3131">
        <v>578.19838515731828</v>
      </c>
      <c r="D3131">
        <v>28.094723949254281</v>
      </c>
      <c r="E3131">
        <v>40.333350042626712</v>
      </c>
      <c r="F3131">
        <v>89.888796499763345</v>
      </c>
      <c r="G3131">
        <v>4.510959805652579</v>
      </c>
      <c r="H3131">
        <v>88.4</v>
      </c>
      <c r="I3131">
        <v>27.389893723817892</v>
      </c>
      <c r="J3131">
        <v>23.28011185110806</v>
      </c>
      <c r="K3131">
        <v>725.32003583863877</v>
      </c>
      <c r="L3131">
        <v>0</v>
      </c>
      <c r="M3131" t="s">
        <v>69</v>
      </c>
    </row>
    <row r="3132" spans="1:13" x14ac:dyDescent="0.3">
      <c r="A3132" t="s">
        <v>19</v>
      </c>
      <c r="B3132" t="s">
        <v>48</v>
      </c>
      <c r="C3132">
        <v>29.3112649298068</v>
      </c>
      <c r="D3132">
        <v>1.068737899437052</v>
      </c>
      <c r="E3132">
        <v>1.195598287903769</v>
      </c>
      <c r="F3132">
        <v>4.7330494371041389</v>
      </c>
      <c r="G3132">
        <v>6.0644863640885447</v>
      </c>
      <c r="H3132">
        <v>15.556960704865469</v>
      </c>
      <c r="I3132">
        <v>30.384920268852959</v>
      </c>
      <c r="J3132">
        <v>26.090341242681319</v>
      </c>
      <c r="K3132">
        <v>1162.901174029802</v>
      </c>
      <c r="L3132">
        <v>0</v>
      </c>
      <c r="M3132" t="s">
        <v>69</v>
      </c>
    </row>
    <row r="3133" spans="1:13" x14ac:dyDescent="0.3">
      <c r="A3133" t="s">
        <v>19</v>
      </c>
      <c r="B3133" t="s">
        <v>44</v>
      </c>
      <c r="C3133">
        <v>20.663961963122009</v>
      </c>
      <c r="D3133">
        <v>0.974076882313196</v>
      </c>
      <c r="E3133">
        <v>1.0561603296633699</v>
      </c>
      <c r="F3133">
        <v>2.7590438829436739</v>
      </c>
      <c r="G3133">
        <v>6.1647243165375034</v>
      </c>
      <c r="H3133">
        <v>15.921391507997891</v>
      </c>
      <c r="I3133">
        <v>25.811227994797761</v>
      </c>
      <c r="J3133">
        <v>24.287435729122461</v>
      </c>
      <c r="K3133">
        <v>1319.589026749137</v>
      </c>
      <c r="L3133">
        <v>0</v>
      </c>
      <c r="M3133" t="s">
        <v>69</v>
      </c>
    </row>
    <row r="3134" spans="1:13" x14ac:dyDescent="0.3">
      <c r="A3134" t="s">
        <v>25</v>
      </c>
      <c r="B3134" t="s">
        <v>62</v>
      </c>
      <c r="C3134">
        <v>579.66448599197383</v>
      </c>
      <c r="D3134">
        <v>25.877974629503221</v>
      </c>
      <c r="E3134">
        <v>39.107446789551297</v>
      </c>
      <c r="F3134">
        <v>82.067890475990509</v>
      </c>
      <c r="G3134">
        <v>4.4457827183959564</v>
      </c>
      <c r="H3134">
        <v>85.830068537109355</v>
      </c>
      <c r="I3134">
        <v>26.13377318532201</v>
      </c>
      <c r="J3134">
        <v>24.191535294696589</v>
      </c>
      <c r="K3134">
        <v>716.21671130216032</v>
      </c>
      <c r="L3134">
        <v>0</v>
      </c>
      <c r="M3134" t="s">
        <v>69</v>
      </c>
    </row>
    <row r="3135" spans="1:13" x14ac:dyDescent="0.3">
      <c r="A3135" t="s">
        <v>24</v>
      </c>
      <c r="B3135" t="s">
        <v>57</v>
      </c>
      <c r="C3135">
        <v>8.6744344071352799</v>
      </c>
      <c r="D3135">
        <v>0</v>
      </c>
      <c r="E3135">
        <v>0</v>
      </c>
      <c r="F3135">
        <v>1.1235888637719269</v>
      </c>
      <c r="G3135">
        <v>6.1089532158006792</v>
      </c>
      <c r="H3135">
        <v>38.773868807810729</v>
      </c>
      <c r="I3135">
        <v>23.525231938459061</v>
      </c>
      <c r="J3135">
        <v>24.450502346457121</v>
      </c>
      <c r="K3135">
        <v>749.19369231576422</v>
      </c>
      <c r="L3135">
        <v>0</v>
      </c>
      <c r="M3135" t="s">
        <v>69</v>
      </c>
    </row>
    <row r="3136" spans="1:13" x14ac:dyDescent="0.3">
      <c r="A3136" t="s">
        <v>25</v>
      </c>
      <c r="B3136" t="s">
        <v>62</v>
      </c>
      <c r="C3136">
        <v>274.55749870289378</v>
      </c>
      <c r="D3136">
        <v>18.623074717915689</v>
      </c>
      <c r="E3136">
        <v>24.070798179323148</v>
      </c>
      <c r="F3136">
        <v>64.728329532367155</v>
      </c>
      <c r="G3136">
        <v>4.3450794483934816</v>
      </c>
      <c r="H3136">
        <v>73.330433954451948</v>
      </c>
      <c r="I3136">
        <v>29.269344084275382</v>
      </c>
      <c r="J3136">
        <v>22.951805207024041</v>
      </c>
      <c r="K3136">
        <v>716.85133687033567</v>
      </c>
      <c r="L3136">
        <v>0</v>
      </c>
      <c r="M3136" t="s">
        <v>69</v>
      </c>
    </row>
    <row r="3137" spans="1:13" x14ac:dyDescent="0.3">
      <c r="A3137" t="s">
        <v>21</v>
      </c>
      <c r="B3137" t="s">
        <v>52</v>
      </c>
      <c r="C3137">
        <v>134.42741215937511</v>
      </c>
      <c r="D3137">
        <v>5.972740887871578</v>
      </c>
      <c r="E3137">
        <v>9.0096984014051493</v>
      </c>
      <c r="F3137">
        <v>21.042750099348051</v>
      </c>
      <c r="G3137">
        <v>5.5017115534788914</v>
      </c>
      <c r="H3137">
        <v>55.999766676213369</v>
      </c>
      <c r="I3137">
        <v>27.99990357616559</v>
      </c>
      <c r="J3137">
        <v>24.991275603538849</v>
      </c>
      <c r="K3137">
        <v>748.38287331019217</v>
      </c>
      <c r="L3137">
        <v>0</v>
      </c>
      <c r="M3137" t="s">
        <v>69</v>
      </c>
    </row>
    <row r="3138" spans="1:13" x14ac:dyDescent="0.3">
      <c r="A3138" t="s">
        <v>20</v>
      </c>
      <c r="B3138" t="s">
        <v>49</v>
      </c>
      <c r="C3138">
        <v>44.554235983005313</v>
      </c>
      <c r="D3138">
        <v>1.809391869365804</v>
      </c>
      <c r="E3138">
        <v>3.113633578753876</v>
      </c>
      <c r="F3138">
        <v>7.0709541933993352</v>
      </c>
      <c r="G3138">
        <v>6.0768157378347896</v>
      </c>
      <c r="H3138">
        <v>19.87058199823667</v>
      </c>
      <c r="I3138">
        <v>32.050207539741812</v>
      </c>
      <c r="J3138">
        <v>25.47188674207257</v>
      </c>
      <c r="K3138">
        <v>1153.515855969413</v>
      </c>
      <c r="L3138">
        <v>0</v>
      </c>
      <c r="M3138" t="s">
        <v>69</v>
      </c>
    </row>
    <row r="3139" spans="1:13" x14ac:dyDescent="0.3">
      <c r="A3139" t="s">
        <v>20</v>
      </c>
      <c r="B3139" t="s">
        <v>49</v>
      </c>
      <c r="C3139">
        <v>37.84133778175044</v>
      </c>
      <c r="D3139">
        <v>0.99670009373200541</v>
      </c>
      <c r="E3139">
        <v>2.007635723303975</v>
      </c>
      <c r="F3139">
        <v>5.9362689689877168</v>
      </c>
      <c r="G3139">
        <v>6.2135209557970503</v>
      </c>
      <c r="H3139">
        <v>16.52113656603893</v>
      </c>
      <c r="I3139">
        <v>31.315562536021691</v>
      </c>
      <c r="J3139">
        <v>25.90711546960145</v>
      </c>
      <c r="K3139">
        <v>1157.9460027061909</v>
      </c>
      <c r="L3139">
        <v>0</v>
      </c>
      <c r="M3139" t="s">
        <v>69</v>
      </c>
    </row>
    <row r="3140" spans="1:13" x14ac:dyDescent="0.3">
      <c r="A3140" t="s">
        <v>25</v>
      </c>
      <c r="B3140" t="s">
        <v>62</v>
      </c>
      <c r="C3140">
        <v>574.31785355880186</v>
      </c>
      <c r="D3140">
        <v>33.162581169638742</v>
      </c>
      <c r="E3140">
        <v>40.321134643263747</v>
      </c>
      <c r="F3140">
        <v>83.857990954372923</v>
      </c>
      <c r="G3140">
        <v>4.459314327290258</v>
      </c>
      <c r="H3140">
        <v>86.774032505487554</v>
      </c>
      <c r="I3140">
        <v>26.650913308591861</v>
      </c>
      <c r="J3140">
        <v>23.657092637846208</v>
      </c>
      <c r="K3140">
        <v>723.08991754351428</v>
      </c>
      <c r="L3140">
        <v>0</v>
      </c>
      <c r="M3140" t="s">
        <v>69</v>
      </c>
    </row>
    <row r="3141" spans="1:13" x14ac:dyDescent="0.3">
      <c r="A3141" t="s">
        <v>24</v>
      </c>
      <c r="B3141" t="s">
        <v>58</v>
      </c>
      <c r="C3141">
        <v>33.547456749028527</v>
      </c>
      <c r="D3141">
        <v>0.95493993857990578</v>
      </c>
      <c r="E3141">
        <v>2.1205236582682812</v>
      </c>
      <c r="F3141">
        <v>4.8430386262480489</v>
      </c>
      <c r="G3141">
        <v>6.9908052908123022</v>
      </c>
      <c r="H3141">
        <v>55.218527814938668</v>
      </c>
      <c r="I3141">
        <v>23.992726115313829</v>
      </c>
      <c r="J3141">
        <v>22.62996206612355</v>
      </c>
      <c r="K3141">
        <v>725.54305922046956</v>
      </c>
      <c r="L3141">
        <v>0</v>
      </c>
      <c r="M3141" t="s">
        <v>69</v>
      </c>
    </row>
    <row r="3142" spans="1:13" x14ac:dyDescent="0.3">
      <c r="A3142" t="s">
        <v>25</v>
      </c>
      <c r="B3142" t="s">
        <v>62</v>
      </c>
      <c r="C3142">
        <v>595.8626422239289</v>
      </c>
      <c r="D3142">
        <v>28.955658635258619</v>
      </c>
      <c r="E3142">
        <v>43.162645260947222</v>
      </c>
      <c r="F3142">
        <v>98.044203154408251</v>
      </c>
      <c r="G3142">
        <v>4.4302758307986334</v>
      </c>
      <c r="H3142">
        <v>88.4</v>
      </c>
      <c r="I3142">
        <v>27.533173012823781</v>
      </c>
      <c r="J3142">
        <v>23.64595260069655</v>
      </c>
      <c r="K3142">
        <v>734.11413450948567</v>
      </c>
      <c r="L3142">
        <v>0</v>
      </c>
      <c r="M3142" t="s">
        <v>69</v>
      </c>
    </row>
    <row r="3143" spans="1:13" x14ac:dyDescent="0.3">
      <c r="A3143" t="s">
        <v>19</v>
      </c>
      <c r="B3143" t="s">
        <v>44</v>
      </c>
      <c r="C3143">
        <v>19.47326367957902</v>
      </c>
      <c r="D3143">
        <v>0.90733207259380455</v>
      </c>
      <c r="E3143">
        <v>0.85443273250829233</v>
      </c>
      <c r="F3143">
        <v>2.8730831143862492</v>
      </c>
      <c r="G3143">
        <v>6.3331088274544616</v>
      </c>
      <c r="H3143">
        <v>14.859738421956161</v>
      </c>
      <c r="I3143">
        <v>25.870890016275329</v>
      </c>
      <c r="J3143">
        <v>22.81250432473453</v>
      </c>
      <c r="K3143">
        <v>1320.758433196545</v>
      </c>
      <c r="L3143">
        <v>0</v>
      </c>
      <c r="M3143" t="s">
        <v>69</v>
      </c>
    </row>
    <row r="3144" spans="1:13" x14ac:dyDescent="0.3">
      <c r="A3144" t="s">
        <v>19</v>
      </c>
      <c r="B3144" t="s">
        <v>44</v>
      </c>
      <c r="C3144">
        <v>19.68275675034516</v>
      </c>
      <c r="D3144">
        <v>1.0344681129930899</v>
      </c>
      <c r="E3144">
        <v>1.0141842211873471</v>
      </c>
      <c r="F3144">
        <v>2.7942301454746041</v>
      </c>
      <c r="G3144">
        <v>6.1560214606645962</v>
      </c>
      <c r="H3144">
        <v>15.70024873525071</v>
      </c>
      <c r="I3144">
        <v>25.06451783493797</v>
      </c>
      <c r="J3144">
        <v>23.876533428509489</v>
      </c>
      <c r="K3144">
        <v>1319.752496471772</v>
      </c>
      <c r="L3144">
        <v>0</v>
      </c>
      <c r="M3144" t="s">
        <v>69</v>
      </c>
    </row>
    <row r="3145" spans="1:13" x14ac:dyDescent="0.3">
      <c r="A3145" t="s">
        <v>25</v>
      </c>
      <c r="B3145" t="s">
        <v>62</v>
      </c>
      <c r="C3145">
        <v>258.78818177563659</v>
      </c>
      <c r="D3145">
        <v>18.418558285388809</v>
      </c>
      <c r="E3145">
        <v>24.223609393881919</v>
      </c>
      <c r="F3145">
        <v>56.766595398461007</v>
      </c>
      <c r="G3145">
        <v>4.4120350357390858</v>
      </c>
      <c r="H3145">
        <v>70.554984779063091</v>
      </c>
      <c r="I3145">
        <v>29.172775284618059</v>
      </c>
      <c r="J3145">
        <v>24.755889027820739</v>
      </c>
      <c r="K3145">
        <v>699.90282829952309</v>
      </c>
      <c r="L3145">
        <v>0</v>
      </c>
      <c r="M3145" t="s">
        <v>69</v>
      </c>
    </row>
    <row r="3146" spans="1:13" x14ac:dyDescent="0.3">
      <c r="A3146" t="s">
        <v>21</v>
      </c>
      <c r="B3146" t="s">
        <v>52</v>
      </c>
      <c r="C3146">
        <v>29.9128591639315</v>
      </c>
      <c r="D3146">
        <v>1.079570949617729</v>
      </c>
      <c r="E3146">
        <v>1.938689193707031</v>
      </c>
      <c r="F3146">
        <v>4.7465315620055932</v>
      </c>
      <c r="G3146">
        <v>6.1469193636678421</v>
      </c>
      <c r="H3146">
        <v>25.04518603537802</v>
      </c>
      <c r="I3146">
        <v>24.253456193062402</v>
      </c>
      <c r="J3146">
        <v>23.790503947230849</v>
      </c>
      <c r="K3146">
        <v>1215.874310796072</v>
      </c>
      <c r="L3146">
        <v>0</v>
      </c>
      <c r="M3146" t="s">
        <v>69</v>
      </c>
    </row>
    <row r="3147" spans="1:13" x14ac:dyDescent="0.3">
      <c r="A3147" t="s">
        <v>19</v>
      </c>
      <c r="B3147" t="s">
        <v>48</v>
      </c>
      <c r="C3147">
        <v>31.88230929587888</v>
      </c>
      <c r="D3147">
        <v>1.057638092311685</v>
      </c>
      <c r="E3147">
        <v>2.0429698826168772</v>
      </c>
      <c r="F3147">
        <v>4.3932779687596586</v>
      </c>
      <c r="G3147">
        <v>6.3337373364615646</v>
      </c>
      <c r="H3147">
        <v>23.57533594756638</v>
      </c>
      <c r="I3147">
        <v>23.320278747674241</v>
      </c>
      <c r="J3147">
        <v>24.12079268148868</v>
      </c>
      <c r="K3147">
        <v>1162.6210686382999</v>
      </c>
      <c r="L3147">
        <v>0</v>
      </c>
      <c r="M3147" t="s">
        <v>69</v>
      </c>
    </row>
    <row r="3148" spans="1:13" x14ac:dyDescent="0.3">
      <c r="A3148" t="s">
        <v>24</v>
      </c>
      <c r="B3148" t="s">
        <v>58</v>
      </c>
      <c r="C3148">
        <v>18.074359236245229</v>
      </c>
      <c r="D3148">
        <v>0.3178838717790855</v>
      </c>
      <c r="E3148">
        <v>0.5427049395221113</v>
      </c>
      <c r="F3148">
        <v>2.8861562855014342</v>
      </c>
      <c r="G3148">
        <v>6.401193437730984</v>
      </c>
      <c r="H3148">
        <v>39.996166503771683</v>
      </c>
      <c r="I3148">
        <v>23.829516133920471</v>
      </c>
      <c r="J3148">
        <v>24.225954865664999</v>
      </c>
      <c r="K3148">
        <v>719.32191236885387</v>
      </c>
      <c r="L3148">
        <v>0</v>
      </c>
      <c r="M3148" t="s">
        <v>69</v>
      </c>
    </row>
    <row r="3149" spans="1:13" x14ac:dyDescent="0.3">
      <c r="A3149" t="s">
        <v>20</v>
      </c>
      <c r="B3149" t="s">
        <v>49</v>
      </c>
      <c r="C3149">
        <v>25.450111159595451</v>
      </c>
      <c r="D3149">
        <v>0.9469803927866991</v>
      </c>
      <c r="E3149">
        <v>0.97754651160005679</v>
      </c>
      <c r="F3149">
        <v>3.8931109676576998</v>
      </c>
      <c r="G3149">
        <v>5.7691160752391468</v>
      </c>
      <c r="H3149">
        <v>16.328395541447719</v>
      </c>
      <c r="I3149">
        <v>31.26169116342809</v>
      </c>
      <c r="J3149">
        <v>25.772274524856542</v>
      </c>
      <c r="K3149">
        <v>1145.22854813193</v>
      </c>
      <c r="L3149">
        <v>0</v>
      </c>
      <c r="M3149" t="s">
        <v>69</v>
      </c>
    </row>
    <row r="3150" spans="1:13" x14ac:dyDescent="0.3">
      <c r="A3150" t="s">
        <v>25</v>
      </c>
      <c r="B3150" t="s">
        <v>62</v>
      </c>
      <c r="C3150">
        <v>600.6457908525756</v>
      </c>
      <c r="D3150">
        <v>31.025509106150331</v>
      </c>
      <c r="E3150">
        <v>43.800033846539563</v>
      </c>
      <c r="F3150">
        <v>99.702016055865272</v>
      </c>
      <c r="G3150">
        <v>4.4075059493968816</v>
      </c>
      <c r="H3150">
        <v>88.4</v>
      </c>
      <c r="I3150">
        <v>27.390402458483969</v>
      </c>
      <c r="J3150">
        <v>23.850025990979269</v>
      </c>
      <c r="K3150">
        <v>730.76088274853771</v>
      </c>
      <c r="L3150">
        <v>0</v>
      </c>
      <c r="M3150" t="s">
        <v>69</v>
      </c>
    </row>
    <row r="3151" spans="1:13" x14ac:dyDescent="0.3">
      <c r="A3151" t="s">
        <v>19</v>
      </c>
      <c r="B3151" t="s">
        <v>48</v>
      </c>
      <c r="C3151">
        <v>37.074824747425943</v>
      </c>
      <c r="D3151">
        <v>1.117816894758866</v>
      </c>
      <c r="E3151">
        <v>1.688232216478079</v>
      </c>
      <c r="F3151">
        <v>7.2232751364418268</v>
      </c>
      <c r="G3151">
        <v>6.1010559385507586</v>
      </c>
      <c r="H3151">
        <v>16.467619622262468</v>
      </c>
      <c r="I3151">
        <v>30.574432376128829</v>
      </c>
      <c r="J3151">
        <v>25.959995053953971</v>
      </c>
      <c r="K3151">
        <v>1183.8882618663611</v>
      </c>
      <c r="L3151">
        <v>0</v>
      </c>
      <c r="M3151" t="s">
        <v>69</v>
      </c>
    </row>
    <row r="3152" spans="1:13" x14ac:dyDescent="0.3">
      <c r="A3152" t="s">
        <v>19</v>
      </c>
      <c r="B3152" t="s">
        <v>48</v>
      </c>
      <c r="C3152">
        <v>42.568719653142821</v>
      </c>
      <c r="D3152">
        <v>1.756517529203971</v>
      </c>
      <c r="E3152">
        <v>3.3204452803139808</v>
      </c>
      <c r="F3152">
        <v>7.560667160219408</v>
      </c>
      <c r="G3152">
        <v>6.157232347753574</v>
      </c>
      <c r="H3152">
        <v>20.722564170528091</v>
      </c>
      <c r="I3152">
        <v>31.526365532140488</v>
      </c>
      <c r="J3152">
        <v>25.777135754008579</v>
      </c>
      <c r="K3152">
        <v>1184.7635181880739</v>
      </c>
      <c r="L3152">
        <v>0</v>
      </c>
      <c r="M3152" t="s">
        <v>69</v>
      </c>
    </row>
    <row r="3153" spans="1:13" x14ac:dyDescent="0.3">
      <c r="A3153" t="s">
        <v>25</v>
      </c>
      <c r="B3153" t="s">
        <v>62</v>
      </c>
      <c r="C3153">
        <v>23.980704877911069</v>
      </c>
      <c r="D3153">
        <v>1.1668575137595181</v>
      </c>
      <c r="E3153">
        <v>0.97449481479211908</v>
      </c>
      <c r="F3153">
        <v>2.7935753178455411</v>
      </c>
      <c r="G3153">
        <v>6.3031969942197312</v>
      </c>
      <c r="H3153">
        <v>67.014839505333356</v>
      </c>
      <c r="I3153">
        <v>20.380212638491201</v>
      </c>
      <c r="J3153">
        <v>24.300126184657529</v>
      </c>
      <c r="K3153">
        <v>1202.9765796282361</v>
      </c>
      <c r="L3153">
        <v>0</v>
      </c>
      <c r="M3153" t="s">
        <v>69</v>
      </c>
    </row>
    <row r="3154" spans="1:13" x14ac:dyDescent="0.3">
      <c r="A3154" t="s">
        <v>21</v>
      </c>
      <c r="B3154" t="s">
        <v>52</v>
      </c>
      <c r="C3154">
        <v>132.3140954622707</v>
      </c>
      <c r="D3154">
        <v>6.1519979043042969</v>
      </c>
      <c r="E3154">
        <v>9.4641144093474843</v>
      </c>
      <c r="F3154">
        <v>21.028240136431609</v>
      </c>
      <c r="G3154">
        <v>5.4903638905334304</v>
      </c>
      <c r="H3154">
        <v>57.998313652656819</v>
      </c>
      <c r="I3154">
        <v>27.669031216244129</v>
      </c>
      <c r="J3154">
        <v>24.595726224673879</v>
      </c>
      <c r="K3154">
        <v>749.53402599649701</v>
      </c>
      <c r="L3154">
        <v>0</v>
      </c>
      <c r="M3154" t="s">
        <v>69</v>
      </c>
    </row>
    <row r="3155" spans="1:13" x14ac:dyDescent="0.3">
      <c r="A3155" t="s">
        <v>19</v>
      </c>
      <c r="B3155" t="s">
        <v>45</v>
      </c>
      <c r="C3155">
        <v>21.38887308717543</v>
      </c>
      <c r="D3155">
        <v>0.94743116659450965</v>
      </c>
      <c r="E3155">
        <v>1.0476086905799999</v>
      </c>
      <c r="F3155">
        <v>3.0115543519692061</v>
      </c>
      <c r="G3155">
        <v>6.1853849311864861</v>
      </c>
      <c r="H3155">
        <v>19.813907215159379</v>
      </c>
      <c r="I3155">
        <v>31.157117040306499</v>
      </c>
      <c r="J3155">
        <v>23.570935941905091</v>
      </c>
      <c r="K3155">
        <v>1327.825397682813</v>
      </c>
      <c r="L3155">
        <v>0</v>
      </c>
      <c r="M3155" t="s">
        <v>69</v>
      </c>
    </row>
    <row r="3156" spans="1:13" x14ac:dyDescent="0.3">
      <c r="A3156" t="s">
        <v>20</v>
      </c>
      <c r="B3156" t="s">
        <v>49</v>
      </c>
      <c r="C3156">
        <v>48.019916081302803</v>
      </c>
      <c r="D3156">
        <v>2.1449247781975598</v>
      </c>
      <c r="E3156">
        <v>3.6241563997159472</v>
      </c>
      <c r="F3156">
        <v>8.4666231876277287</v>
      </c>
      <c r="G3156">
        <v>6.2137407023795053</v>
      </c>
      <c r="H3156">
        <v>19.589090363566061</v>
      </c>
      <c r="I3156">
        <v>31.413064128865411</v>
      </c>
      <c r="J3156">
        <v>25.750938239024411</v>
      </c>
      <c r="K3156">
        <v>1160.0549194265</v>
      </c>
      <c r="L3156">
        <v>0</v>
      </c>
      <c r="M3156" t="s">
        <v>69</v>
      </c>
    </row>
    <row r="3157" spans="1:13" x14ac:dyDescent="0.3">
      <c r="A3157" t="s">
        <v>25</v>
      </c>
      <c r="B3157" t="s">
        <v>62</v>
      </c>
      <c r="C3157">
        <v>30.968237319834142</v>
      </c>
      <c r="D3157">
        <v>0.98619702893624517</v>
      </c>
      <c r="E3157">
        <v>1.9548582817311311</v>
      </c>
      <c r="F3157">
        <v>4.9192276362969451</v>
      </c>
      <c r="G3157">
        <v>6.2984940815046127</v>
      </c>
      <c r="H3157">
        <v>39.037350952030067</v>
      </c>
      <c r="I3157">
        <v>20.56442858466842</v>
      </c>
      <c r="J3157">
        <v>23.989056755387949</v>
      </c>
      <c r="K3157">
        <v>1080.2974713772289</v>
      </c>
      <c r="L3157">
        <v>0</v>
      </c>
      <c r="M3157" t="s">
        <v>69</v>
      </c>
    </row>
    <row r="3158" spans="1:13" x14ac:dyDescent="0.3">
      <c r="A3158" t="s">
        <v>19</v>
      </c>
      <c r="B3158" t="s">
        <v>48</v>
      </c>
      <c r="C3158">
        <v>29.74065678421675</v>
      </c>
      <c r="D3158">
        <v>0.98100208398370592</v>
      </c>
      <c r="E3158">
        <v>2.1187249064073281</v>
      </c>
      <c r="F3158">
        <v>5.3842782837007821</v>
      </c>
      <c r="G3158">
        <v>5.9410543543465009</v>
      </c>
      <c r="H3158">
        <v>21.774529967469501</v>
      </c>
      <c r="I3158">
        <v>31.966482727901809</v>
      </c>
      <c r="J3158">
        <v>26.611805594537579</v>
      </c>
      <c r="K3158">
        <v>1181.0326933712461</v>
      </c>
      <c r="L3158">
        <v>0</v>
      </c>
      <c r="M3158" t="s">
        <v>69</v>
      </c>
    </row>
    <row r="3159" spans="1:13" x14ac:dyDescent="0.3">
      <c r="A3159" t="s">
        <v>21</v>
      </c>
      <c r="B3159" t="s">
        <v>52</v>
      </c>
      <c r="C3159">
        <v>124.85991825058581</v>
      </c>
      <c r="D3159">
        <v>5.2401088030829266</v>
      </c>
      <c r="E3159">
        <v>9.0166486769928529</v>
      </c>
      <c r="F3159">
        <v>19.73770172788819</v>
      </c>
      <c r="G3159">
        <v>5.5448267782526948</v>
      </c>
      <c r="H3159">
        <v>57.853322762063627</v>
      </c>
      <c r="I3159">
        <v>27.657804277224791</v>
      </c>
      <c r="J3159">
        <v>25.227018030687919</v>
      </c>
      <c r="K3159">
        <v>748.94103593868738</v>
      </c>
      <c r="L3159">
        <v>0</v>
      </c>
      <c r="M3159" t="s">
        <v>69</v>
      </c>
    </row>
    <row r="3160" spans="1:13" x14ac:dyDescent="0.3">
      <c r="A3160" t="s">
        <v>24</v>
      </c>
      <c r="B3160" t="s">
        <v>58</v>
      </c>
      <c r="C3160">
        <v>25.89224168003749</v>
      </c>
      <c r="D3160">
        <v>1.0728930964340599</v>
      </c>
      <c r="E3160">
        <v>2.1019982357547402</v>
      </c>
      <c r="F3160">
        <v>4.1571122479342222</v>
      </c>
      <c r="G3160">
        <v>6.2068254910027418</v>
      </c>
      <c r="H3160">
        <v>38.672994863547451</v>
      </c>
      <c r="I3160">
        <v>24.050330944500558</v>
      </c>
      <c r="J3160">
        <v>23.033428940834291</v>
      </c>
      <c r="K3160">
        <v>734.33554190260224</v>
      </c>
      <c r="L3160">
        <v>0</v>
      </c>
      <c r="M3160" t="s">
        <v>69</v>
      </c>
    </row>
    <row r="3161" spans="1:13" x14ac:dyDescent="0.3">
      <c r="A3161" t="s">
        <v>19</v>
      </c>
      <c r="B3161" t="s">
        <v>48</v>
      </c>
      <c r="C3161">
        <v>29.85607085282334</v>
      </c>
      <c r="D3161">
        <v>1.0314029284543871</v>
      </c>
      <c r="E3161">
        <v>1.266495250760602</v>
      </c>
      <c r="F3161">
        <v>4.921656435802312</v>
      </c>
      <c r="G3161">
        <v>6.0600149956185039</v>
      </c>
      <c r="H3161">
        <v>15.606379854577821</v>
      </c>
      <c r="I3161">
        <v>30.445209137949</v>
      </c>
      <c r="J3161">
        <v>26.07200135856575</v>
      </c>
      <c r="K3161">
        <v>1164.3694589199779</v>
      </c>
      <c r="L3161">
        <v>0</v>
      </c>
      <c r="M3161" t="s">
        <v>69</v>
      </c>
    </row>
    <row r="3162" spans="1:13" x14ac:dyDescent="0.3">
      <c r="A3162" t="s">
        <v>20</v>
      </c>
      <c r="B3162" t="s">
        <v>49</v>
      </c>
      <c r="C3162">
        <v>37.839466872303497</v>
      </c>
      <c r="D3162">
        <v>2.0817357749540562</v>
      </c>
      <c r="E3162">
        <v>1.813357324313785</v>
      </c>
      <c r="F3162">
        <v>5.1928079117006849</v>
      </c>
      <c r="G3162">
        <v>6.3068177306958049</v>
      </c>
      <c r="H3162">
        <v>15.143181450333611</v>
      </c>
      <c r="I3162">
        <v>32.939572971909357</v>
      </c>
      <c r="J3162">
        <v>25.705654255737091</v>
      </c>
      <c r="K3162">
        <v>1128.5430084137099</v>
      </c>
      <c r="L3162">
        <v>0</v>
      </c>
      <c r="M3162" t="s">
        <v>69</v>
      </c>
    </row>
    <row r="3163" spans="1:13" x14ac:dyDescent="0.3">
      <c r="A3163" t="s">
        <v>24</v>
      </c>
      <c r="B3163" t="s">
        <v>58</v>
      </c>
      <c r="C3163">
        <v>35.159968772579091</v>
      </c>
      <c r="D3163">
        <v>0.90863486952894013</v>
      </c>
      <c r="E3163">
        <v>1.7920852253152839</v>
      </c>
      <c r="F3163">
        <v>4.705172862522458</v>
      </c>
      <c r="G3163">
        <v>6.8699836045033411</v>
      </c>
      <c r="H3163">
        <v>56.976796639798913</v>
      </c>
      <c r="I3163">
        <v>24.471374093630661</v>
      </c>
      <c r="J3163">
        <v>23.540883457336161</v>
      </c>
      <c r="K3163">
        <v>720.38583955474508</v>
      </c>
      <c r="L3163">
        <v>0</v>
      </c>
      <c r="M3163" t="s">
        <v>69</v>
      </c>
    </row>
    <row r="3164" spans="1:13" x14ac:dyDescent="0.3">
      <c r="A3164" t="s">
        <v>25</v>
      </c>
      <c r="B3164" t="s">
        <v>62</v>
      </c>
      <c r="C3164">
        <v>262.11828282713782</v>
      </c>
      <c r="D3164">
        <v>22.632670818892329</v>
      </c>
      <c r="E3164">
        <v>23.385637986842131</v>
      </c>
      <c r="F3164">
        <v>56.693746445672929</v>
      </c>
      <c r="G3164">
        <v>4.3163124715209724</v>
      </c>
      <c r="H3164">
        <v>66.272591058128768</v>
      </c>
      <c r="I3164">
        <v>29.580640818049439</v>
      </c>
      <c r="J3164">
        <v>24.367184400294409</v>
      </c>
      <c r="K3164">
        <v>723.67895391967113</v>
      </c>
      <c r="L3164">
        <v>0</v>
      </c>
      <c r="M3164" t="s">
        <v>69</v>
      </c>
    </row>
    <row r="3165" spans="1:13" x14ac:dyDescent="0.3">
      <c r="A3165" t="s">
        <v>19</v>
      </c>
      <c r="B3165" t="s">
        <v>48</v>
      </c>
      <c r="C3165">
        <v>33.130360562872887</v>
      </c>
      <c r="D3165">
        <v>0.94052596810527334</v>
      </c>
      <c r="E3165">
        <v>2.2212042057646229</v>
      </c>
      <c r="F3165">
        <v>6.6268334021801891</v>
      </c>
      <c r="G3165">
        <v>6.0003756358988509</v>
      </c>
      <c r="H3165">
        <v>23.621032929820849</v>
      </c>
      <c r="I3165">
        <v>32.005767199221253</v>
      </c>
      <c r="J3165">
        <v>25.616850687275409</v>
      </c>
      <c r="K3165">
        <v>1181.6435837441741</v>
      </c>
      <c r="L3165">
        <v>0</v>
      </c>
      <c r="M3165" t="s">
        <v>69</v>
      </c>
    </row>
    <row r="3166" spans="1:13" x14ac:dyDescent="0.3">
      <c r="A3166" t="s">
        <v>19</v>
      </c>
      <c r="B3166" t="s">
        <v>48</v>
      </c>
      <c r="C3166">
        <v>40.293054515750292</v>
      </c>
      <c r="D3166">
        <v>1.733912993915907</v>
      </c>
      <c r="E3166">
        <v>1.962915958672885</v>
      </c>
      <c r="F3166">
        <v>6.1830069087939403</v>
      </c>
      <c r="G3166">
        <v>6.2214383468499213</v>
      </c>
      <c r="H3166">
        <v>17.115812108740499</v>
      </c>
      <c r="I3166">
        <v>32.718072344554237</v>
      </c>
      <c r="J3166">
        <v>26.546326334750351</v>
      </c>
      <c r="K3166">
        <v>1139.933812926399</v>
      </c>
      <c r="L3166">
        <v>0</v>
      </c>
      <c r="M3166" t="s">
        <v>69</v>
      </c>
    </row>
    <row r="3167" spans="1:13" x14ac:dyDescent="0.3">
      <c r="A3167" t="s">
        <v>25</v>
      </c>
      <c r="B3167" t="s">
        <v>62</v>
      </c>
      <c r="C3167">
        <v>251.2827172217483</v>
      </c>
      <c r="D3167">
        <v>20.3773160168662</v>
      </c>
      <c r="E3167">
        <v>24.21652253873647</v>
      </c>
      <c r="F3167">
        <v>55.525241580630649</v>
      </c>
      <c r="G3167">
        <v>4.3092596326469037</v>
      </c>
      <c r="H3167">
        <v>66.269190601301119</v>
      </c>
      <c r="I3167">
        <v>28.77586263077249</v>
      </c>
      <c r="J3167">
        <v>24.6301780086675</v>
      </c>
      <c r="K3167">
        <v>723.08668353636347</v>
      </c>
      <c r="L3167">
        <v>0</v>
      </c>
      <c r="M3167" t="s">
        <v>69</v>
      </c>
    </row>
    <row r="3168" spans="1:13" x14ac:dyDescent="0.3">
      <c r="A3168" t="s">
        <v>25</v>
      </c>
      <c r="B3168" t="s">
        <v>62</v>
      </c>
      <c r="C3168">
        <v>268.40828210104661</v>
      </c>
      <c r="D3168">
        <v>18.747972757212729</v>
      </c>
      <c r="E3168">
        <v>24.71005889295424</v>
      </c>
      <c r="F3168">
        <v>63.492909488715782</v>
      </c>
      <c r="G3168">
        <v>4.3632779337135297</v>
      </c>
      <c r="H3168">
        <v>73.05526118784104</v>
      </c>
      <c r="I3168">
        <v>29.279502234839558</v>
      </c>
      <c r="J3168">
        <v>23.299135250050391</v>
      </c>
      <c r="K3168">
        <v>714.9124366768275</v>
      </c>
      <c r="L3168">
        <v>0</v>
      </c>
      <c r="M3168" t="s">
        <v>69</v>
      </c>
    </row>
    <row r="3169" spans="1:13" x14ac:dyDescent="0.3">
      <c r="A3169" t="s">
        <v>24</v>
      </c>
      <c r="B3169" t="s">
        <v>57</v>
      </c>
      <c r="C3169">
        <v>46.570718583378408</v>
      </c>
      <c r="D3169">
        <v>1.6632310161175641</v>
      </c>
      <c r="E3169">
        <v>2.459757483485264</v>
      </c>
      <c r="F3169">
        <v>7.0576700217648511</v>
      </c>
      <c r="G3169">
        <v>5.5650923095025098</v>
      </c>
      <c r="H3169">
        <v>48.485459667665253</v>
      </c>
      <c r="I3169">
        <v>22.597450685765491</v>
      </c>
      <c r="J3169">
        <v>23.539148231973329</v>
      </c>
      <c r="K3169">
        <v>833.71274532330199</v>
      </c>
      <c r="L3169">
        <v>0</v>
      </c>
      <c r="M3169" t="s">
        <v>69</v>
      </c>
    </row>
    <row r="3170" spans="1:13" x14ac:dyDescent="0.3">
      <c r="A3170" t="s">
        <v>25</v>
      </c>
      <c r="B3170" t="s">
        <v>62</v>
      </c>
      <c r="C3170">
        <v>25.43405791465219</v>
      </c>
      <c r="D3170">
        <v>1.057827933065169</v>
      </c>
      <c r="E3170">
        <v>0.99822860069018304</v>
      </c>
      <c r="F3170">
        <v>3.1408994994050521</v>
      </c>
      <c r="G3170">
        <v>6.3430884264999348</v>
      </c>
      <c r="H3170">
        <v>67.364276279904743</v>
      </c>
      <c r="I3170">
        <v>20.648916705370841</v>
      </c>
      <c r="J3170">
        <v>24.021453887266169</v>
      </c>
      <c r="K3170">
        <v>1196.5467555013061</v>
      </c>
      <c r="L3170">
        <v>0</v>
      </c>
      <c r="M3170" t="s">
        <v>69</v>
      </c>
    </row>
    <row r="3171" spans="1:13" x14ac:dyDescent="0.3">
      <c r="A3171" t="s">
        <v>24</v>
      </c>
      <c r="B3171" t="s">
        <v>58</v>
      </c>
      <c r="C3171">
        <v>33.842445552279202</v>
      </c>
      <c r="D3171">
        <v>1.081109159082823</v>
      </c>
      <c r="E3171">
        <v>2.1985494425698788</v>
      </c>
      <c r="F3171">
        <v>5.0440587094122158</v>
      </c>
      <c r="G3171">
        <v>7.0925159753406408</v>
      </c>
      <c r="H3171">
        <v>56.340196951787519</v>
      </c>
      <c r="I3171">
        <v>23.82379328030186</v>
      </c>
      <c r="J3171">
        <v>22.731808983229641</v>
      </c>
      <c r="K3171">
        <v>722.77670918029719</v>
      </c>
      <c r="L3171">
        <v>0</v>
      </c>
      <c r="M3171" t="s">
        <v>69</v>
      </c>
    </row>
    <row r="3172" spans="1:13" x14ac:dyDescent="0.3">
      <c r="A3172" t="s">
        <v>19</v>
      </c>
      <c r="B3172" t="s">
        <v>44</v>
      </c>
      <c r="C3172">
        <v>18.726164392417321</v>
      </c>
      <c r="D3172">
        <v>1.015242713772315</v>
      </c>
      <c r="E3172">
        <v>0.97225287606145994</v>
      </c>
      <c r="F3172">
        <v>3.2953125215680799</v>
      </c>
      <c r="G3172">
        <v>6.2102800765723476</v>
      </c>
      <c r="H3172">
        <v>14.458741805172441</v>
      </c>
      <c r="I3172">
        <v>25.741709958328379</v>
      </c>
      <c r="J3172">
        <v>23.949170672107691</v>
      </c>
      <c r="K3172">
        <v>1325.009956066074</v>
      </c>
      <c r="L3172">
        <v>0</v>
      </c>
      <c r="M3172" t="s">
        <v>69</v>
      </c>
    </row>
    <row r="3173" spans="1:13" x14ac:dyDescent="0.3">
      <c r="A3173" t="s">
        <v>25</v>
      </c>
      <c r="B3173" t="s">
        <v>62</v>
      </c>
      <c r="C3173">
        <v>32.370206364214489</v>
      </c>
      <c r="D3173">
        <v>1.0278417775989319</v>
      </c>
      <c r="E3173">
        <v>2.004178151580565</v>
      </c>
      <c r="F3173">
        <v>4.4483125513048476</v>
      </c>
      <c r="G3173">
        <v>6.3454134832383327</v>
      </c>
      <c r="H3173">
        <v>39.66076569433249</v>
      </c>
      <c r="I3173">
        <v>20.454202521756311</v>
      </c>
      <c r="J3173">
        <v>24.18743032413408</v>
      </c>
      <c r="K3173">
        <v>1066.4863583926599</v>
      </c>
      <c r="L3173">
        <v>0</v>
      </c>
      <c r="M3173" t="s">
        <v>69</v>
      </c>
    </row>
    <row r="3174" spans="1:13" x14ac:dyDescent="0.3">
      <c r="A3174" t="s">
        <v>25</v>
      </c>
      <c r="B3174" t="s">
        <v>62</v>
      </c>
      <c r="C3174">
        <v>260.8700789227608</v>
      </c>
      <c r="D3174">
        <v>17.830296184184309</v>
      </c>
      <c r="E3174">
        <v>24.216119800902561</v>
      </c>
      <c r="F3174">
        <v>57.289591235403037</v>
      </c>
      <c r="G3174">
        <v>4.4405451337011028</v>
      </c>
      <c r="H3174">
        <v>71.795517576999259</v>
      </c>
      <c r="I3174">
        <v>29.300915056469069</v>
      </c>
      <c r="J3174">
        <v>24.752536648179781</v>
      </c>
      <c r="K3174">
        <v>693.15298227894232</v>
      </c>
      <c r="L3174">
        <v>0</v>
      </c>
      <c r="M3174" t="s">
        <v>69</v>
      </c>
    </row>
    <row r="3175" spans="1:13" x14ac:dyDescent="0.3">
      <c r="A3175" t="s">
        <v>19</v>
      </c>
      <c r="B3175" t="s">
        <v>48</v>
      </c>
      <c r="C3175">
        <v>27.09141101430966</v>
      </c>
      <c r="D3175">
        <v>1.0013809474250279</v>
      </c>
      <c r="E3175">
        <v>0.9645572158760487</v>
      </c>
      <c r="F3175">
        <v>4.0380915874991414</v>
      </c>
      <c r="G3175">
        <v>5.9545718569528816</v>
      </c>
      <c r="H3175">
        <v>16.172102827566739</v>
      </c>
      <c r="I3175">
        <v>30.77253463224098</v>
      </c>
      <c r="J3175">
        <v>25.873689918510109</v>
      </c>
      <c r="K3175">
        <v>1164.2967651987101</v>
      </c>
      <c r="L3175">
        <v>0</v>
      </c>
      <c r="M3175" t="s">
        <v>69</v>
      </c>
    </row>
    <row r="3176" spans="1:13" x14ac:dyDescent="0.3">
      <c r="A3176" t="s">
        <v>19</v>
      </c>
      <c r="B3176" t="s">
        <v>44</v>
      </c>
      <c r="C3176">
        <v>18.75459019999305</v>
      </c>
      <c r="D3176">
        <v>0</v>
      </c>
      <c r="E3176">
        <v>1.0176434853198439</v>
      </c>
      <c r="F3176">
        <v>3.057135693451293</v>
      </c>
      <c r="G3176">
        <v>5.2930925477857151</v>
      </c>
      <c r="H3176">
        <v>14.560450540314999</v>
      </c>
      <c r="I3176">
        <v>31.955192799659201</v>
      </c>
      <c r="J3176">
        <v>23.694790491227639</v>
      </c>
      <c r="K3176">
        <v>1324.7808845744489</v>
      </c>
      <c r="L3176">
        <v>0</v>
      </c>
      <c r="M3176" t="s">
        <v>69</v>
      </c>
    </row>
    <row r="3177" spans="1:13" x14ac:dyDescent="0.3">
      <c r="A3177" t="s">
        <v>19</v>
      </c>
      <c r="B3177" t="s">
        <v>45</v>
      </c>
      <c r="C3177">
        <v>20.132868533222219</v>
      </c>
      <c r="D3177">
        <v>1.020928806482045</v>
      </c>
      <c r="E3177">
        <v>0.97081667464002397</v>
      </c>
      <c r="F3177">
        <v>2.8531917068314581</v>
      </c>
      <c r="G3177">
        <v>6.2585136009762623</v>
      </c>
      <c r="H3177">
        <v>18.83286753455695</v>
      </c>
      <c r="I3177">
        <v>31.210171226829189</v>
      </c>
      <c r="J3177">
        <v>24.676255408087009</v>
      </c>
      <c r="K3177">
        <v>1312.82726349318</v>
      </c>
      <c r="L3177">
        <v>0</v>
      </c>
      <c r="M3177" t="s">
        <v>69</v>
      </c>
    </row>
    <row r="3178" spans="1:13" x14ac:dyDescent="0.3">
      <c r="A3178" t="s">
        <v>19</v>
      </c>
      <c r="B3178" t="s">
        <v>45</v>
      </c>
      <c r="C3178">
        <v>20.332980968443611</v>
      </c>
      <c r="D3178">
        <v>1.050250696900543</v>
      </c>
      <c r="E3178">
        <v>1.094551983283498</v>
      </c>
      <c r="F3178">
        <v>2.3388417654326008</v>
      </c>
      <c r="G3178">
        <v>6.2852437207533391</v>
      </c>
      <c r="H3178">
        <v>18.529038194608159</v>
      </c>
      <c r="I3178">
        <v>30.58282263091429</v>
      </c>
      <c r="J3178">
        <v>24.552333313272651</v>
      </c>
      <c r="K3178">
        <v>1305.6957270450989</v>
      </c>
      <c r="L3178">
        <v>0</v>
      </c>
      <c r="M3178" t="s">
        <v>69</v>
      </c>
    </row>
    <row r="3179" spans="1:13" x14ac:dyDescent="0.3">
      <c r="A3179" t="s">
        <v>19</v>
      </c>
      <c r="B3179" t="s">
        <v>44</v>
      </c>
      <c r="C3179">
        <v>22.791647081008652</v>
      </c>
      <c r="D3179">
        <v>0.99208820641456841</v>
      </c>
      <c r="E3179">
        <v>0.97546801667914451</v>
      </c>
      <c r="F3179">
        <v>2.98021156800489</v>
      </c>
      <c r="G3179">
        <v>6.5296401364069876</v>
      </c>
      <c r="H3179">
        <v>19.125082447166349</v>
      </c>
      <c r="I3179">
        <v>26.898186687430119</v>
      </c>
      <c r="J3179">
        <v>23.91032529973425</v>
      </c>
      <c r="K3179">
        <v>1320.201523526566</v>
      </c>
      <c r="L3179">
        <v>0</v>
      </c>
      <c r="M3179" t="s">
        <v>69</v>
      </c>
    </row>
    <row r="3180" spans="1:13" x14ac:dyDescent="0.3">
      <c r="A3180" t="s">
        <v>24</v>
      </c>
      <c r="B3180" t="s">
        <v>57</v>
      </c>
      <c r="C3180">
        <v>8.6908650515061794</v>
      </c>
      <c r="D3180">
        <v>0</v>
      </c>
      <c r="E3180">
        <v>0</v>
      </c>
      <c r="F3180">
        <v>1.1358504380044021</v>
      </c>
      <c r="G3180">
        <v>6.1205970078625187</v>
      </c>
      <c r="H3180">
        <v>38.207164737077157</v>
      </c>
      <c r="I3180">
        <v>23.532430163033339</v>
      </c>
      <c r="J3180">
        <v>24.488520086154359</v>
      </c>
      <c r="K3180">
        <v>746.28218979544511</v>
      </c>
      <c r="L3180">
        <v>0</v>
      </c>
      <c r="M3180" t="s">
        <v>69</v>
      </c>
    </row>
    <row r="3181" spans="1:13" x14ac:dyDescent="0.3">
      <c r="A3181" t="s">
        <v>20</v>
      </c>
      <c r="B3181" t="s">
        <v>49</v>
      </c>
      <c r="C3181">
        <v>27.439875306139811</v>
      </c>
      <c r="D3181">
        <v>0.95982529128527494</v>
      </c>
      <c r="E3181">
        <v>0.92677905404194671</v>
      </c>
      <c r="F3181">
        <v>4.1451688215459672</v>
      </c>
      <c r="G3181">
        <v>6.0204347916412519</v>
      </c>
      <c r="H3181">
        <v>16.010639781747301</v>
      </c>
      <c r="I3181">
        <v>30.393493828661349</v>
      </c>
      <c r="J3181">
        <v>24.177979051128698</v>
      </c>
      <c r="K3181">
        <v>1151.0410614938951</v>
      </c>
      <c r="L3181">
        <v>0</v>
      </c>
      <c r="M3181" t="s">
        <v>69</v>
      </c>
    </row>
    <row r="3182" spans="1:13" x14ac:dyDescent="0.3">
      <c r="A3182" t="s">
        <v>24</v>
      </c>
      <c r="B3182" t="s">
        <v>57</v>
      </c>
      <c r="C3182">
        <v>8.1943742059273177</v>
      </c>
      <c r="D3182">
        <v>0</v>
      </c>
      <c r="E3182">
        <v>0</v>
      </c>
      <c r="F3182">
        <v>1.115589481762814</v>
      </c>
      <c r="G3182">
        <v>6.1387548133992524</v>
      </c>
      <c r="H3182">
        <v>36.544923611025169</v>
      </c>
      <c r="I3182">
        <v>23.699700960728588</v>
      </c>
      <c r="J3182">
        <v>24.57003686652099</v>
      </c>
      <c r="K3182">
        <v>736.04675934197053</v>
      </c>
      <c r="L3182">
        <v>0</v>
      </c>
      <c r="M3182" t="s">
        <v>69</v>
      </c>
    </row>
    <row r="3183" spans="1:13" x14ac:dyDescent="0.3">
      <c r="A3183" t="s">
        <v>19</v>
      </c>
      <c r="B3183" t="s">
        <v>48</v>
      </c>
      <c r="C3183">
        <v>29.527202330404378</v>
      </c>
      <c r="D3183">
        <v>0.99918548083831515</v>
      </c>
      <c r="E3183">
        <v>1.3196460774653671</v>
      </c>
      <c r="F3183">
        <v>4.3457276463601708</v>
      </c>
      <c r="G3183">
        <v>6.0415169211239554</v>
      </c>
      <c r="H3183">
        <v>17.415179109823629</v>
      </c>
      <c r="I3183">
        <v>31.770396048599849</v>
      </c>
      <c r="J3183">
        <v>26.47252434092324</v>
      </c>
      <c r="K3183">
        <v>1166.800936696774</v>
      </c>
      <c r="L3183">
        <v>0</v>
      </c>
      <c r="M3183" t="s">
        <v>69</v>
      </c>
    </row>
    <row r="3184" spans="1:13" x14ac:dyDescent="0.3">
      <c r="A3184" t="s">
        <v>21</v>
      </c>
      <c r="B3184" t="s">
        <v>52</v>
      </c>
      <c r="C3184">
        <v>138.79956671197289</v>
      </c>
      <c r="D3184">
        <v>5.5892728502610423</v>
      </c>
      <c r="E3184">
        <v>9.5514133476760179</v>
      </c>
      <c r="F3184">
        <v>20.49137940528254</v>
      </c>
      <c r="G3184">
        <v>5.5938355034815093</v>
      </c>
      <c r="H3184">
        <v>55.017345909634606</v>
      </c>
      <c r="I3184">
        <v>26.990319129575759</v>
      </c>
      <c r="J3184">
        <v>24.496304331269599</v>
      </c>
      <c r="K3184">
        <v>749.61196053353922</v>
      </c>
      <c r="L3184">
        <v>0</v>
      </c>
      <c r="M3184" t="s">
        <v>69</v>
      </c>
    </row>
    <row r="3185" spans="1:13" x14ac:dyDescent="0.3">
      <c r="A3185" t="s">
        <v>21</v>
      </c>
      <c r="B3185" t="s">
        <v>52</v>
      </c>
      <c r="C3185">
        <v>140.8976686843761</v>
      </c>
      <c r="D3185">
        <v>5.485677129455393</v>
      </c>
      <c r="E3185">
        <v>9.1606877625755025</v>
      </c>
      <c r="F3185">
        <v>21.667624527632011</v>
      </c>
      <c r="G3185">
        <v>5.5321366071809503</v>
      </c>
      <c r="H3185">
        <v>56.065372945946827</v>
      </c>
      <c r="I3185">
        <v>27.984909091146879</v>
      </c>
      <c r="J3185">
        <v>24.868516160100651</v>
      </c>
      <c r="K3185">
        <v>738.34394291556202</v>
      </c>
      <c r="L3185">
        <v>0</v>
      </c>
      <c r="M3185" t="s">
        <v>69</v>
      </c>
    </row>
    <row r="3186" spans="1:13" x14ac:dyDescent="0.3">
      <c r="A3186" t="s">
        <v>19</v>
      </c>
      <c r="B3186" t="s">
        <v>48</v>
      </c>
      <c r="C3186">
        <v>29.147763850523528</v>
      </c>
      <c r="D3186">
        <v>0.98836363124493332</v>
      </c>
      <c r="E3186">
        <v>1.8024846791363409</v>
      </c>
      <c r="F3186">
        <v>5.7125785424110322</v>
      </c>
      <c r="G3186">
        <v>6.0440082932848167</v>
      </c>
      <c r="H3186">
        <v>26.128638799583499</v>
      </c>
      <c r="I3186">
        <v>32.019747967274782</v>
      </c>
      <c r="J3186">
        <v>25.793189573238699</v>
      </c>
      <c r="K3186">
        <v>1169.233799061014</v>
      </c>
      <c r="L3186">
        <v>0</v>
      </c>
      <c r="M3186" t="s">
        <v>69</v>
      </c>
    </row>
    <row r="3187" spans="1:13" x14ac:dyDescent="0.3">
      <c r="A3187" t="s">
        <v>19</v>
      </c>
      <c r="B3187" t="s">
        <v>48</v>
      </c>
      <c r="C3187">
        <v>41.906764748405998</v>
      </c>
      <c r="D3187">
        <v>1.8664250483934199</v>
      </c>
      <c r="E3187">
        <v>3.3740607000296259</v>
      </c>
      <c r="F3187">
        <v>6.0213920585731824</v>
      </c>
      <c r="G3187">
        <v>5.6131688509944073</v>
      </c>
      <c r="H3187">
        <v>18.916771393237269</v>
      </c>
      <c r="I3187">
        <v>32.693147646756778</v>
      </c>
      <c r="J3187">
        <v>26.285218958457619</v>
      </c>
      <c r="K3187">
        <v>1173.035177579874</v>
      </c>
      <c r="L3187">
        <v>0</v>
      </c>
      <c r="M3187" t="s">
        <v>69</v>
      </c>
    </row>
    <row r="3188" spans="1:13" x14ac:dyDescent="0.3">
      <c r="A3188" t="s">
        <v>24</v>
      </c>
      <c r="B3188" t="s">
        <v>58</v>
      </c>
      <c r="C3188">
        <v>12.892535901811771</v>
      </c>
      <c r="D3188">
        <v>0</v>
      </c>
      <c r="E3188">
        <v>0</v>
      </c>
      <c r="F3188">
        <v>2.1111662660570438</v>
      </c>
      <c r="G3188">
        <v>6.5408568671558882</v>
      </c>
      <c r="H3188">
        <v>44.379263652351668</v>
      </c>
      <c r="I3188">
        <v>24.162662377307988</v>
      </c>
      <c r="J3188">
        <v>22.751795314703202</v>
      </c>
      <c r="K3188">
        <v>762.85003529117625</v>
      </c>
      <c r="L3188">
        <v>0</v>
      </c>
      <c r="M3188" t="s">
        <v>69</v>
      </c>
    </row>
    <row r="3189" spans="1:13" x14ac:dyDescent="0.3">
      <c r="A3189" t="s">
        <v>21</v>
      </c>
      <c r="B3189" t="s">
        <v>52</v>
      </c>
      <c r="C3189">
        <v>138.86935893580369</v>
      </c>
      <c r="D3189">
        <v>6.3139443193688791</v>
      </c>
      <c r="E3189">
        <v>9.3981692541213562</v>
      </c>
      <c r="F3189">
        <v>21.15717916887796</v>
      </c>
      <c r="G3189">
        <v>5.7239508088562623</v>
      </c>
      <c r="H3189">
        <v>54.775417096303059</v>
      </c>
      <c r="I3189">
        <v>27.153817113044632</v>
      </c>
      <c r="J3189">
        <v>24.70410872081009</v>
      </c>
      <c r="K3189">
        <v>748.5891212359154</v>
      </c>
      <c r="L3189">
        <v>0</v>
      </c>
      <c r="M3189" t="s">
        <v>69</v>
      </c>
    </row>
    <row r="3190" spans="1:13" x14ac:dyDescent="0.3">
      <c r="A3190" t="s">
        <v>21</v>
      </c>
      <c r="B3190" t="s">
        <v>52</v>
      </c>
      <c r="C3190">
        <v>136.97101637964479</v>
      </c>
      <c r="D3190">
        <v>5.7011272456721498</v>
      </c>
      <c r="E3190">
        <v>8.7096555656319694</v>
      </c>
      <c r="F3190">
        <v>21.48587407425293</v>
      </c>
      <c r="G3190">
        <v>5.5194521486517871</v>
      </c>
      <c r="H3190">
        <v>56.794153684041042</v>
      </c>
      <c r="I3190">
        <v>28.16207678300562</v>
      </c>
      <c r="J3190">
        <v>24.948900066660759</v>
      </c>
      <c r="K3190">
        <v>738.03166357641635</v>
      </c>
      <c r="L3190">
        <v>0</v>
      </c>
      <c r="M3190" t="s">
        <v>69</v>
      </c>
    </row>
    <row r="3191" spans="1:13" x14ac:dyDescent="0.3">
      <c r="A3191" t="s">
        <v>25</v>
      </c>
      <c r="B3191" t="s">
        <v>62</v>
      </c>
      <c r="C3191">
        <v>30.939201968668598</v>
      </c>
      <c r="D3191">
        <v>0.97357926148491014</v>
      </c>
      <c r="E3191">
        <v>1.9135926947180579</v>
      </c>
      <c r="F3191">
        <v>4.8453908589109496</v>
      </c>
      <c r="G3191">
        <v>6.2971174699557162</v>
      </c>
      <c r="H3191">
        <v>38.888667900099698</v>
      </c>
      <c r="I3191">
        <v>20.440498121886101</v>
      </c>
      <c r="J3191">
        <v>23.979053161593541</v>
      </c>
      <c r="K3191">
        <v>1077.826997626672</v>
      </c>
      <c r="L3191">
        <v>0</v>
      </c>
      <c r="M3191" t="s">
        <v>69</v>
      </c>
    </row>
    <row r="3192" spans="1:13" x14ac:dyDescent="0.3">
      <c r="A3192" t="s">
        <v>25</v>
      </c>
      <c r="B3192" t="s">
        <v>62</v>
      </c>
      <c r="C3192">
        <v>260.5139073497179</v>
      </c>
      <c r="D3192">
        <v>17.826918919528971</v>
      </c>
      <c r="E3192">
        <v>24.195512809198611</v>
      </c>
      <c r="F3192">
        <v>57.613707337553947</v>
      </c>
      <c r="G3192">
        <v>4.435671846736513</v>
      </c>
      <c r="H3192">
        <v>71.703016832241062</v>
      </c>
      <c r="I3192">
        <v>29.32075953160793</v>
      </c>
      <c r="J3192">
        <v>24.664628342002089</v>
      </c>
      <c r="K3192">
        <v>693.56926640005054</v>
      </c>
      <c r="L3192">
        <v>0</v>
      </c>
      <c r="M3192" t="s">
        <v>69</v>
      </c>
    </row>
    <row r="3193" spans="1:13" x14ac:dyDescent="0.3">
      <c r="A3193" t="s">
        <v>20</v>
      </c>
      <c r="B3193" t="s">
        <v>49</v>
      </c>
      <c r="C3193">
        <v>36.092701136333083</v>
      </c>
      <c r="D3193">
        <v>1.0100155355194289</v>
      </c>
      <c r="E3193">
        <v>2.0053471515802852</v>
      </c>
      <c r="F3193">
        <v>5.5326048238378291</v>
      </c>
      <c r="G3193">
        <v>6.0980285720115006</v>
      </c>
      <c r="H3193">
        <v>16.412520959605541</v>
      </c>
      <c r="I3193">
        <v>31.661804525320029</v>
      </c>
      <c r="J3193">
        <v>24.920106942219618</v>
      </c>
      <c r="K3193">
        <v>1155.57791558031</v>
      </c>
      <c r="L3193">
        <v>0</v>
      </c>
      <c r="M3193" t="s">
        <v>69</v>
      </c>
    </row>
    <row r="3194" spans="1:13" x14ac:dyDescent="0.3">
      <c r="A3194" t="s">
        <v>25</v>
      </c>
      <c r="B3194" t="s">
        <v>62</v>
      </c>
      <c r="C3194">
        <v>22.650203763301061</v>
      </c>
      <c r="D3194">
        <v>1.0375936666968331</v>
      </c>
      <c r="E3194">
        <v>0.9048599846808747</v>
      </c>
      <c r="F3194">
        <v>3.1778266787778349</v>
      </c>
      <c r="G3194">
        <v>6.2151272792919139</v>
      </c>
      <c r="H3194">
        <v>62.18235286086545</v>
      </c>
      <c r="I3194">
        <v>20.887927290012971</v>
      </c>
      <c r="J3194">
        <v>23.73167275310977</v>
      </c>
      <c r="K3194">
        <v>1197.894809832691</v>
      </c>
      <c r="L3194">
        <v>0</v>
      </c>
      <c r="M3194" t="s">
        <v>69</v>
      </c>
    </row>
    <row r="3195" spans="1:13" x14ac:dyDescent="0.3">
      <c r="A3195" t="s">
        <v>20</v>
      </c>
      <c r="B3195" t="s">
        <v>49</v>
      </c>
      <c r="C3195">
        <v>33.364264293997891</v>
      </c>
      <c r="D3195">
        <v>1.0417798962145679</v>
      </c>
      <c r="E3195">
        <v>1.7981711230502999</v>
      </c>
      <c r="F3195">
        <v>4.8172373453070936</v>
      </c>
      <c r="G3195">
        <v>6.0890134592279548</v>
      </c>
      <c r="H3195">
        <v>16.7373828120596</v>
      </c>
      <c r="I3195">
        <v>31.232900782438289</v>
      </c>
      <c r="J3195">
        <v>24.807889078724749</v>
      </c>
      <c r="K3195">
        <v>1155.556968701768</v>
      </c>
      <c r="L3195">
        <v>0</v>
      </c>
      <c r="M3195" t="s">
        <v>69</v>
      </c>
    </row>
    <row r="3196" spans="1:13" x14ac:dyDescent="0.3">
      <c r="A3196" t="s">
        <v>24</v>
      </c>
      <c r="B3196" t="s">
        <v>57</v>
      </c>
      <c r="C3196">
        <v>49.976175204726673</v>
      </c>
      <c r="D3196">
        <v>1.750117596645385</v>
      </c>
      <c r="E3196">
        <v>2.6299179074247721</v>
      </c>
      <c r="F3196">
        <v>7.2967599785407904</v>
      </c>
      <c r="G3196">
        <v>5.5969231195040496</v>
      </c>
      <c r="H3196">
        <v>49.072524812539562</v>
      </c>
      <c r="I3196">
        <v>22.945840003073961</v>
      </c>
      <c r="J3196">
        <v>23.25168476826725</v>
      </c>
      <c r="K3196">
        <v>793.64808902536743</v>
      </c>
      <c r="L3196">
        <v>0</v>
      </c>
      <c r="M3196" t="s">
        <v>69</v>
      </c>
    </row>
    <row r="3197" spans="1:13" x14ac:dyDescent="0.3">
      <c r="A3197" t="s">
        <v>19</v>
      </c>
      <c r="B3197" t="s">
        <v>48</v>
      </c>
      <c r="C3197">
        <v>29.006501064674211</v>
      </c>
      <c r="D3197">
        <v>0.99919621312204709</v>
      </c>
      <c r="E3197">
        <v>1.9890663317559949</v>
      </c>
      <c r="F3197">
        <v>5.984672571283788</v>
      </c>
      <c r="G3197">
        <v>6.0024987126456404</v>
      </c>
      <c r="H3197">
        <v>22.986163143802081</v>
      </c>
      <c r="I3197">
        <v>32.756976522646447</v>
      </c>
      <c r="J3197">
        <v>25.988851615619659</v>
      </c>
      <c r="K3197">
        <v>1170.0181677504429</v>
      </c>
      <c r="L3197">
        <v>0</v>
      </c>
      <c r="M3197" t="s">
        <v>69</v>
      </c>
    </row>
    <row r="3198" spans="1:13" x14ac:dyDescent="0.3">
      <c r="A3198" t="s">
        <v>24</v>
      </c>
      <c r="B3198" t="s">
        <v>58</v>
      </c>
      <c r="C3198">
        <v>34.349300053191683</v>
      </c>
      <c r="D3198">
        <v>0.87661501467876191</v>
      </c>
      <c r="E3198">
        <v>1.8354708204393559</v>
      </c>
      <c r="F3198">
        <v>4.7332133009820456</v>
      </c>
      <c r="G3198">
        <v>6.9188497162154228</v>
      </c>
      <c r="H3198">
        <v>58.311452647769237</v>
      </c>
      <c r="I3198">
        <v>24.517027740501991</v>
      </c>
      <c r="J3198">
        <v>23.85127653455493</v>
      </c>
      <c r="K3198">
        <v>719.37630390075742</v>
      </c>
      <c r="L3198">
        <v>0</v>
      </c>
      <c r="M3198" t="s">
        <v>69</v>
      </c>
    </row>
    <row r="3199" spans="1:13" x14ac:dyDescent="0.3">
      <c r="A3199" t="s">
        <v>19</v>
      </c>
      <c r="B3199" t="s">
        <v>48</v>
      </c>
      <c r="C3199">
        <v>39.767980226486053</v>
      </c>
      <c r="D3199">
        <v>1.9412141655180011</v>
      </c>
      <c r="E3199">
        <v>2.1828522757337958</v>
      </c>
      <c r="F3199">
        <v>5.8702946080172822</v>
      </c>
      <c r="G3199">
        <v>6.1699828601808111</v>
      </c>
      <c r="H3199">
        <v>16.84061653844001</v>
      </c>
      <c r="I3199">
        <v>32.767628696856043</v>
      </c>
      <c r="J3199">
        <v>26.10824399616347</v>
      </c>
      <c r="K3199">
        <v>1147.5851813909401</v>
      </c>
      <c r="L3199">
        <v>0</v>
      </c>
      <c r="M3199" t="s">
        <v>69</v>
      </c>
    </row>
    <row r="3200" spans="1:13" x14ac:dyDescent="0.3">
      <c r="A3200" t="s">
        <v>19</v>
      </c>
      <c r="B3200" t="s">
        <v>48</v>
      </c>
      <c r="C3200">
        <v>34.268914153924101</v>
      </c>
      <c r="D3200">
        <v>0.8402353200108017</v>
      </c>
      <c r="E3200">
        <v>1.7397554503266379</v>
      </c>
      <c r="F3200">
        <v>6.4323198133763544</v>
      </c>
      <c r="G3200">
        <v>6.0414536135257304</v>
      </c>
      <c r="H3200">
        <v>16.046611849494379</v>
      </c>
      <c r="I3200">
        <v>30.797903722739651</v>
      </c>
      <c r="J3200">
        <v>25.947418737110102</v>
      </c>
      <c r="K3200">
        <v>1176.6785151040131</v>
      </c>
      <c r="L3200">
        <v>0</v>
      </c>
      <c r="M3200" t="s">
        <v>69</v>
      </c>
    </row>
    <row r="3201" spans="1:13" x14ac:dyDescent="0.3">
      <c r="A3201" t="s">
        <v>24</v>
      </c>
      <c r="B3201" t="s">
        <v>58</v>
      </c>
      <c r="C3201">
        <v>13.191691626090289</v>
      </c>
      <c r="D3201">
        <v>0</v>
      </c>
      <c r="E3201">
        <v>0</v>
      </c>
      <c r="F3201">
        <v>2.3814790681249041</v>
      </c>
      <c r="G3201">
        <v>6.5786376314920014</v>
      </c>
      <c r="H3201">
        <v>41.627018866037183</v>
      </c>
      <c r="I3201">
        <v>24.444574000263181</v>
      </c>
      <c r="J3201">
        <v>22.923250126904719</v>
      </c>
      <c r="K3201">
        <v>733.85361253016276</v>
      </c>
      <c r="L3201">
        <v>0</v>
      </c>
      <c r="M3201" t="s">
        <v>69</v>
      </c>
    </row>
    <row r="3202" spans="1:13" x14ac:dyDescent="0.3">
      <c r="A3202" t="s">
        <v>19</v>
      </c>
      <c r="B3202" t="s">
        <v>48</v>
      </c>
      <c r="C3202">
        <v>64.017365896522435</v>
      </c>
      <c r="D3202">
        <v>3.1406368889659428</v>
      </c>
      <c r="E3202">
        <v>3.6805012344023011</v>
      </c>
      <c r="F3202">
        <v>8.8810494538901104</v>
      </c>
      <c r="G3202">
        <v>6.4416184769847504</v>
      </c>
      <c r="H3202">
        <v>19.267950568421639</v>
      </c>
      <c r="I3202">
        <v>32.512353303253292</v>
      </c>
      <c r="J3202">
        <v>25.402688949648478</v>
      </c>
      <c r="K3202">
        <v>1175.0889171982501</v>
      </c>
      <c r="L3202">
        <v>0</v>
      </c>
      <c r="M3202" t="s">
        <v>69</v>
      </c>
    </row>
    <row r="3203" spans="1:13" x14ac:dyDescent="0.3">
      <c r="A3203" t="s">
        <v>24</v>
      </c>
      <c r="B3203" t="s">
        <v>59</v>
      </c>
      <c r="C3203">
        <v>57.294298336222013</v>
      </c>
      <c r="D3203">
        <v>2.4268464093614792</v>
      </c>
      <c r="E3203">
        <v>3.9292545494055302</v>
      </c>
      <c r="F3203">
        <v>7.8522116348903213</v>
      </c>
      <c r="G3203">
        <v>6.6644717659411112</v>
      </c>
      <c r="H3203">
        <v>55.638193858299623</v>
      </c>
      <c r="I3203">
        <v>26.281559591679279</v>
      </c>
      <c r="J3203">
        <v>23.68830619246571</v>
      </c>
      <c r="K3203">
        <v>736.03022774314411</v>
      </c>
      <c r="L3203">
        <v>0</v>
      </c>
      <c r="M3203" t="s">
        <v>69</v>
      </c>
    </row>
    <row r="3204" spans="1:13" x14ac:dyDescent="0.3">
      <c r="A3204" t="s">
        <v>24</v>
      </c>
      <c r="B3204" t="s">
        <v>57</v>
      </c>
      <c r="C3204">
        <v>53.978914240304682</v>
      </c>
      <c r="D3204">
        <v>2.0430786522153261</v>
      </c>
      <c r="E3204">
        <v>3.096949317275278</v>
      </c>
      <c r="F3204">
        <v>9.3657665200833531</v>
      </c>
      <c r="G3204">
        <v>5.5733511068020842</v>
      </c>
      <c r="H3204">
        <v>50.55673910503652</v>
      </c>
      <c r="I3204">
        <v>23.324767018806121</v>
      </c>
      <c r="J3204">
        <v>22.74105107045575</v>
      </c>
      <c r="K3204">
        <v>736.27999373924092</v>
      </c>
      <c r="L3204">
        <v>0</v>
      </c>
      <c r="M3204" t="s">
        <v>69</v>
      </c>
    </row>
    <row r="3205" spans="1:13" x14ac:dyDescent="0.3">
      <c r="A3205" t="s">
        <v>24</v>
      </c>
      <c r="B3205" t="s">
        <v>57</v>
      </c>
      <c r="C3205">
        <v>54.806646803508187</v>
      </c>
      <c r="D3205">
        <v>1.9119248158477331</v>
      </c>
      <c r="E3205">
        <v>2.9103618184348599</v>
      </c>
      <c r="F3205">
        <v>8.8759031355357543</v>
      </c>
      <c r="G3205">
        <v>5.595031894752883</v>
      </c>
      <c r="H3205">
        <v>49.900956311324677</v>
      </c>
      <c r="I3205">
        <v>23.202383560827229</v>
      </c>
      <c r="J3205">
        <v>23.002510891381359</v>
      </c>
      <c r="K3205">
        <v>742.34325825877033</v>
      </c>
      <c r="L3205">
        <v>0</v>
      </c>
      <c r="M3205" t="s">
        <v>69</v>
      </c>
    </row>
    <row r="3206" spans="1:13" x14ac:dyDescent="0.3">
      <c r="A3206" t="s">
        <v>25</v>
      </c>
      <c r="B3206" t="s">
        <v>62</v>
      </c>
      <c r="C3206">
        <v>24.254747021674049</v>
      </c>
      <c r="D3206">
        <v>1.006436365559801</v>
      </c>
      <c r="E3206">
        <v>0.89691088740453306</v>
      </c>
      <c r="F3206">
        <v>2.9643122112857601</v>
      </c>
      <c r="G3206">
        <v>6.3100464463463046</v>
      </c>
      <c r="H3206">
        <v>67.587254144519477</v>
      </c>
      <c r="I3206">
        <v>20.647073375213509</v>
      </c>
      <c r="J3206">
        <v>23.96774308403571</v>
      </c>
      <c r="K3206">
        <v>1214.842072172926</v>
      </c>
      <c r="L3206">
        <v>0</v>
      </c>
      <c r="M3206" t="s">
        <v>69</v>
      </c>
    </row>
    <row r="3207" spans="1:13" x14ac:dyDescent="0.3">
      <c r="A3207" t="s">
        <v>21</v>
      </c>
      <c r="B3207" t="s">
        <v>52</v>
      </c>
      <c r="C3207">
        <v>137.71268063299581</v>
      </c>
      <c r="D3207">
        <v>6.3769525722428773</v>
      </c>
      <c r="E3207">
        <v>8.1883721361522959</v>
      </c>
      <c r="F3207">
        <v>21.401847955589549</v>
      </c>
      <c r="G3207">
        <v>5.5526674797379281</v>
      </c>
      <c r="H3207">
        <v>54.938946161146553</v>
      </c>
      <c r="I3207">
        <v>28.327142619534129</v>
      </c>
      <c r="J3207">
        <v>24.218590828724729</v>
      </c>
      <c r="K3207">
        <v>758.74555193240451</v>
      </c>
      <c r="L3207">
        <v>0</v>
      </c>
      <c r="M3207" t="s">
        <v>69</v>
      </c>
    </row>
    <row r="3208" spans="1:13" x14ac:dyDescent="0.3">
      <c r="A3208" t="s">
        <v>24</v>
      </c>
      <c r="B3208" t="s">
        <v>57</v>
      </c>
      <c r="C3208">
        <v>8.103110427140976</v>
      </c>
      <c r="D3208">
        <v>0</v>
      </c>
      <c r="E3208">
        <v>0</v>
      </c>
      <c r="F3208">
        <v>1.111865160468881</v>
      </c>
      <c r="G3208">
        <v>6.1420925384801999</v>
      </c>
      <c r="H3208">
        <v>36.239374359174043</v>
      </c>
      <c r="I3208">
        <v>23.73044828510367</v>
      </c>
      <c r="J3208">
        <v>24.585021089245341</v>
      </c>
      <c r="K3208">
        <v>734.1653066042071</v>
      </c>
      <c r="L3208">
        <v>0</v>
      </c>
      <c r="M3208" t="s">
        <v>69</v>
      </c>
    </row>
    <row r="3209" spans="1:13" x14ac:dyDescent="0.3">
      <c r="A3209" t="s">
        <v>20</v>
      </c>
      <c r="B3209" t="s">
        <v>49</v>
      </c>
      <c r="C3209">
        <v>35.949607378476287</v>
      </c>
      <c r="D3209">
        <v>1.202636279842221</v>
      </c>
      <c r="E3209">
        <v>1.9903993718453341</v>
      </c>
      <c r="F3209">
        <v>5.8499498328979822</v>
      </c>
      <c r="G3209">
        <v>6.2277460178670117</v>
      </c>
      <c r="H3209">
        <v>16.111719027495251</v>
      </c>
      <c r="I3209">
        <v>32.721312570314012</v>
      </c>
      <c r="J3209">
        <v>25.36553632640581</v>
      </c>
      <c r="K3209">
        <v>1127.6451650966701</v>
      </c>
      <c r="L3209">
        <v>0</v>
      </c>
      <c r="M3209" t="s">
        <v>69</v>
      </c>
    </row>
    <row r="3210" spans="1:13" x14ac:dyDescent="0.3">
      <c r="A3210" t="s">
        <v>25</v>
      </c>
      <c r="B3210" t="s">
        <v>62</v>
      </c>
      <c r="C3210">
        <v>25.108686839729021</v>
      </c>
      <c r="D3210">
        <v>0.92357237135861814</v>
      </c>
      <c r="E3210">
        <v>1.032897954338335</v>
      </c>
      <c r="F3210">
        <v>2.9345945059773229</v>
      </c>
      <c r="G3210">
        <v>6.2564438478767821</v>
      </c>
      <c r="H3210">
        <v>67.580789174227363</v>
      </c>
      <c r="I3210">
        <v>19.631433700808209</v>
      </c>
      <c r="J3210">
        <v>24.646565931077561</v>
      </c>
      <c r="K3210">
        <v>1197.7757281178981</v>
      </c>
      <c r="L3210">
        <v>0</v>
      </c>
      <c r="M3210" t="s">
        <v>69</v>
      </c>
    </row>
    <row r="3211" spans="1:13" x14ac:dyDescent="0.3">
      <c r="A3211" t="s">
        <v>21</v>
      </c>
      <c r="B3211" t="s">
        <v>52</v>
      </c>
      <c r="C3211">
        <v>135.6903344973974</v>
      </c>
      <c r="D3211">
        <v>5.8921953515162953</v>
      </c>
      <c r="E3211">
        <v>9.0383553488246555</v>
      </c>
      <c r="F3211">
        <v>21.169068581953368</v>
      </c>
      <c r="G3211">
        <v>5.5067688712781102</v>
      </c>
      <c r="H3211">
        <v>55.999077248419468</v>
      </c>
      <c r="I3211">
        <v>27.99961866191661</v>
      </c>
      <c r="J3211">
        <v>24.965496657070251</v>
      </c>
      <c r="K3211">
        <v>746.55938030735467</v>
      </c>
      <c r="L3211">
        <v>0</v>
      </c>
      <c r="M3211" t="s">
        <v>69</v>
      </c>
    </row>
    <row r="3212" spans="1:13" x14ac:dyDescent="0.3">
      <c r="A3212" t="s">
        <v>25</v>
      </c>
      <c r="B3212" t="s">
        <v>62</v>
      </c>
      <c r="C3212">
        <v>29.47133517256486</v>
      </c>
      <c r="D3212">
        <v>1.0373579752322519</v>
      </c>
      <c r="E3212">
        <v>1.9538082531502561</v>
      </c>
      <c r="F3212">
        <v>5.1347486801278563</v>
      </c>
      <c r="G3212">
        <v>6.3117188290627881</v>
      </c>
      <c r="H3212">
        <v>39.512440869444177</v>
      </c>
      <c r="I3212">
        <v>19.870363112601719</v>
      </c>
      <c r="J3212">
        <v>24.019773704679441</v>
      </c>
      <c r="K3212">
        <v>1087.5574718684979</v>
      </c>
      <c r="L3212">
        <v>0</v>
      </c>
      <c r="M3212" t="s">
        <v>69</v>
      </c>
    </row>
    <row r="3213" spans="1:13" x14ac:dyDescent="0.3">
      <c r="A3213" t="s">
        <v>19</v>
      </c>
      <c r="B3213" t="s">
        <v>48</v>
      </c>
      <c r="C3213">
        <v>59.262111184404297</v>
      </c>
      <c r="D3213">
        <v>2.9071913173941741</v>
      </c>
      <c r="E3213">
        <v>3.88939746863131</v>
      </c>
      <c r="F3213">
        <v>9.0677630739504469</v>
      </c>
      <c r="G3213">
        <v>6.2454066469397542</v>
      </c>
      <c r="H3213">
        <v>18.855591202254811</v>
      </c>
      <c r="I3213">
        <v>33.94467828737136</v>
      </c>
      <c r="J3213">
        <v>25.936338072941609</v>
      </c>
      <c r="K3213">
        <v>1186.651824470584</v>
      </c>
      <c r="L3213">
        <v>0</v>
      </c>
      <c r="M3213" t="s">
        <v>69</v>
      </c>
    </row>
    <row r="3214" spans="1:13" x14ac:dyDescent="0.3">
      <c r="A3214" t="s">
        <v>19</v>
      </c>
      <c r="B3214" t="s">
        <v>44</v>
      </c>
      <c r="C3214">
        <v>25.433916080703909</v>
      </c>
      <c r="D3214">
        <v>1.032532212112226</v>
      </c>
      <c r="E3214">
        <v>1.127512498688962</v>
      </c>
      <c r="F3214">
        <v>3.110481649731121</v>
      </c>
      <c r="G3214">
        <v>6.6281456725775953</v>
      </c>
      <c r="H3214">
        <v>21.26765130208959</v>
      </c>
      <c r="I3214">
        <v>26.40570109571825</v>
      </c>
      <c r="J3214">
        <v>24.09068565362896</v>
      </c>
      <c r="K3214">
        <v>1334.1394325933879</v>
      </c>
      <c r="L3214">
        <v>0</v>
      </c>
      <c r="M3214" t="s">
        <v>69</v>
      </c>
    </row>
    <row r="3215" spans="1:13" x14ac:dyDescent="0.3">
      <c r="A3215" t="s">
        <v>19</v>
      </c>
      <c r="B3215" t="s">
        <v>44</v>
      </c>
      <c r="C3215">
        <v>18.370397868964549</v>
      </c>
      <c r="D3215">
        <v>0</v>
      </c>
      <c r="E3215">
        <v>1.09472953530687</v>
      </c>
      <c r="F3215">
        <v>2.346321890004738</v>
      </c>
      <c r="G3215">
        <v>5.3309388361060837</v>
      </c>
      <c r="H3215">
        <v>15.136198409320469</v>
      </c>
      <c r="I3215">
        <v>30.44444673775979</v>
      </c>
      <c r="J3215">
        <v>23.038119703242039</v>
      </c>
      <c r="K3215">
        <v>1340.987270947709</v>
      </c>
      <c r="L3215">
        <v>0</v>
      </c>
      <c r="M3215" t="s">
        <v>69</v>
      </c>
    </row>
    <row r="3216" spans="1:13" x14ac:dyDescent="0.3">
      <c r="A3216" t="s">
        <v>25</v>
      </c>
      <c r="B3216" t="s">
        <v>62</v>
      </c>
      <c r="C3216">
        <v>23.107025394272071</v>
      </c>
      <c r="D3216">
        <v>1.0778843090488319</v>
      </c>
      <c r="E3216">
        <v>0.98812276693926027</v>
      </c>
      <c r="F3216">
        <v>2.8346706971440732</v>
      </c>
      <c r="G3216">
        <v>6.3625388830748673</v>
      </c>
      <c r="H3216">
        <v>67.145953369511346</v>
      </c>
      <c r="I3216">
        <v>20.354897906491541</v>
      </c>
      <c r="J3216">
        <v>24.1243011745686</v>
      </c>
      <c r="K3216">
        <v>1204.3771889782411</v>
      </c>
      <c r="L3216">
        <v>0</v>
      </c>
      <c r="M3216" t="s">
        <v>69</v>
      </c>
    </row>
    <row r="3217" spans="1:13" x14ac:dyDescent="0.3">
      <c r="A3217" t="s">
        <v>24</v>
      </c>
      <c r="B3217" t="s">
        <v>58</v>
      </c>
      <c r="C3217">
        <v>29.57336965522552</v>
      </c>
      <c r="D3217">
        <v>0.85501455485346955</v>
      </c>
      <c r="E3217">
        <v>2.2688979100195672</v>
      </c>
      <c r="F3217">
        <v>4.4067901711182813</v>
      </c>
      <c r="G3217">
        <v>6.2100483182691866</v>
      </c>
      <c r="H3217">
        <v>39.118911431511791</v>
      </c>
      <c r="I3217">
        <v>23.242148663054561</v>
      </c>
      <c r="J3217">
        <v>23.03978683394654</v>
      </c>
      <c r="K3217">
        <v>728.83542790515071</v>
      </c>
      <c r="L3217">
        <v>0</v>
      </c>
      <c r="M3217" t="s">
        <v>69</v>
      </c>
    </row>
    <row r="3218" spans="1:13" x14ac:dyDescent="0.3">
      <c r="A3218" t="s">
        <v>25</v>
      </c>
      <c r="B3218" t="s">
        <v>62</v>
      </c>
      <c r="C3218">
        <v>59.10895717196717</v>
      </c>
      <c r="D3218">
        <v>2.9687846966789122</v>
      </c>
      <c r="E3218">
        <v>4.0553829326649886</v>
      </c>
      <c r="F3218">
        <v>9.499964828150226</v>
      </c>
      <c r="G3218">
        <v>6.3463189788240104</v>
      </c>
      <c r="H3218">
        <v>19.48487801916378</v>
      </c>
      <c r="I3218">
        <v>34.417362744183322</v>
      </c>
      <c r="J3218">
        <v>25.99114167917962</v>
      </c>
      <c r="K3218">
        <v>1201.9365190704229</v>
      </c>
      <c r="L3218">
        <v>0</v>
      </c>
      <c r="M3218" t="s">
        <v>69</v>
      </c>
    </row>
    <row r="3219" spans="1:13" x14ac:dyDescent="0.3">
      <c r="A3219" t="s">
        <v>20</v>
      </c>
      <c r="B3219" t="s">
        <v>49</v>
      </c>
      <c r="C3219">
        <v>38.556267927447237</v>
      </c>
      <c r="D3219">
        <v>0.99539461889479153</v>
      </c>
      <c r="E3219">
        <v>2.122060004696761</v>
      </c>
      <c r="F3219">
        <v>7.3073998347012736</v>
      </c>
      <c r="G3219">
        <v>6.3567530818247961</v>
      </c>
      <c r="H3219">
        <v>17.719583163933269</v>
      </c>
      <c r="I3219">
        <v>31.563425610486821</v>
      </c>
      <c r="J3219">
        <v>27.054223873551472</v>
      </c>
      <c r="K3219">
        <v>1145.3973125293689</v>
      </c>
      <c r="L3219">
        <v>0</v>
      </c>
      <c r="M3219" t="s">
        <v>69</v>
      </c>
    </row>
    <row r="3220" spans="1:13" x14ac:dyDescent="0.3">
      <c r="A3220" t="s">
        <v>19</v>
      </c>
      <c r="B3220" t="s">
        <v>48</v>
      </c>
      <c r="C3220">
        <v>41.293066117474233</v>
      </c>
      <c r="D3220">
        <v>1.9515241418301259</v>
      </c>
      <c r="E3220">
        <v>1.9081119080867719</v>
      </c>
      <c r="F3220">
        <v>6.0059665073062618</v>
      </c>
      <c r="G3220">
        <v>6.1953496868960478</v>
      </c>
      <c r="H3220">
        <v>17.266050882773921</v>
      </c>
      <c r="I3220">
        <v>32.737818402995941</v>
      </c>
      <c r="J3220">
        <v>26.41189990810533</v>
      </c>
      <c r="K3220">
        <v>1147.430070488525</v>
      </c>
      <c r="L3220">
        <v>0</v>
      </c>
      <c r="M3220" t="s">
        <v>69</v>
      </c>
    </row>
    <row r="3221" spans="1:13" x14ac:dyDescent="0.3">
      <c r="A3221" t="s">
        <v>19</v>
      </c>
      <c r="B3221" t="s">
        <v>48</v>
      </c>
      <c r="C3221">
        <v>61.532973222807627</v>
      </c>
      <c r="D3221">
        <v>3.125141586995114</v>
      </c>
      <c r="E3221">
        <v>4.4307011474301357</v>
      </c>
      <c r="F3221">
        <v>8.584043984005401</v>
      </c>
      <c r="G3221">
        <v>6.2145723484689226</v>
      </c>
      <c r="H3221">
        <v>18.566536528683269</v>
      </c>
      <c r="I3221">
        <v>31.705386095339051</v>
      </c>
      <c r="J3221">
        <v>26.648682801299451</v>
      </c>
      <c r="K3221">
        <v>1167.5219759437739</v>
      </c>
      <c r="L3221">
        <v>0</v>
      </c>
      <c r="M3221" t="s">
        <v>69</v>
      </c>
    </row>
    <row r="3222" spans="1:13" x14ac:dyDescent="0.3">
      <c r="A3222" t="s">
        <v>24</v>
      </c>
      <c r="B3222" t="s">
        <v>58</v>
      </c>
      <c r="C3222">
        <v>28.88147388177714</v>
      </c>
      <c r="D3222">
        <v>1.0235392093584259</v>
      </c>
      <c r="E3222">
        <v>1.979834220993975</v>
      </c>
      <c r="F3222">
        <v>3.9187521525420759</v>
      </c>
      <c r="G3222">
        <v>6.9900820484435711</v>
      </c>
      <c r="H3222">
        <v>34.047519505889497</v>
      </c>
      <c r="I3222">
        <v>26.48576311043065</v>
      </c>
      <c r="J3222">
        <v>23.603396615657658</v>
      </c>
      <c r="K3222">
        <v>740.88706725208226</v>
      </c>
      <c r="L3222">
        <v>0</v>
      </c>
      <c r="M3222" t="s">
        <v>69</v>
      </c>
    </row>
    <row r="3223" spans="1:13" x14ac:dyDescent="0.3">
      <c r="A3223" t="s">
        <v>20</v>
      </c>
      <c r="B3223" t="s">
        <v>49</v>
      </c>
      <c r="C3223">
        <v>44.109878697666709</v>
      </c>
      <c r="D3223">
        <v>2.0611296188662189</v>
      </c>
      <c r="E3223">
        <v>2.930267211306214</v>
      </c>
      <c r="F3223">
        <v>5.8356271781637297</v>
      </c>
      <c r="G3223">
        <v>5.5214767915775242</v>
      </c>
      <c r="H3223">
        <v>20.107317374980891</v>
      </c>
      <c r="I3223">
        <v>31.920010033946902</v>
      </c>
      <c r="J3223">
        <v>25.899723547745449</v>
      </c>
      <c r="K3223">
        <v>1161.139205492331</v>
      </c>
      <c r="L3223">
        <v>0</v>
      </c>
      <c r="M3223" t="s">
        <v>69</v>
      </c>
    </row>
    <row r="3224" spans="1:13" x14ac:dyDescent="0.3">
      <c r="A3224" t="s">
        <v>24</v>
      </c>
      <c r="B3224" t="s">
        <v>57</v>
      </c>
      <c r="C3224">
        <v>54.536462586913942</v>
      </c>
      <c r="D3224">
        <v>2.0095515301906639</v>
      </c>
      <c r="E3224">
        <v>3.042957485284651</v>
      </c>
      <c r="F3224">
        <v>9.4508700062060722</v>
      </c>
      <c r="G3224">
        <v>5.5776127420037342</v>
      </c>
      <c r="H3224">
        <v>50.485396933949289</v>
      </c>
      <c r="I3224">
        <v>23.278228550877241</v>
      </c>
      <c r="J3224">
        <v>22.80108495494709</v>
      </c>
      <c r="K3224">
        <v>735.78727061684765</v>
      </c>
      <c r="L3224">
        <v>0</v>
      </c>
      <c r="M3224" t="s">
        <v>69</v>
      </c>
    </row>
    <row r="3225" spans="1:13" x14ac:dyDescent="0.3">
      <c r="A3225" t="s">
        <v>19</v>
      </c>
      <c r="B3225" t="s">
        <v>48</v>
      </c>
      <c r="C3225">
        <v>29.177160444412721</v>
      </c>
      <c r="D3225">
        <v>1.018886919896407</v>
      </c>
      <c r="E3225">
        <v>2.0327533682005519</v>
      </c>
      <c r="F3225">
        <v>5.9735851201797701</v>
      </c>
      <c r="G3225">
        <v>6.004320888793317</v>
      </c>
      <c r="H3225">
        <v>22.402105590717351</v>
      </c>
      <c r="I3225">
        <v>32.807138738540871</v>
      </c>
      <c r="J3225">
        <v>25.816989264123411</v>
      </c>
      <c r="K3225">
        <v>1174.4717484644509</v>
      </c>
      <c r="L3225">
        <v>0</v>
      </c>
      <c r="M3225" t="s">
        <v>69</v>
      </c>
    </row>
    <row r="3226" spans="1:13" x14ac:dyDescent="0.3">
      <c r="A3226" t="s">
        <v>19</v>
      </c>
      <c r="B3226" t="s">
        <v>48</v>
      </c>
      <c r="C3226">
        <v>59.67881194324206</v>
      </c>
      <c r="D3226">
        <v>3.0939559440948159</v>
      </c>
      <c r="E3226">
        <v>4.1063702285092312</v>
      </c>
      <c r="F3226">
        <v>9.6670105020753923</v>
      </c>
      <c r="G3226">
        <v>6.2845046132562956</v>
      </c>
      <c r="H3226">
        <v>17.960042925448811</v>
      </c>
      <c r="I3226">
        <v>31.09141588649538</v>
      </c>
      <c r="J3226">
        <v>25.666841918833679</v>
      </c>
      <c r="K3226">
        <v>1153.342425276966</v>
      </c>
      <c r="L3226">
        <v>0</v>
      </c>
      <c r="M3226" t="s">
        <v>69</v>
      </c>
    </row>
    <row r="3227" spans="1:13" x14ac:dyDescent="0.3">
      <c r="A3227" t="s">
        <v>21</v>
      </c>
      <c r="B3227" t="s">
        <v>52</v>
      </c>
      <c r="C3227">
        <v>134.18081486561479</v>
      </c>
      <c r="D3227">
        <v>6.3624279160928916</v>
      </c>
      <c r="E3227">
        <v>8.6966138501741117</v>
      </c>
      <c r="F3227">
        <v>21.571208836213451</v>
      </c>
      <c r="G3227">
        <v>5.5852551978038596</v>
      </c>
      <c r="H3227">
        <v>54.935445438060427</v>
      </c>
      <c r="I3227">
        <v>28.185294896844031</v>
      </c>
      <c r="J3227">
        <v>24.426323575690692</v>
      </c>
      <c r="K3227">
        <v>756.77926285773992</v>
      </c>
      <c r="L3227">
        <v>0</v>
      </c>
      <c r="M3227" t="s">
        <v>69</v>
      </c>
    </row>
    <row r="3228" spans="1:13" x14ac:dyDescent="0.3">
      <c r="A3228" t="s">
        <v>24</v>
      </c>
      <c r="B3228" t="s">
        <v>58</v>
      </c>
      <c r="C3228">
        <v>30.214839668017081</v>
      </c>
      <c r="D3228">
        <v>1.018076676956883</v>
      </c>
      <c r="E3228">
        <v>1.968546997861814</v>
      </c>
      <c r="F3228">
        <v>3.9959495374160512</v>
      </c>
      <c r="G3228">
        <v>6.9141777872139514</v>
      </c>
      <c r="H3228">
        <v>33.173357147311833</v>
      </c>
      <c r="I3228">
        <v>25.209926737478071</v>
      </c>
      <c r="J3228">
        <v>23.485025540960759</v>
      </c>
      <c r="K3228">
        <v>732.71745876090927</v>
      </c>
      <c r="L3228">
        <v>0</v>
      </c>
      <c r="M3228" t="s">
        <v>69</v>
      </c>
    </row>
    <row r="3229" spans="1:13" x14ac:dyDescent="0.3">
      <c r="A3229" t="s">
        <v>20</v>
      </c>
      <c r="B3229" t="s">
        <v>49</v>
      </c>
      <c r="C3229">
        <v>38.734280076638612</v>
      </c>
      <c r="D3229">
        <v>0.72144340979767163</v>
      </c>
      <c r="E3229">
        <v>1.624645287441377</v>
      </c>
      <c r="F3229">
        <v>5.6157220474352734</v>
      </c>
      <c r="G3229">
        <v>6.09982110123293</v>
      </c>
      <c r="H3229">
        <v>16.620279822818979</v>
      </c>
      <c r="I3229">
        <v>32.374503967915693</v>
      </c>
      <c r="J3229">
        <v>24.846334708730591</v>
      </c>
      <c r="K3229">
        <v>1158.318416171644</v>
      </c>
      <c r="L3229">
        <v>0</v>
      </c>
      <c r="M3229" t="s">
        <v>69</v>
      </c>
    </row>
    <row r="3230" spans="1:13" x14ac:dyDescent="0.3">
      <c r="A3230" t="s">
        <v>20</v>
      </c>
      <c r="B3230" t="s">
        <v>49</v>
      </c>
      <c r="C3230">
        <v>35.321675307854207</v>
      </c>
      <c r="D3230">
        <v>1.0740455553700889</v>
      </c>
      <c r="E3230">
        <v>2.0085728886684708</v>
      </c>
      <c r="F3230">
        <v>5.9395764301260989</v>
      </c>
      <c r="G3230">
        <v>6.2323250041962686</v>
      </c>
      <c r="H3230">
        <v>15.849875574281061</v>
      </c>
      <c r="I3230">
        <v>32.703406084861271</v>
      </c>
      <c r="J3230">
        <v>25.268654634891721</v>
      </c>
      <c r="K3230">
        <v>1121.8134979731849</v>
      </c>
      <c r="L3230">
        <v>0</v>
      </c>
      <c r="M3230" t="s">
        <v>69</v>
      </c>
    </row>
    <row r="3231" spans="1:13" x14ac:dyDescent="0.3">
      <c r="A3231" t="s">
        <v>24</v>
      </c>
      <c r="B3231" t="s">
        <v>59</v>
      </c>
      <c r="C3231">
        <v>60.039855696186898</v>
      </c>
      <c r="D3231">
        <v>2.0465681520783501</v>
      </c>
      <c r="E3231">
        <v>3.786695491944295</v>
      </c>
      <c r="F3231">
        <v>8.9191424034727156</v>
      </c>
      <c r="G3231">
        <v>6.6154359091695776</v>
      </c>
      <c r="H3231">
        <v>56.694038639038467</v>
      </c>
      <c r="I3231">
        <v>27.037542145493109</v>
      </c>
      <c r="J3231">
        <v>23.445019453634838</v>
      </c>
      <c r="K3231">
        <v>732.41757512838342</v>
      </c>
      <c r="L3231">
        <v>0</v>
      </c>
      <c r="M3231" t="s">
        <v>69</v>
      </c>
    </row>
    <row r="3232" spans="1:13" x14ac:dyDescent="0.3">
      <c r="A3232" t="s">
        <v>20</v>
      </c>
      <c r="B3232" t="s">
        <v>49</v>
      </c>
      <c r="C3232">
        <v>27.34338711545352</v>
      </c>
      <c r="D3232">
        <v>1.0051875537806321</v>
      </c>
      <c r="E3232">
        <v>0.86685854548404606</v>
      </c>
      <c r="F3232">
        <v>4.1430917319226674</v>
      </c>
      <c r="G3232">
        <v>5.8293483655206204</v>
      </c>
      <c r="H3232">
        <v>16.095203771192011</v>
      </c>
      <c r="I3232">
        <v>30.972477647511251</v>
      </c>
      <c r="J3232">
        <v>25.525513912485572</v>
      </c>
      <c r="K3232">
        <v>1148.5756961350951</v>
      </c>
      <c r="L3232">
        <v>0</v>
      </c>
      <c r="M3232" t="s">
        <v>69</v>
      </c>
    </row>
    <row r="3233" spans="1:13" x14ac:dyDescent="0.3">
      <c r="A3233" t="s">
        <v>25</v>
      </c>
      <c r="B3233" t="s">
        <v>62</v>
      </c>
      <c r="C3233">
        <v>25.25377181359141</v>
      </c>
      <c r="D3233">
        <v>1.2689262854654091</v>
      </c>
      <c r="E3233">
        <v>0.96017335127612569</v>
      </c>
      <c r="F3233">
        <v>2.7920008070116591</v>
      </c>
      <c r="G3233">
        <v>6.2375739921891666</v>
      </c>
      <c r="H3233">
        <v>66.971371993726123</v>
      </c>
      <c r="I3233">
        <v>20.45250218320583</v>
      </c>
      <c r="J3233">
        <v>24.48785747794301</v>
      </c>
      <c r="K3233">
        <v>1199.525753521023</v>
      </c>
      <c r="L3233">
        <v>0</v>
      </c>
      <c r="M3233" t="s">
        <v>69</v>
      </c>
    </row>
    <row r="3234" spans="1:13" x14ac:dyDescent="0.3">
      <c r="A3234" t="s">
        <v>24</v>
      </c>
      <c r="B3234" t="s">
        <v>57</v>
      </c>
      <c r="C3234">
        <v>8.7453752209287217</v>
      </c>
      <c r="D3234">
        <v>0</v>
      </c>
      <c r="E3234">
        <v>0</v>
      </c>
      <c r="F3234">
        <v>1.138074906324869</v>
      </c>
      <c r="G3234">
        <v>6.1186034463196171</v>
      </c>
      <c r="H3234">
        <v>38.389663661697917</v>
      </c>
      <c r="I3234">
        <v>23.514065354088711</v>
      </c>
      <c r="J3234">
        <v>24.479570286680438</v>
      </c>
      <c r="K3234">
        <v>747.40594676518538</v>
      </c>
      <c r="L3234">
        <v>0</v>
      </c>
      <c r="M3234" t="s">
        <v>69</v>
      </c>
    </row>
    <row r="3235" spans="1:13" x14ac:dyDescent="0.3">
      <c r="A3235" t="s">
        <v>19</v>
      </c>
      <c r="B3235" t="s">
        <v>48</v>
      </c>
      <c r="C3235">
        <v>28.380120543376801</v>
      </c>
      <c r="D3235">
        <v>1.0173795604847691</v>
      </c>
      <c r="E3235">
        <v>1.09188248407009</v>
      </c>
      <c r="F3235">
        <v>4.4561941336757318</v>
      </c>
      <c r="G3235">
        <v>6.012978910231185</v>
      </c>
      <c r="H3235">
        <v>16.236585178020949</v>
      </c>
      <c r="I3235">
        <v>30.675692545567031</v>
      </c>
      <c r="J3235">
        <v>25.994098737868459</v>
      </c>
      <c r="K3235">
        <v>1172.183676546161</v>
      </c>
      <c r="L3235">
        <v>0</v>
      </c>
      <c r="M3235" t="s">
        <v>69</v>
      </c>
    </row>
    <row r="3236" spans="1:13" x14ac:dyDescent="0.3">
      <c r="A3236" t="s">
        <v>20</v>
      </c>
      <c r="B3236" t="s">
        <v>49</v>
      </c>
      <c r="C3236">
        <v>30.987314570486429</v>
      </c>
      <c r="D3236">
        <v>1.045056824765249</v>
      </c>
      <c r="E3236">
        <v>1.314035590166031</v>
      </c>
      <c r="F3236">
        <v>4.9188152622362988</v>
      </c>
      <c r="G3236">
        <v>6.0723227075223596</v>
      </c>
      <c r="H3236">
        <v>15.838832990172589</v>
      </c>
      <c r="I3236">
        <v>30.292958809520041</v>
      </c>
      <c r="J3236">
        <v>26.1411330587447</v>
      </c>
      <c r="K3236">
        <v>1160.109873537888</v>
      </c>
      <c r="L3236">
        <v>0</v>
      </c>
      <c r="M3236" t="s">
        <v>69</v>
      </c>
    </row>
    <row r="3237" spans="1:13" x14ac:dyDescent="0.3">
      <c r="A3237" t="s">
        <v>25</v>
      </c>
      <c r="B3237" t="s">
        <v>62</v>
      </c>
      <c r="C3237">
        <v>25.12966553905537</v>
      </c>
      <c r="D3237">
        <v>1.160360732841502</v>
      </c>
      <c r="E3237">
        <v>0.9808302013784802</v>
      </c>
      <c r="F3237">
        <v>2.7854030361437729</v>
      </c>
      <c r="G3237">
        <v>6.2298226385744986</v>
      </c>
      <c r="H3237">
        <v>67.200629369142575</v>
      </c>
      <c r="I3237">
        <v>20.072293247211519</v>
      </c>
      <c r="J3237">
        <v>24.52488181032237</v>
      </c>
      <c r="K3237">
        <v>1199.769993534065</v>
      </c>
      <c r="L3237">
        <v>0</v>
      </c>
      <c r="M3237" t="s">
        <v>69</v>
      </c>
    </row>
    <row r="3238" spans="1:13" x14ac:dyDescent="0.3">
      <c r="A3238" t="s">
        <v>24</v>
      </c>
      <c r="B3238" t="s">
        <v>58</v>
      </c>
      <c r="C3238">
        <v>21.654302594066191</v>
      </c>
      <c r="D3238">
        <v>0.52243654963299324</v>
      </c>
      <c r="E3238">
        <v>0.99659826446180499</v>
      </c>
      <c r="F3238">
        <v>3.2227765980035912</v>
      </c>
      <c r="G3238">
        <v>6.3391861666468596</v>
      </c>
      <c r="H3238">
        <v>41.380999046663398</v>
      </c>
      <c r="I3238">
        <v>24.15647569168615</v>
      </c>
      <c r="J3238">
        <v>24.191380502055651</v>
      </c>
      <c r="K3238">
        <v>729.866360064839</v>
      </c>
      <c r="L3238">
        <v>0</v>
      </c>
      <c r="M3238" t="s">
        <v>69</v>
      </c>
    </row>
    <row r="3239" spans="1:13" x14ac:dyDescent="0.3">
      <c r="A3239" t="s">
        <v>19</v>
      </c>
      <c r="B3239" t="s">
        <v>45</v>
      </c>
      <c r="C3239">
        <v>20.11083260702668</v>
      </c>
      <c r="D3239">
        <v>0.98777861908604292</v>
      </c>
      <c r="E3239">
        <v>1.012623648089487</v>
      </c>
      <c r="F3239">
        <v>2.9963329284316771</v>
      </c>
      <c r="G3239">
        <v>6.1956691060027804</v>
      </c>
      <c r="H3239">
        <v>19.009851684202999</v>
      </c>
      <c r="I3239">
        <v>31.368280970305971</v>
      </c>
      <c r="J3239">
        <v>23.989085923546391</v>
      </c>
      <c r="K3239">
        <v>1322.74640923026</v>
      </c>
      <c r="L3239">
        <v>0</v>
      </c>
      <c r="M3239" t="s">
        <v>69</v>
      </c>
    </row>
    <row r="3240" spans="1:13" x14ac:dyDescent="0.3">
      <c r="A3240" t="s">
        <v>19</v>
      </c>
      <c r="B3240" t="s">
        <v>48</v>
      </c>
      <c r="C3240">
        <v>39.772797259392718</v>
      </c>
      <c r="D3240">
        <v>1.7409124909429381</v>
      </c>
      <c r="E3240">
        <v>2.0204761357545862</v>
      </c>
      <c r="F3240">
        <v>5.8491619065119167</v>
      </c>
      <c r="G3240">
        <v>6.22347920315873</v>
      </c>
      <c r="H3240">
        <v>17.183054815345969</v>
      </c>
      <c r="I3240">
        <v>33.467299697506533</v>
      </c>
      <c r="J3240">
        <v>24.938858758881331</v>
      </c>
      <c r="K3240">
        <v>1138.6140377779529</v>
      </c>
      <c r="L3240">
        <v>0</v>
      </c>
      <c r="M3240" t="s">
        <v>69</v>
      </c>
    </row>
    <row r="3241" spans="1:13" x14ac:dyDescent="0.3">
      <c r="A3241" t="s">
        <v>25</v>
      </c>
      <c r="B3241" t="s">
        <v>62</v>
      </c>
      <c r="C3241">
        <v>34.226115287149213</v>
      </c>
      <c r="D3241">
        <v>1.4452225928147591</v>
      </c>
      <c r="E3241">
        <v>1.5736302913384539</v>
      </c>
      <c r="F3241">
        <v>5.562563042931103</v>
      </c>
      <c r="G3241">
        <v>5.5431071597645856</v>
      </c>
      <c r="H3241">
        <v>48.3936245517245</v>
      </c>
      <c r="I3241">
        <v>21.097283122154611</v>
      </c>
      <c r="J3241">
        <v>23.401739073421151</v>
      </c>
      <c r="K3241">
        <v>951.64645311722393</v>
      </c>
      <c r="L3241">
        <v>0</v>
      </c>
      <c r="M3241" t="s">
        <v>69</v>
      </c>
    </row>
    <row r="3242" spans="1:13" x14ac:dyDescent="0.3">
      <c r="A3242" t="s">
        <v>25</v>
      </c>
      <c r="B3242" t="s">
        <v>62</v>
      </c>
      <c r="C3242">
        <v>29.347290470756679</v>
      </c>
      <c r="D3242">
        <v>1.064251440192987</v>
      </c>
      <c r="E3242">
        <v>1.8437031547693159</v>
      </c>
      <c r="F3242">
        <v>5.3202626053362128</v>
      </c>
      <c r="G3242">
        <v>6.2137122996283329</v>
      </c>
      <c r="H3242">
        <v>37.752160708379151</v>
      </c>
      <c r="I3242">
        <v>19.974879404175692</v>
      </c>
      <c r="J3242">
        <v>23.87660817507119</v>
      </c>
      <c r="K3242">
        <v>1097.110480146677</v>
      </c>
      <c r="L3242">
        <v>0</v>
      </c>
      <c r="M3242" t="s">
        <v>69</v>
      </c>
    </row>
    <row r="3243" spans="1:13" x14ac:dyDescent="0.3">
      <c r="A3243" t="s">
        <v>25</v>
      </c>
      <c r="B3243" t="s">
        <v>62</v>
      </c>
      <c r="C3243">
        <v>261.55845989411768</v>
      </c>
      <c r="D3243">
        <v>18.257270655215219</v>
      </c>
      <c r="E3243">
        <v>24.50641677529595</v>
      </c>
      <c r="F3243">
        <v>56.608933455536317</v>
      </c>
      <c r="G3243">
        <v>4.4733417172887471</v>
      </c>
      <c r="H3243">
        <v>72.457464607412476</v>
      </c>
      <c r="I3243">
        <v>29.144400745477942</v>
      </c>
      <c r="J3243">
        <v>24.338858134567001</v>
      </c>
      <c r="K3243">
        <v>701.45447579925042</v>
      </c>
      <c r="L3243">
        <v>0</v>
      </c>
      <c r="M3243" t="s">
        <v>69</v>
      </c>
    </row>
    <row r="3244" spans="1:13" x14ac:dyDescent="0.3">
      <c r="A3244" t="s">
        <v>19</v>
      </c>
      <c r="B3244" t="s">
        <v>45</v>
      </c>
      <c r="C3244">
        <v>19.251818856188748</v>
      </c>
      <c r="D3244">
        <v>0.87345190528871619</v>
      </c>
      <c r="E3244">
        <v>0.8824039301891986</v>
      </c>
      <c r="F3244">
        <v>3.4022935921453841</v>
      </c>
      <c r="G3244">
        <v>6.3155351416570937</v>
      </c>
      <c r="H3244">
        <v>18.668648198069391</v>
      </c>
      <c r="I3244">
        <v>32.245447965893973</v>
      </c>
      <c r="J3244">
        <v>24.487039045017369</v>
      </c>
      <c r="K3244">
        <v>1325.0317989692339</v>
      </c>
      <c r="L3244">
        <v>0</v>
      </c>
      <c r="M3244" t="s">
        <v>69</v>
      </c>
    </row>
    <row r="3245" spans="1:13" x14ac:dyDescent="0.3">
      <c r="A3245" t="s">
        <v>20</v>
      </c>
      <c r="B3245" t="s">
        <v>49</v>
      </c>
      <c r="C3245">
        <v>37.824907646291557</v>
      </c>
      <c r="D3245">
        <v>1.1466974367997169</v>
      </c>
      <c r="E3245">
        <v>2.2321343300734191</v>
      </c>
      <c r="F3245">
        <v>5.8435531568603754</v>
      </c>
      <c r="G3245">
        <v>6.3385628919328942</v>
      </c>
      <c r="H3245">
        <v>16.092507430987531</v>
      </c>
      <c r="I3245">
        <v>30.99914655977754</v>
      </c>
      <c r="J3245">
        <v>25.731223935030709</v>
      </c>
      <c r="K3245">
        <v>1136.4749734537399</v>
      </c>
      <c r="L3245">
        <v>0</v>
      </c>
      <c r="M3245" t="s">
        <v>69</v>
      </c>
    </row>
    <row r="3246" spans="1:13" x14ac:dyDescent="0.3">
      <c r="A3246" t="s">
        <v>25</v>
      </c>
      <c r="B3246" t="s">
        <v>62</v>
      </c>
      <c r="C3246">
        <v>29.756429233520219</v>
      </c>
      <c r="D3246">
        <v>1.187873796788834</v>
      </c>
      <c r="E3246">
        <v>1.408227812667574</v>
      </c>
      <c r="F3246">
        <v>4.8257036190590004</v>
      </c>
      <c r="G3246">
        <v>5.5242752796885153</v>
      </c>
      <c r="H3246">
        <v>48.418531800956757</v>
      </c>
      <c r="I3246">
        <v>21.48735338426399</v>
      </c>
      <c r="J3246">
        <v>23.812577621949838</v>
      </c>
      <c r="K3246">
        <v>1010.529173604218</v>
      </c>
      <c r="L3246">
        <v>0</v>
      </c>
      <c r="M3246" t="s">
        <v>69</v>
      </c>
    </row>
    <row r="3247" spans="1:13" x14ac:dyDescent="0.3">
      <c r="A3247" t="s">
        <v>19</v>
      </c>
      <c r="B3247" t="s">
        <v>44</v>
      </c>
      <c r="C3247">
        <v>18.866494385611318</v>
      </c>
      <c r="D3247">
        <v>0</v>
      </c>
      <c r="E3247">
        <v>1.009598248918816</v>
      </c>
      <c r="F3247">
        <v>3.031082441929875</v>
      </c>
      <c r="G3247">
        <v>5.2506433638216086</v>
      </c>
      <c r="H3247">
        <v>14.53288575486657</v>
      </c>
      <c r="I3247">
        <v>31.70203095320797</v>
      </c>
      <c r="J3247">
        <v>23.833962690223579</v>
      </c>
      <c r="K3247">
        <v>1322.6008534802411</v>
      </c>
      <c r="L3247">
        <v>0</v>
      </c>
      <c r="M3247" t="s">
        <v>69</v>
      </c>
    </row>
    <row r="3248" spans="1:13" x14ac:dyDescent="0.3">
      <c r="A3248" t="s">
        <v>25</v>
      </c>
      <c r="B3248" t="s">
        <v>62</v>
      </c>
      <c r="C3248">
        <v>604.45510298533964</v>
      </c>
      <c r="D3248">
        <v>30.674307547447921</v>
      </c>
      <c r="E3248">
        <v>40.110316478781407</v>
      </c>
      <c r="F3248">
        <v>88.565644823052764</v>
      </c>
      <c r="G3248">
        <v>4.4307121759986536</v>
      </c>
      <c r="H3248">
        <v>78.736600968438069</v>
      </c>
      <c r="I3248">
        <v>27.144011827511669</v>
      </c>
      <c r="J3248">
        <v>22.611584330125389</v>
      </c>
      <c r="K3248">
        <v>701.78154848768122</v>
      </c>
      <c r="L3248">
        <v>0</v>
      </c>
      <c r="M3248" t="s">
        <v>69</v>
      </c>
    </row>
    <row r="3249" spans="1:13" x14ac:dyDescent="0.3">
      <c r="A3249" t="s">
        <v>25</v>
      </c>
      <c r="B3249" t="s">
        <v>62</v>
      </c>
      <c r="C3249">
        <v>31.39185789393936</v>
      </c>
      <c r="D3249">
        <v>1.0741717399790469</v>
      </c>
      <c r="E3249">
        <v>2.0749038314936592</v>
      </c>
      <c r="F3249">
        <v>5.0440067256444241</v>
      </c>
      <c r="G3249">
        <v>6.3363881960716384</v>
      </c>
      <c r="H3249">
        <v>34.866266552127648</v>
      </c>
      <c r="I3249">
        <v>20.33302380180168</v>
      </c>
      <c r="J3249">
        <v>24.858949199077198</v>
      </c>
      <c r="K3249">
        <v>1096.288768014512</v>
      </c>
      <c r="L3249">
        <v>0</v>
      </c>
      <c r="M3249" t="s">
        <v>69</v>
      </c>
    </row>
    <row r="3250" spans="1:13" x14ac:dyDescent="0.3">
      <c r="A3250" t="s">
        <v>19</v>
      </c>
      <c r="B3250" t="s">
        <v>47</v>
      </c>
      <c r="C3250">
        <v>28.513181120617919</v>
      </c>
      <c r="D3250">
        <v>1.003824145022628</v>
      </c>
      <c r="E3250">
        <v>2.152657687539818</v>
      </c>
      <c r="F3250">
        <v>4.004107274676711</v>
      </c>
      <c r="G3250">
        <v>6.9127596209588518</v>
      </c>
      <c r="H3250">
        <v>32.913844225275007</v>
      </c>
      <c r="I3250">
        <v>24.431934146674539</v>
      </c>
      <c r="J3250">
        <v>22.93430343257771</v>
      </c>
      <c r="K3250">
        <v>722.80297626787672</v>
      </c>
      <c r="L3250">
        <v>0</v>
      </c>
      <c r="M3250" t="s">
        <v>69</v>
      </c>
    </row>
    <row r="3251" spans="1:13" x14ac:dyDescent="0.3">
      <c r="A3251" t="s">
        <v>19</v>
      </c>
      <c r="B3251" t="s">
        <v>48</v>
      </c>
      <c r="C3251">
        <v>28.81833368585211</v>
      </c>
      <c r="D3251">
        <v>1.016762139787204</v>
      </c>
      <c r="E3251">
        <v>1.0416576037688621</v>
      </c>
      <c r="F3251">
        <v>3.998264887150198</v>
      </c>
      <c r="G3251">
        <v>6.0552208124811342</v>
      </c>
      <c r="H3251">
        <v>15.671172097141531</v>
      </c>
      <c r="I3251">
        <v>29.875105365618701</v>
      </c>
      <c r="J3251">
        <v>25.6821502096778</v>
      </c>
      <c r="K3251">
        <v>1167.712342171825</v>
      </c>
      <c r="L3251">
        <v>0</v>
      </c>
      <c r="M3251" t="s">
        <v>69</v>
      </c>
    </row>
    <row r="3252" spans="1:13" x14ac:dyDescent="0.3">
      <c r="A3252" t="s">
        <v>21</v>
      </c>
      <c r="B3252" t="s">
        <v>52</v>
      </c>
      <c r="C3252">
        <v>30.436285016652668</v>
      </c>
      <c r="D3252">
        <v>1.033775620098432</v>
      </c>
      <c r="E3252">
        <v>1.9686242701101351</v>
      </c>
      <c r="F3252">
        <v>4.3259129347347756</v>
      </c>
      <c r="G3252">
        <v>6.1669244196100017</v>
      </c>
      <c r="H3252">
        <v>24.871464784150959</v>
      </c>
      <c r="I3252">
        <v>23.745767078609941</v>
      </c>
      <c r="J3252">
        <v>23.89438487619632</v>
      </c>
      <c r="K3252">
        <v>1215.6554360495099</v>
      </c>
      <c r="L3252">
        <v>0</v>
      </c>
      <c r="M3252" t="s">
        <v>69</v>
      </c>
    </row>
    <row r="3253" spans="1:13" x14ac:dyDescent="0.3">
      <c r="A3253" t="s">
        <v>20</v>
      </c>
      <c r="B3253" t="s">
        <v>49</v>
      </c>
      <c r="C3253">
        <v>28.4438951935382</v>
      </c>
      <c r="D3253">
        <v>0.94306991054014588</v>
      </c>
      <c r="E3253">
        <v>0.89068522469707556</v>
      </c>
      <c r="F3253">
        <v>4.0176215043390293</v>
      </c>
      <c r="G3253">
        <v>6.0347374176160802</v>
      </c>
      <c r="H3253">
        <v>16.568031197138762</v>
      </c>
      <c r="I3253">
        <v>31.211181530741399</v>
      </c>
      <c r="J3253">
        <v>24.93439419216276</v>
      </c>
      <c r="K3253">
        <v>1156.343905366567</v>
      </c>
      <c r="L3253">
        <v>0</v>
      </c>
      <c r="M3253" t="s">
        <v>69</v>
      </c>
    </row>
    <row r="3254" spans="1:13" x14ac:dyDescent="0.3">
      <c r="A3254" t="s">
        <v>19</v>
      </c>
      <c r="B3254" t="s">
        <v>45</v>
      </c>
      <c r="C3254">
        <v>21.137650963769872</v>
      </c>
      <c r="D3254">
        <v>1.1474457477022719</v>
      </c>
      <c r="E3254">
        <v>1.1134537373780991</v>
      </c>
      <c r="F3254">
        <v>2.8723429518651131</v>
      </c>
      <c r="G3254">
        <v>6.1301696671987198</v>
      </c>
      <c r="H3254">
        <v>19.57563260495554</v>
      </c>
      <c r="I3254">
        <v>31.838859687131741</v>
      </c>
      <c r="J3254">
        <v>22.992446759355861</v>
      </c>
      <c r="K3254">
        <v>1334.9877059229909</v>
      </c>
      <c r="L3254">
        <v>0</v>
      </c>
      <c r="M3254" t="s">
        <v>69</v>
      </c>
    </row>
    <row r="3255" spans="1:13" x14ac:dyDescent="0.3">
      <c r="A3255" t="s">
        <v>24</v>
      </c>
      <c r="B3255" t="s">
        <v>58</v>
      </c>
      <c r="C3255">
        <v>29.55459477580365</v>
      </c>
      <c r="D3255">
        <v>0.97292545993578239</v>
      </c>
      <c r="E3255">
        <v>2.08065373874941</v>
      </c>
      <c r="F3255">
        <v>3.751836963642095</v>
      </c>
      <c r="G3255">
        <v>6.9605091452014296</v>
      </c>
      <c r="H3255">
        <v>33.485470808822491</v>
      </c>
      <c r="I3255">
        <v>25.748961759357819</v>
      </c>
      <c r="J3255">
        <v>23.144681509838382</v>
      </c>
      <c r="K3255">
        <v>740.23320106181609</v>
      </c>
      <c r="L3255">
        <v>0</v>
      </c>
      <c r="M3255" t="s">
        <v>69</v>
      </c>
    </row>
    <row r="3256" spans="1:13" x14ac:dyDescent="0.3">
      <c r="A3256" t="s">
        <v>25</v>
      </c>
      <c r="B3256" t="s">
        <v>62</v>
      </c>
      <c r="C3256">
        <v>24.554440793694379</v>
      </c>
      <c r="D3256">
        <v>1.0465047282447759</v>
      </c>
      <c r="E3256">
        <v>0.95769620403451672</v>
      </c>
      <c r="F3256">
        <v>2.957137527516029</v>
      </c>
      <c r="G3256">
        <v>6.2461104976554829</v>
      </c>
      <c r="H3256">
        <v>64.793075704503082</v>
      </c>
      <c r="I3256">
        <v>20.966464945242659</v>
      </c>
      <c r="J3256">
        <v>23.03888768024137</v>
      </c>
      <c r="K3256">
        <v>1208.7492259053761</v>
      </c>
      <c r="L3256">
        <v>0</v>
      </c>
      <c r="M3256" t="s">
        <v>69</v>
      </c>
    </row>
    <row r="3257" spans="1:13" x14ac:dyDescent="0.3">
      <c r="A3257" t="s">
        <v>24</v>
      </c>
      <c r="B3257" t="s">
        <v>58</v>
      </c>
      <c r="C3257">
        <v>12.86284689362051</v>
      </c>
      <c r="D3257">
        <v>0</v>
      </c>
      <c r="E3257">
        <v>0</v>
      </c>
      <c r="F3257">
        <v>1.7591543677107051</v>
      </c>
      <c r="G3257">
        <v>6.4844103329785154</v>
      </c>
      <c r="H3257">
        <v>42.950686550254296</v>
      </c>
      <c r="I3257">
        <v>24.589565992416478</v>
      </c>
      <c r="J3257">
        <v>23.063060080210811</v>
      </c>
      <c r="K3257">
        <v>755.16077908575971</v>
      </c>
      <c r="L3257">
        <v>0</v>
      </c>
      <c r="M3257" t="s">
        <v>69</v>
      </c>
    </row>
    <row r="3258" spans="1:13" x14ac:dyDescent="0.3">
      <c r="A3258" t="s">
        <v>25</v>
      </c>
      <c r="B3258" t="s">
        <v>62</v>
      </c>
      <c r="C3258">
        <v>236.57362074502231</v>
      </c>
      <c r="D3258">
        <v>18.458372570241739</v>
      </c>
      <c r="E3258">
        <v>29.029341772277629</v>
      </c>
      <c r="F3258">
        <v>63.569782994231609</v>
      </c>
      <c r="G3258">
        <v>4.3</v>
      </c>
      <c r="H3258">
        <v>73.830464553674744</v>
      </c>
      <c r="I3258">
        <v>29.207550388677451</v>
      </c>
      <c r="J3258">
        <v>23.189851594308131</v>
      </c>
      <c r="K3258">
        <v>712.74978873309044</v>
      </c>
      <c r="L3258">
        <v>0</v>
      </c>
      <c r="M3258" t="s">
        <v>69</v>
      </c>
    </row>
    <row r="3259" spans="1:13" x14ac:dyDescent="0.3">
      <c r="A3259" t="s">
        <v>19</v>
      </c>
      <c r="B3259" t="s">
        <v>44</v>
      </c>
      <c r="C3259">
        <v>18.270422136500041</v>
      </c>
      <c r="D3259">
        <v>0.99987672846829545</v>
      </c>
      <c r="E3259">
        <v>0.93411794037109441</v>
      </c>
      <c r="F3259">
        <v>3.348581332987365</v>
      </c>
      <c r="G3259">
        <v>6.2410644130512321</v>
      </c>
      <c r="H3259">
        <v>14.09021215667206</v>
      </c>
      <c r="I3259">
        <v>25.596494222242558</v>
      </c>
      <c r="J3259">
        <v>23.68560649246723</v>
      </c>
      <c r="K3259">
        <v>1326.5261320720749</v>
      </c>
      <c r="L3259">
        <v>0</v>
      </c>
      <c r="M3259" t="s">
        <v>69</v>
      </c>
    </row>
    <row r="3260" spans="1:13" x14ac:dyDescent="0.3">
      <c r="A3260" t="s">
        <v>21</v>
      </c>
      <c r="B3260" t="s">
        <v>52</v>
      </c>
      <c r="C3260">
        <v>125.75546365084671</v>
      </c>
      <c r="D3260">
        <v>5.6972072631726327</v>
      </c>
      <c r="E3260">
        <v>8.1114445680229466</v>
      </c>
      <c r="F3260">
        <v>20.3824219552538</v>
      </c>
      <c r="G3260">
        <v>5.5191500043775639</v>
      </c>
      <c r="H3260">
        <v>58.201130317565699</v>
      </c>
      <c r="I3260">
        <v>28.22654698639538</v>
      </c>
      <c r="J3260">
        <v>25.263468267051611</v>
      </c>
      <c r="K3260">
        <v>741.52351623291759</v>
      </c>
      <c r="L3260">
        <v>0</v>
      </c>
      <c r="M3260" t="s">
        <v>69</v>
      </c>
    </row>
    <row r="3261" spans="1:13" x14ac:dyDescent="0.3">
      <c r="A3261" t="s">
        <v>19</v>
      </c>
      <c r="B3261" t="s">
        <v>48</v>
      </c>
      <c r="C3261">
        <v>34.424871649795897</v>
      </c>
      <c r="D3261">
        <v>0.99938250002423201</v>
      </c>
      <c r="E3261">
        <v>1.9042289390152189</v>
      </c>
      <c r="F3261">
        <v>5.0499425431467806</v>
      </c>
      <c r="G3261">
        <v>6.2972665591753012</v>
      </c>
      <c r="H3261">
        <v>16.909648450481569</v>
      </c>
      <c r="I3261">
        <v>31.322340735572581</v>
      </c>
      <c r="J3261">
        <v>25.2734385133929</v>
      </c>
      <c r="K3261">
        <v>1188.4007798396001</v>
      </c>
      <c r="L3261">
        <v>0</v>
      </c>
      <c r="M3261" t="s">
        <v>69</v>
      </c>
    </row>
    <row r="3262" spans="1:13" x14ac:dyDescent="0.3">
      <c r="A3262" t="s">
        <v>20</v>
      </c>
      <c r="B3262" t="s">
        <v>49</v>
      </c>
      <c r="C3262">
        <v>38.103630250880542</v>
      </c>
      <c r="D3262">
        <v>0.99030420642871109</v>
      </c>
      <c r="E3262">
        <v>2.003190332306056</v>
      </c>
      <c r="F3262">
        <v>5.9830852412019428</v>
      </c>
      <c r="G3262">
        <v>6.218819802974954</v>
      </c>
      <c r="H3262">
        <v>16.4034559781383</v>
      </c>
      <c r="I3262">
        <v>31.3866375053829</v>
      </c>
      <c r="J3262">
        <v>26.01019252560652</v>
      </c>
      <c r="K3262">
        <v>1159.584009337214</v>
      </c>
      <c r="L3262">
        <v>0</v>
      </c>
      <c r="M3262" t="s">
        <v>69</v>
      </c>
    </row>
    <row r="3263" spans="1:13" x14ac:dyDescent="0.3">
      <c r="A3263" t="s">
        <v>21</v>
      </c>
      <c r="B3263" t="s">
        <v>52</v>
      </c>
      <c r="C3263">
        <v>131.93396435894681</v>
      </c>
      <c r="D3263">
        <v>5.5926860676247916</v>
      </c>
      <c r="E3263">
        <v>9.0152532278920727</v>
      </c>
      <c r="F3263">
        <v>20.93560733730186</v>
      </c>
      <c r="G3263">
        <v>5.5066631352805926</v>
      </c>
      <c r="H3263">
        <v>56.696617811542382</v>
      </c>
      <c r="I3263">
        <v>28.442292023687941</v>
      </c>
      <c r="J3263">
        <v>25.246288719121139</v>
      </c>
      <c r="K3263">
        <v>746.23113979117795</v>
      </c>
      <c r="L3263">
        <v>0</v>
      </c>
      <c r="M3263" t="s">
        <v>69</v>
      </c>
    </row>
    <row r="3264" spans="1:13" x14ac:dyDescent="0.3">
      <c r="A3264" t="s">
        <v>19</v>
      </c>
      <c r="B3264" t="s">
        <v>45</v>
      </c>
      <c r="C3264">
        <v>20.56842961495337</v>
      </c>
      <c r="D3264">
        <v>1.086184362155781</v>
      </c>
      <c r="E3264">
        <v>1.124931474516716</v>
      </c>
      <c r="F3264">
        <v>2.6598422396196799</v>
      </c>
      <c r="G3264">
        <v>6.244792060749532</v>
      </c>
      <c r="H3264">
        <v>19.139541127060841</v>
      </c>
      <c r="I3264">
        <v>31.877847761109269</v>
      </c>
      <c r="J3264">
        <v>23.9615212554484</v>
      </c>
      <c r="K3264">
        <v>1321.538458193018</v>
      </c>
      <c r="L3264">
        <v>0</v>
      </c>
      <c r="M3264" t="s">
        <v>69</v>
      </c>
    </row>
    <row r="3265" spans="1:13" x14ac:dyDescent="0.3">
      <c r="A3265" t="s">
        <v>24</v>
      </c>
      <c r="B3265" t="s">
        <v>58</v>
      </c>
      <c r="C3265">
        <v>35.974998189471073</v>
      </c>
      <c r="D3265">
        <v>0.94097068355195956</v>
      </c>
      <c r="E3265">
        <v>2.0237388148920492</v>
      </c>
      <c r="F3265">
        <v>4.6557507513888421</v>
      </c>
      <c r="G3265">
        <v>6.8406595877558729</v>
      </c>
      <c r="H3265">
        <v>56.618635163945193</v>
      </c>
      <c r="I3265">
        <v>24.410455501843071</v>
      </c>
      <c r="J3265">
        <v>22.429247775491181</v>
      </c>
      <c r="K3265">
        <v>743.1021809489265</v>
      </c>
      <c r="L3265">
        <v>0</v>
      </c>
      <c r="M3265" t="s">
        <v>69</v>
      </c>
    </row>
    <row r="3266" spans="1:13" x14ac:dyDescent="0.3">
      <c r="A3266" t="s">
        <v>24</v>
      </c>
      <c r="B3266" t="s">
        <v>58</v>
      </c>
      <c r="C3266">
        <v>34.441092041884133</v>
      </c>
      <c r="D3266">
        <v>1.0645852221902909</v>
      </c>
      <c r="E3266">
        <v>1.94532866910219</v>
      </c>
      <c r="F3266">
        <v>5.0969943136778628</v>
      </c>
      <c r="G3266">
        <v>6.7782787537180704</v>
      </c>
      <c r="H3266">
        <v>60.581295156281001</v>
      </c>
      <c r="I3266">
        <v>24.202359489794631</v>
      </c>
      <c r="J3266">
        <v>21.628369391320401</v>
      </c>
      <c r="K3266">
        <v>733.71128887446037</v>
      </c>
      <c r="L3266">
        <v>0</v>
      </c>
      <c r="M3266" t="s">
        <v>69</v>
      </c>
    </row>
    <row r="3267" spans="1:13" x14ac:dyDescent="0.3">
      <c r="A3267" t="s">
        <v>19</v>
      </c>
      <c r="B3267" t="s">
        <v>44</v>
      </c>
      <c r="C3267">
        <v>23.01210559153041</v>
      </c>
      <c r="D3267">
        <v>1.0369734585304551</v>
      </c>
      <c r="E3267">
        <v>1.083828206349027</v>
      </c>
      <c r="F3267">
        <v>3.3599068600382651</v>
      </c>
      <c r="G3267">
        <v>6.6011554328005708</v>
      </c>
      <c r="H3267">
        <v>18.716996869996869</v>
      </c>
      <c r="I3267">
        <v>27.327960509192341</v>
      </c>
      <c r="J3267">
        <v>24.605814989940448</v>
      </c>
      <c r="K3267">
        <v>1332.920528312141</v>
      </c>
      <c r="L3267">
        <v>0</v>
      </c>
      <c r="M3267" t="s">
        <v>69</v>
      </c>
    </row>
    <row r="3268" spans="1:13" x14ac:dyDescent="0.3">
      <c r="A3268" t="s">
        <v>21</v>
      </c>
      <c r="B3268" t="s">
        <v>52</v>
      </c>
      <c r="C3268">
        <v>138.66301567311609</v>
      </c>
      <c r="D3268">
        <v>5.8470380173058558</v>
      </c>
      <c r="E3268">
        <v>9.4489362863965702</v>
      </c>
      <c r="F3268">
        <v>20.343867696087731</v>
      </c>
      <c r="G3268">
        <v>5.6475034453689084</v>
      </c>
      <c r="H3268">
        <v>54.549191101214213</v>
      </c>
      <c r="I3268">
        <v>26.661858211277689</v>
      </c>
      <c r="J3268">
        <v>24.509880418688251</v>
      </c>
      <c r="K3268">
        <v>752.60359376676604</v>
      </c>
      <c r="L3268">
        <v>0</v>
      </c>
      <c r="M3268" t="s">
        <v>69</v>
      </c>
    </row>
    <row r="3269" spans="1:13" x14ac:dyDescent="0.3">
      <c r="A3269" t="s">
        <v>21</v>
      </c>
      <c r="B3269" t="s">
        <v>52</v>
      </c>
      <c r="C3269">
        <v>30.362389427698989</v>
      </c>
      <c r="D3269">
        <v>1.0611060964320069</v>
      </c>
      <c r="E3269">
        <v>2.1625258471896411</v>
      </c>
      <c r="F3269">
        <v>6.0094227926592438</v>
      </c>
      <c r="G3269">
        <v>6.0158416334018119</v>
      </c>
      <c r="H3269">
        <v>21.40820500615267</v>
      </c>
      <c r="I3269">
        <v>32.700704795533511</v>
      </c>
      <c r="J3269">
        <v>25.249373298544999</v>
      </c>
      <c r="K3269">
        <v>1188.7737665926011</v>
      </c>
      <c r="L3269">
        <v>0</v>
      </c>
      <c r="M3269" t="s">
        <v>69</v>
      </c>
    </row>
    <row r="3270" spans="1:13" x14ac:dyDescent="0.3">
      <c r="A3270" t="s">
        <v>19</v>
      </c>
      <c r="B3270" t="s">
        <v>48</v>
      </c>
      <c r="C3270">
        <v>38.902787237888212</v>
      </c>
      <c r="D3270">
        <v>1.140662286557564</v>
      </c>
      <c r="E3270">
        <v>2.0140995038625338</v>
      </c>
      <c r="F3270">
        <v>5.8042235289812023</v>
      </c>
      <c r="G3270">
        <v>6.169001948159508</v>
      </c>
      <c r="H3270">
        <v>16.91100192344825</v>
      </c>
      <c r="I3270">
        <v>32.250353134979079</v>
      </c>
      <c r="J3270">
        <v>26.799974244925341</v>
      </c>
      <c r="K3270">
        <v>1181.6228142340019</v>
      </c>
      <c r="L3270">
        <v>0</v>
      </c>
      <c r="M3270" t="s">
        <v>69</v>
      </c>
    </row>
    <row r="3271" spans="1:13" x14ac:dyDescent="0.3">
      <c r="A3271" t="s">
        <v>19</v>
      </c>
      <c r="B3271" t="s">
        <v>44</v>
      </c>
      <c r="C3271">
        <v>20.69075415323988</v>
      </c>
      <c r="D3271">
        <v>1.002239568211531</v>
      </c>
      <c r="E3271">
        <v>1.086763701276247</v>
      </c>
      <c r="F3271">
        <v>2.9040796243232929</v>
      </c>
      <c r="G3271">
        <v>6.1348857230530589</v>
      </c>
      <c r="H3271">
        <v>15.764581021280661</v>
      </c>
      <c r="I3271">
        <v>25.705856278838269</v>
      </c>
      <c r="J3271">
        <v>24.099854908456109</v>
      </c>
      <c r="K3271">
        <v>1324.657671359186</v>
      </c>
      <c r="L3271">
        <v>0</v>
      </c>
      <c r="M3271" t="s">
        <v>69</v>
      </c>
    </row>
    <row r="3272" spans="1:13" x14ac:dyDescent="0.3">
      <c r="A3272" t="s">
        <v>19</v>
      </c>
      <c r="B3272" t="s">
        <v>48</v>
      </c>
      <c r="C3272">
        <v>29.137338127906219</v>
      </c>
      <c r="D3272">
        <v>0.98834995096624745</v>
      </c>
      <c r="E3272">
        <v>1.8122359501164931</v>
      </c>
      <c r="F3272">
        <v>5.7273300890006222</v>
      </c>
      <c r="G3272">
        <v>6.0444531929488674</v>
      </c>
      <c r="H3272">
        <v>26.017862185888401</v>
      </c>
      <c r="I3272">
        <v>32.045248289861462</v>
      </c>
      <c r="J3272">
        <v>25.780269681524249</v>
      </c>
      <c r="K3272">
        <v>1170.903450957891</v>
      </c>
      <c r="L3272">
        <v>0</v>
      </c>
      <c r="M3272" t="s">
        <v>69</v>
      </c>
    </row>
    <row r="3273" spans="1:13" x14ac:dyDescent="0.3">
      <c r="A3273" t="s">
        <v>20</v>
      </c>
      <c r="B3273" t="s">
        <v>49</v>
      </c>
      <c r="C3273">
        <v>41.927338749200892</v>
      </c>
      <c r="D3273">
        <v>1.568494453694784</v>
      </c>
      <c r="E3273">
        <v>3.054826189780707</v>
      </c>
      <c r="F3273">
        <v>6.3248917848143229</v>
      </c>
      <c r="G3273">
        <v>6.0866180533907457</v>
      </c>
      <c r="H3273">
        <v>20.696877957506821</v>
      </c>
      <c r="I3273">
        <v>32.268619886481282</v>
      </c>
      <c r="J3273">
        <v>26.792513906914031</v>
      </c>
      <c r="K3273">
        <v>1151.801833541964</v>
      </c>
      <c r="L3273">
        <v>0</v>
      </c>
      <c r="M3273" t="s">
        <v>69</v>
      </c>
    </row>
    <row r="3274" spans="1:13" x14ac:dyDescent="0.3">
      <c r="A3274" t="s">
        <v>25</v>
      </c>
      <c r="B3274" t="s">
        <v>62</v>
      </c>
      <c r="C3274">
        <v>40.828150811130421</v>
      </c>
      <c r="D3274">
        <v>1.874605135209277</v>
      </c>
      <c r="E3274">
        <v>2.9059883602098422</v>
      </c>
      <c r="F3274">
        <v>6.5258998234341679</v>
      </c>
      <c r="G3274">
        <v>6.0664569830073063</v>
      </c>
      <c r="H3274">
        <v>20.59996946183983</v>
      </c>
      <c r="I3274">
        <v>31.89696911194153</v>
      </c>
      <c r="J3274">
        <v>25.370700970006901</v>
      </c>
      <c r="K3274">
        <v>1198.5969619369059</v>
      </c>
      <c r="L3274">
        <v>0</v>
      </c>
      <c r="M3274" t="s">
        <v>69</v>
      </c>
    </row>
    <row r="3275" spans="1:13" x14ac:dyDescent="0.3">
      <c r="A3275" t="s">
        <v>25</v>
      </c>
      <c r="B3275" t="s">
        <v>62</v>
      </c>
      <c r="C3275">
        <v>25.5757820967365</v>
      </c>
      <c r="D3275">
        <v>1.001992404603947</v>
      </c>
      <c r="E3275">
        <v>0.87121955162807563</v>
      </c>
      <c r="F3275">
        <v>3.1323196969868232</v>
      </c>
      <c r="G3275">
        <v>6.2906714925771841</v>
      </c>
      <c r="H3275">
        <v>68.015692535690093</v>
      </c>
      <c r="I3275">
        <v>20.86885284924486</v>
      </c>
      <c r="J3275">
        <v>23.912310735411491</v>
      </c>
      <c r="K3275">
        <v>1212.129876713725</v>
      </c>
      <c r="L3275">
        <v>0</v>
      </c>
      <c r="M3275" t="s">
        <v>69</v>
      </c>
    </row>
    <row r="3276" spans="1:13" x14ac:dyDescent="0.3">
      <c r="A3276" t="s">
        <v>19</v>
      </c>
      <c r="B3276" t="s">
        <v>48</v>
      </c>
      <c r="C3276">
        <v>27.523431944328831</v>
      </c>
      <c r="D3276">
        <v>1.017114111691549</v>
      </c>
      <c r="E3276">
        <v>1.045925815690256</v>
      </c>
      <c r="F3276">
        <v>4.1648062425365184</v>
      </c>
      <c r="G3276">
        <v>6.01627298320496</v>
      </c>
      <c r="H3276">
        <v>16.026878539556499</v>
      </c>
      <c r="I3276">
        <v>30.617933890903391</v>
      </c>
      <c r="J3276">
        <v>26.024371781038621</v>
      </c>
      <c r="K3276">
        <v>1167.9724809355951</v>
      </c>
      <c r="L3276">
        <v>0</v>
      </c>
      <c r="M3276" t="s">
        <v>69</v>
      </c>
    </row>
    <row r="3277" spans="1:13" x14ac:dyDescent="0.3">
      <c r="A3277" t="s">
        <v>20</v>
      </c>
      <c r="B3277" t="s">
        <v>49</v>
      </c>
      <c r="C3277">
        <v>46.225394255516619</v>
      </c>
      <c r="D3277">
        <v>2.3859376475022351</v>
      </c>
      <c r="E3277">
        <v>2.3577067180618201</v>
      </c>
      <c r="F3277">
        <v>6.3798279707550094</v>
      </c>
      <c r="G3277">
        <v>6.2126843873831747</v>
      </c>
      <c r="H3277">
        <v>18.24281992102792</v>
      </c>
      <c r="I3277">
        <v>33.86919694980255</v>
      </c>
      <c r="J3277">
        <v>24.96618896636209</v>
      </c>
      <c r="K3277">
        <v>1152.4128114965099</v>
      </c>
      <c r="L3277">
        <v>0</v>
      </c>
      <c r="M3277" t="s">
        <v>69</v>
      </c>
    </row>
    <row r="3278" spans="1:13" x14ac:dyDescent="0.3">
      <c r="A3278" t="s">
        <v>19</v>
      </c>
      <c r="B3278" t="s">
        <v>46</v>
      </c>
      <c r="C3278">
        <v>17.495935917496311</v>
      </c>
      <c r="D3278">
        <v>0</v>
      </c>
      <c r="E3278">
        <v>1.1299155916344059</v>
      </c>
      <c r="F3278">
        <v>3.488381454781798</v>
      </c>
      <c r="G3278">
        <v>5.2689024299360803</v>
      </c>
      <c r="H3278">
        <v>14.54094738022477</v>
      </c>
      <c r="I3278">
        <v>31.159621448974061</v>
      </c>
      <c r="J3278">
        <v>24.352846877520712</v>
      </c>
      <c r="K3278">
        <v>1358.3432470659329</v>
      </c>
      <c r="L3278">
        <v>0</v>
      </c>
      <c r="M3278" t="s">
        <v>69</v>
      </c>
    </row>
    <row r="3279" spans="1:13" x14ac:dyDescent="0.3">
      <c r="A3279" t="s">
        <v>24</v>
      </c>
      <c r="B3279" t="s">
        <v>57</v>
      </c>
      <c r="C3279">
        <v>7.6585935386133031</v>
      </c>
      <c r="D3279">
        <v>0</v>
      </c>
      <c r="E3279">
        <v>0</v>
      </c>
      <c r="F3279">
        <v>1.074810080583084</v>
      </c>
      <c r="G3279">
        <v>5.9676401079191432</v>
      </c>
      <c r="H3279">
        <v>37.571814618598601</v>
      </c>
      <c r="I3279">
        <v>23.519716466781521</v>
      </c>
      <c r="J3279">
        <v>21.667937805607099</v>
      </c>
      <c r="K3279">
        <v>729.38779819561955</v>
      </c>
      <c r="L3279">
        <v>0</v>
      </c>
      <c r="M3279" t="s">
        <v>69</v>
      </c>
    </row>
    <row r="3280" spans="1:13" x14ac:dyDescent="0.3">
      <c r="A3280" t="s">
        <v>24</v>
      </c>
      <c r="B3280" t="s">
        <v>59</v>
      </c>
      <c r="C3280">
        <v>59.865399509065881</v>
      </c>
      <c r="D3280">
        <v>1.9511239627733059</v>
      </c>
      <c r="E3280">
        <v>4.2705414758879368</v>
      </c>
      <c r="F3280">
        <v>9.6649481718898258</v>
      </c>
      <c r="G3280">
        <v>6.7511145899859262</v>
      </c>
      <c r="H3280">
        <v>59.001783911475911</v>
      </c>
      <c r="I3280">
        <v>26.341405675767</v>
      </c>
      <c r="J3280">
        <v>22.724520905546498</v>
      </c>
      <c r="K3280">
        <v>736.72182600721544</v>
      </c>
      <c r="L3280">
        <v>0</v>
      </c>
      <c r="M3280" t="s">
        <v>69</v>
      </c>
    </row>
    <row r="3281" spans="1:13" x14ac:dyDescent="0.3">
      <c r="A3281" t="s">
        <v>24</v>
      </c>
      <c r="B3281" t="s">
        <v>58</v>
      </c>
      <c r="C3281">
        <v>12.37799079063673</v>
      </c>
      <c r="D3281">
        <v>0</v>
      </c>
      <c r="E3281">
        <v>0</v>
      </c>
      <c r="F3281">
        <v>2.1230050003372831</v>
      </c>
      <c r="G3281">
        <v>6.3530657231214338</v>
      </c>
      <c r="H3281">
        <v>44.542740079708651</v>
      </c>
      <c r="I3281">
        <v>25.31092149180628</v>
      </c>
      <c r="J3281">
        <v>22.703528272494069</v>
      </c>
      <c r="K3281">
        <v>747.14465934133852</v>
      </c>
      <c r="L3281">
        <v>0</v>
      </c>
      <c r="M3281" t="s">
        <v>69</v>
      </c>
    </row>
    <row r="3282" spans="1:13" x14ac:dyDescent="0.3">
      <c r="A3282" t="s">
        <v>24</v>
      </c>
      <c r="B3282" t="s">
        <v>58</v>
      </c>
      <c r="C3282">
        <v>28.508813707753021</v>
      </c>
      <c r="D3282">
        <v>0.91766434399696006</v>
      </c>
      <c r="E3282">
        <v>2.2231659295696988</v>
      </c>
      <c r="F3282">
        <v>4.3381471602714061</v>
      </c>
      <c r="G3282">
        <v>6.2095764278158798</v>
      </c>
      <c r="H3282">
        <v>38.997665450978893</v>
      </c>
      <c r="I3282">
        <v>23.476099885954461</v>
      </c>
      <c r="J3282">
        <v>23.043796971888501</v>
      </c>
      <c r="K3282">
        <v>730.41502868585781</v>
      </c>
      <c r="L3282">
        <v>0</v>
      </c>
      <c r="M3282" t="s">
        <v>69</v>
      </c>
    </row>
    <row r="3283" spans="1:13" x14ac:dyDescent="0.3">
      <c r="A3283" t="s">
        <v>24</v>
      </c>
      <c r="B3283" t="s">
        <v>58</v>
      </c>
      <c r="C3283">
        <v>35.210440546454777</v>
      </c>
      <c r="D3283">
        <v>0.99648480776608528</v>
      </c>
      <c r="E3283">
        <v>1.9054353197015279</v>
      </c>
      <c r="F3283">
        <v>4.7469871680714899</v>
      </c>
      <c r="G3283">
        <v>6.9788832356499224</v>
      </c>
      <c r="H3283">
        <v>57.791233849663868</v>
      </c>
      <c r="I3283">
        <v>24.286423968306259</v>
      </c>
      <c r="J3283">
        <v>23.291302636198989</v>
      </c>
      <c r="K3283">
        <v>721.17309467672487</v>
      </c>
      <c r="L3283">
        <v>0</v>
      </c>
      <c r="M3283" t="s">
        <v>69</v>
      </c>
    </row>
    <row r="3284" spans="1:13" x14ac:dyDescent="0.3">
      <c r="A3284" t="s">
        <v>19</v>
      </c>
      <c r="B3284" t="s">
        <v>48</v>
      </c>
      <c r="C3284">
        <v>45.552083108444897</v>
      </c>
      <c r="D3284">
        <v>2.118260738012653</v>
      </c>
      <c r="E3284">
        <v>2.9184110214189318</v>
      </c>
      <c r="F3284">
        <v>6.7367367277668446</v>
      </c>
      <c r="G3284">
        <v>6.0259075784161684</v>
      </c>
      <c r="H3284">
        <v>19.962632586173338</v>
      </c>
      <c r="I3284">
        <v>32.734722766598367</v>
      </c>
      <c r="J3284">
        <v>27.024883976996819</v>
      </c>
      <c r="K3284">
        <v>1180.9634441162191</v>
      </c>
      <c r="L3284">
        <v>0</v>
      </c>
      <c r="M3284" t="s">
        <v>69</v>
      </c>
    </row>
    <row r="3285" spans="1:13" x14ac:dyDescent="0.3">
      <c r="A3285" t="s">
        <v>19</v>
      </c>
      <c r="B3285" t="s">
        <v>48</v>
      </c>
      <c r="C3285">
        <v>38.366592441020288</v>
      </c>
      <c r="D3285">
        <v>1.421340345945644</v>
      </c>
      <c r="E3285">
        <v>2.7559160662737452</v>
      </c>
      <c r="F3285">
        <v>6.2801363849165446</v>
      </c>
      <c r="G3285">
        <v>6.1065145808969667</v>
      </c>
      <c r="H3285">
        <v>21.699650658286359</v>
      </c>
      <c r="I3285">
        <v>32.296946764570357</v>
      </c>
      <c r="J3285">
        <v>27.03326759225839</v>
      </c>
      <c r="K3285">
        <v>1154.91335265878</v>
      </c>
      <c r="L3285">
        <v>0</v>
      </c>
      <c r="M3285" t="s">
        <v>69</v>
      </c>
    </row>
    <row r="3286" spans="1:13" x14ac:dyDescent="0.3">
      <c r="A3286" t="s">
        <v>19</v>
      </c>
      <c r="B3286" t="s">
        <v>48</v>
      </c>
      <c r="C3286">
        <v>39.7477123031601</v>
      </c>
      <c r="D3286">
        <v>1.939785564349068</v>
      </c>
      <c r="E3286">
        <v>2.0410885416749278</v>
      </c>
      <c r="F3286">
        <v>6.2299971698328758</v>
      </c>
      <c r="G3286">
        <v>6.2023166182197826</v>
      </c>
      <c r="H3286">
        <v>17.188048852115291</v>
      </c>
      <c r="I3286">
        <v>32.65635752142974</v>
      </c>
      <c r="J3286">
        <v>25.96361710050817</v>
      </c>
      <c r="K3286">
        <v>1151.18967806616</v>
      </c>
      <c r="L3286">
        <v>0</v>
      </c>
      <c r="M3286" t="s">
        <v>69</v>
      </c>
    </row>
    <row r="3287" spans="1:13" x14ac:dyDescent="0.3">
      <c r="A3287" t="s">
        <v>19</v>
      </c>
      <c r="B3287" t="s">
        <v>48</v>
      </c>
      <c r="C3287">
        <v>50.553003513722757</v>
      </c>
      <c r="D3287">
        <v>2.3463396736609119</v>
      </c>
      <c r="E3287">
        <v>3.5853297657063798</v>
      </c>
      <c r="F3287">
        <v>8.1174542973929427</v>
      </c>
      <c r="G3287">
        <v>6.2947467801696133</v>
      </c>
      <c r="H3287">
        <v>19.98664963602776</v>
      </c>
      <c r="I3287">
        <v>33.206625614033783</v>
      </c>
      <c r="J3287">
        <v>26.22418060036069</v>
      </c>
      <c r="K3287">
        <v>1166.758143029625</v>
      </c>
      <c r="L3287">
        <v>0</v>
      </c>
      <c r="M3287" t="s">
        <v>69</v>
      </c>
    </row>
    <row r="3288" spans="1:13" x14ac:dyDescent="0.3">
      <c r="A3288" t="s">
        <v>19</v>
      </c>
      <c r="B3288" t="s">
        <v>45</v>
      </c>
      <c r="C3288">
        <v>19.899592004840201</v>
      </c>
      <c r="D3288">
        <v>1.0306708008854331</v>
      </c>
      <c r="E3288">
        <v>1.068332243884228</v>
      </c>
      <c r="F3288">
        <v>3.18529448491917</v>
      </c>
      <c r="G3288">
        <v>6.1594690102679461</v>
      </c>
      <c r="H3288">
        <v>18.397809675765441</v>
      </c>
      <c r="I3288">
        <v>31.494731600212759</v>
      </c>
      <c r="J3288">
        <v>24.29215466584278</v>
      </c>
      <c r="K3288">
        <v>1324.440317919747</v>
      </c>
      <c r="L3288">
        <v>0</v>
      </c>
      <c r="M3288" t="s">
        <v>69</v>
      </c>
    </row>
    <row r="3289" spans="1:13" x14ac:dyDescent="0.3">
      <c r="A3289" t="s">
        <v>21</v>
      </c>
      <c r="B3289" t="s">
        <v>52</v>
      </c>
      <c r="C3289">
        <v>139.13640599457949</v>
      </c>
      <c r="D3289">
        <v>5.6753188416277123</v>
      </c>
      <c r="E3289">
        <v>9.6746045151145736</v>
      </c>
      <c r="F3289">
        <v>20.71172112764884</v>
      </c>
      <c r="G3289">
        <v>5.6056544583326513</v>
      </c>
      <c r="H3289">
        <v>55.033113347757208</v>
      </c>
      <c r="I3289">
        <v>26.769258072681669</v>
      </c>
      <c r="J3289">
        <v>24.349458678403721</v>
      </c>
      <c r="K3289">
        <v>755.92498405293736</v>
      </c>
      <c r="L3289">
        <v>0</v>
      </c>
      <c r="M3289" t="s">
        <v>69</v>
      </c>
    </row>
    <row r="3290" spans="1:13" x14ac:dyDescent="0.3">
      <c r="A3290" t="s">
        <v>19</v>
      </c>
      <c r="B3290" t="s">
        <v>48</v>
      </c>
      <c r="C3290">
        <v>27.68032388198128</v>
      </c>
      <c r="D3290">
        <v>1.0680866751240941</v>
      </c>
      <c r="E3290">
        <v>0.95172566673845704</v>
      </c>
      <c r="F3290">
        <v>4.3065389841643764</v>
      </c>
      <c r="G3290">
        <v>5.9377118377242466</v>
      </c>
      <c r="H3290">
        <v>15.80904739564124</v>
      </c>
      <c r="I3290">
        <v>30.391543801450901</v>
      </c>
      <c r="J3290">
        <v>26.885079389417761</v>
      </c>
      <c r="K3290">
        <v>1181.816382111263</v>
      </c>
      <c r="L3290">
        <v>0</v>
      </c>
      <c r="M3290" t="s">
        <v>69</v>
      </c>
    </row>
    <row r="3291" spans="1:13" x14ac:dyDescent="0.3">
      <c r="A3291" t="s">
        <v>25</v>
      </c>
      <c r="B3291" t="s">
        <v>62</v>
      </c>
      <c r="C3291">
        <v>24.656944472441619</v>
      </c>
      <c r="D3291">
        <v>1.235723963074584</v>
      </c>
      <c r="E3291">
        <v>0.96394659773215263</v>
      </c>
      <c r="F3291">
        <v>2.7617669451478459</v>
      </c>
      <c r="G3291">
        <v>6.2572655793135112</v>
      </c>
      <c r="H3291">
        <v>66.91335562250282</v>
      </c>
      <c r="I3291">
        <v>20.399806579316959</v>
      </c>
      <c r="J3291">
        <v>24.436217091858001</v>
      </c>
      <c r="K3291">
        <v>1201.8924892762491</v>
      </c>
      <c r="L3291">
        <v>0</v>
      </c>
      <c r="M3291" t="s">
        <v>69</v>
      </c>
    </row>
    <row r="3292" spans="1:13" x14ac:dyDescent="0.3">
      <c r="A3292" t="s">
        <v>25</v>
      </c>
      <c r="B3292" t="s">
        <v>62</v>
      </c>
      <c r="C3292">
        <v>65.165878832344347</v>
      </c>
      <c r="D3292">
        <v>3.0521306258166141</v>
      </c>
      <c r="E3292">
        <v>3.763989950121347</v>
      </c>
      <c r="F3292">
        <v>9.6047644055423582</v>
      </c>
      <c r="G3292">
        <v>6.4039251598066667</v>
      </c>
      <c r="H3292">
        <v>19.021225963926511</v>
      </c>
      <c r="I3292">
        <v>32.959892826854677</v>
      </c>
      <c r="J3292">
        <v>25.581877361352461</v>
      </c>
      <c r="K3292">
        <v>1202.3151837040391</v>
      </c>
      <c r="L3292">
        <v>0</v>
      </c>
      <c r="M3292" t="s">
        <v>69</v>
      </c>
    </row>
    <row r="3293" spans="1:13" x14ac:dyDescent="0.3">
      <c r="A3293" t="s">
        <v>20</v>
      </c>
      <c r="B3293" t="s">
        <v>49</v>
      </c>
      <c r="C3293">
        <v>44.346999543643769</v>
      </c>
      <c r="D3293">
        <v>1.781830903051109</v>
      </c>
      <c r="E3293">
        <v>1.8175865158955931</v>
      </c>
      <c r="F3293">
        <v>5.0458140589067826</v>
      </c>
      <c r="G3293">
        <v>6.3415663060905674</v>
      </c>
      <c r="H3293">
        <v>17.693149892387751</v>
      </c>
      <c r="I3293">
        <v>32.04642626722422</v>
      </c>
      <c r="J3293">
        <v>26.507137317292351</v>
      </c>
      <c r="K3293">
        <v>1145.823600916342</v>
      </c>
      <c r="L3293">
        <v>0</v>
      </c>
      <c r="M3293" t="s">
        <v>69</v>
      </c>
    </row>
    <row r="3294" spans="1:13" x14ac:dyDescent="0.3">
      <c r="A3294" t="s">
        <v>25</v>
      </c>
      <c r="B3294" t="s">
        <v>62</v>
      </c>
      <c r="C3294">
        <v>254.60387886710069</v>
      </c>
      <c r="D3294">
        <v>19.51056739609631</v>
      </c>
      <c r="E3294">
        <v>24.219658466076641</v>
      </c>
      <c r="F3294">
        <v>56.074539583237829</v>
      </c>
      <c r="G3294">
        <v>4.3547376606070181</v>
      </c>
      <c r="H3294">
        <v>68.165650859138623</v>
      </c>
      <c r="I3294">
        <v>28.95149614060287</v>
      </c>
      <c r="J3294">
        <v>24.685805027116821</v>
      </c>
      <c r="K3294">
        <v>712.82784742419972</v>
      </c>
      <c r="L3294">
        <v>0</v>
      </c>
      <c r="M3294" t="s">
        <v>69</v>
      </c>
    </row>
    <row r="3295" spans="1:13" x14ac:dyDescent="0.3">
      <c r="A3295" t="s">
        <v>24</v>
      </c>
      <c r="B3295" t="s">
        <v>58</v>
      </c>
      <c r="C3295">
        <v>28.67000180159992</v>
      </c>
      <c r="D3295">
        <v>0.97124646370476242</v>
      </c>
      <c r="E3295">
        <v>2.0898674427912352</v>
      </c>
      <c r="F3295">
        <v>3.9531574011505501</v>
      </c>
      <c r="G3295">
        <v>6.8841766363917856</v>
      </c>
      <c r="H3295">
        <v>33.648249850890743</v>
      </c>
      <c r="I3295">
        <v>25.562263253994828</v>
      </c>
      <c r="J3295">
        <v>22.62745222630441</v>
      </c>
      <c r="K3295">
        <v>742.29785314653634</v>
      </c>
      <c r="L3295">
        <v>0</v>
      </c>
      <c r="M3295" t="s">
        <v>69</v>
      </c>
    </row>
    <row r="3296" spans="1:13" x14ac:dyDescent="0.3">
      <c r="A3296" t="s">
        <v>25</v>
      </c>
      <c r="B3296" t="s">
        <v>62</v>
      </c>
      <c r="C3296">
        <v>580.92222058758421</v>
      </c>
      <c r="D3296">
        <v>28.946538743425229</v>
      </c>
      <c r="E3296">
        <v>40.915817574234921</v>
      </c>
      <c r="F3296">
        <v>92.756474782453978</v>
      </c>
      <c r="G3296">
        <v>4.500823608822162</v>
      </c>
      <c r="H3296">
        <v>88.4</v>
      </c>
      <c r="I3296">
        <v>27.308982276969029</v>
      </c>
      <c r="J3296">
        <v>23.948150872194969</v>
      </c>
      <c r="K3296">
        <v>712.11125344771631</v>
      </c>
      <c r="L3296">
        <v>0</v>
      </c>
      <c r="M3296" t="s">
        <v>69</v>
      </c>
    </row>
    <row r="3297" spans="1:13" x14ac:dyDescent="0.3">
      <c r="A3297" t="s">
        <v>20</v>
      </c>
      <c r="B3297" t="s">
        <v>49</v>
      </c>
      <c r="C3297">
        <v>27.908578570345039</v>
      </c>
      <c r="D3297">
        <v>0.8296299759112542</v>
      </c>
      <c r="E3297">
        <v>2.172274450460443</v>
      </c>
      <c r="F3297">
        <v>5.9162669807911836</v>
      </c>
      <c r="G3297">
        <v>6.1778036761964081</v>
      </c>
      <c r="H3297">
        <v>20.8985191658528</v>
      </c>
      <c r="I3297">
        <v>31.148985649923549</v>
      </c>
      <c r="J3297">
        <v>25.49840245984236</v>
      </c>
      <c r="K3297">
        <v>1158.700107485575</v>
      </c>
      <c r="L3297">
        <v>0</v>
      </c>
      <c r="M3297" t="s">
        <v>69</v>
      </c>
    </row>
    <row r="3298" spans="1:13" x14ac:dyDescent="0.3">
      <c r="A3298" t="s">
        <v>25</v>
      </c>
      <c r="B3298" t="s">
        <v>62</v>
      </c>
      <c r="C3298">
        <v>579.69718294853885</v>
      </c>
      <c r="D3298">
        <v>28.86242228786811</v>
      </c>
      <c r="E3298">
        <v>41.346994458507382</v>
      </c>
      <c r="F3298">
        <v>93.125338134125172</v>
      </c>
      <c r="G3298">
        <v>4.4999011564739746</v>
      </c>
      <c r="H3298">
        <v>88.4</v>
      </c>
      <c r="I3298">
        <v>27.27691127306867</v>
      </c>
      <c r="J3298">
        <v>23.983992561363571</v>
      </c>
      <c r="K3298">
        <v>710.51941825582958</v>
      </c>
      <c r="L3298">
        <v>0</v>
      </c>
      <c r="M3298" t="s">
        <v>69</v>
      </c>
    </row>
    <row r="3299" spans="1:13" x14ac:dyDescent="0.3">
      <c r="A3299" t="s">
        <v>19</v>
      </c>
      <c r="B3299" t="s">
        <v>48</v>
      </c>
      <c r="C3299">
        <v>39.516786197793841</v>
      </c>
      <c r="D3299">
        <v>1.314923220599109</v>
      </c>
      <c r="E3299">
        <v>1.9844605022238071</v>
      </c>
      <c r="F3299">
        <v>5.8488390530993541</v>
      </c>
      <c r="G3299">
        <v>6.174449482430167</v>
      </c>
      <c r="H3299">
        <v>16.979430695101481</v>
      </c>
      <c r="I3299">
        <v>32.359790944088488</v>
      </c>
      <c r="J3299">
        <v>26.743726171418661</v>
      </c>
      <c r="K3299">
        <v>1173.533071708755</v>
      </c>
      <c r="L3299">
        <v>0</v>
      </c>
      <c r="M3299" t="s">
        <v>69</v>
      </c>
    </row>
    <row r="3300" spans="1:13" x14ac:dyDescent="0.3">
      <c r="A3300" t="s">
        <v>20</v>
      </c>
      <c r="B3300" t="s">
        <v>49</v>
      </c>
      <c r="C3300">
        <v>44.082194307827002</v>
      </c>
      <c r="D3300">
        <v>2.006700861652301</v>
      </c>
      <c r="E3300">
        <v>2.9756267124669549</v>
      </c>
      <c r="F3300">
        <v>6.0041964749347052</v>
      </c>
      <c r="G3300">
        <v>5.4972050512961541</v>
      </c>
      <c r="H3300">
        <v>19.959598433058829</v>
      </c>
      <c r="I3300">
        <v>32.304460012031157</v>
      </c>
      <c r="J3300">
        <v>25.95675588558456</v>
      </c>
      <c r="K3300">
        <v>1156.7118899059669</v>
      </c>
      <c r="L3300">
        <v>0</v>
      </c>
      <c r="M3300" t="s">
        <v>69</v>
      </c>
    </row>
    <row r="3301" spans="1:13" x14ac:dyDescent="0.3">
      <c r="A3301" t="s">
        <v>25</v>
      </c>
      <c r="B3301" t="s">
        <v>62</v>
      </c>
      <c r="C3301">
        <v>31.227651359753761</v>
      </c>
      <c r="D3301">
        <v>0.87540903180721008</v>
      </c>
      <c r="E3301">
        <v>2.0188760984781791</v>
      </c>
      <c r="F3301">
        <v>4.0148490924155986</v>
      </c>
      <c r="G3301">
        <v>6.1162624309503846</v>
      </c>
      <c r="H3301">
        <v>23.842967948465962</v>
      </c>
      <c r="I3301">
        <v>23.65586838769562</v>
      </c>
      <c r="J3301">
        <v>24.262675521446589</v>
      </c>
      <c r="K3301">
        <v>1200.748134704575</v>
      </c>
      <c r="L3301">
        <v>0</v>
      </c>
      <c r="M3301" t="s">
        <v>69</v>
      </c>
    </row>
    <row r="3302" spans="1:13" x14ac:dyDescent="0.3">
      <c r="A3302" t="s">
        <v>25</v>
      </c>
      <c r="B3302" t="s">
        <v>62</v>
      </c>
      <c r="C3302">
        <v>562.30928446347673</v>
      </c>
      <c r="D3302">
        <v>25.729002060526671</v>
      </c>
      <c r="E3302">
        <v>39.519006855029261</v>
      </c>
      <c r="F3302">
        <v>93.79997310836626</v>
      </c>
      <c r="G3302">
        <v>4.5322839736695997</v>
      </c>
      <c r="H3302">
        <v>84.191607017164102</v>
      </c>
      <c r="I3302">
        <v>27.11652661626092</v>
      </c>
      <c r="J3302">
        <v>23.412311130318539</v>
      </c>
      <c r="K3302">
        <v>711.63547672318589</v>
      </c>
      <c r="L3302">
        <v>0</v>
      </c>
      <c r="M3302" t="s">
        <v>69</v>
      </c>
    </row>
    <row r="3303" spans="1:13" x14ac:dyDescent="0.3">
      <c r="A3303" t="s">
        <v>24</v>
      </c>
      <c r="B3303" t="s">
        <v>58</v>
      </c>
      <c r="C3303">
        <v>28.412327434203089</v>
      </c>
      <c r="D3303">
        <v>1.048554154827229</v>
      </c>
      <c r="E3303">
        <v>1.8083041697801969</v>
      </c>
      <c r="F3303">
        <v>3.9534358190839178</v>
      </c>
      <c r="G3303">
        <v>6.3624433926079123</v>
      </c>
      <c r="H3303">
        <v>40.784724177136923</v>
      </c>
      <c r="I3303">
        <v>24.17543843435525</v>
      </c>
      <c r="J3303">
        <v>23.699408327176531</v>
      </c>
      <c r="K3303">
        <v>725.82176915410378</v>
      </c>
      <c r="L3303">
        <v>0</v>
      </c>
      <c r="M3303" t="s">
        <v>69</v>
      </c>
    </row>
    <row r="3304" spans="1:13" x14ac:dyDescent="0.3">
      <c r="A3304" t="s">
        <v>19</v>
      </c>
      <c r="B3304" t="s">
        <v>45</v>
      </c>
      <c r="C3304">
        <v>20.326945424236001</v>
      </c>
      <c r="D3304">
        <v>0.89065714323887191</v>
      </c>
      <c r="E3304">
        <v>1.1386538783863329</v>
      </c>
      <c r="F3304">
        <v>2.7407796948747181</v>
      </c>
      <c r="G3304">
        <v>6.2376315384309411</v>
      </c>
      <c r="H3304">
        <v>19.464008175211731</v>
      </c>
      <c r="I3304">
        <v>30.479183667670402</v>
      </c>
      <c r="J3304">
        <v>23.399239126154299</v>
      </c>
      <c r="K3304">
        <v>1331.814997768116</v>
      </c>
      <c r="L3304">
        <v>0</v>
      </c>
      <c r="M3304" t="s">
        <v>69</v>
      </c>
    </row>
    <row r="3305" spans="1:13" x14ac:dyDescent="0.3">
      <c r="A3305" t="s">
        <v>20</v>
      </c>
      <c r="B3305" t="s">
        <v>49</v>
      </c>
      <c r="C3305">
        <v>43.565219322627293</v>
      </c>
      <c r="D3305">
        <v>1.8301993626655231</v>
      </c>
      <c r="E3305">
        <v>1.8343149324071499</v>
      </c>
      <c r="F3305">
        <v>5.3796005668992048</v>
      </c>
      <c r="G3305">
        <v>6.2897046077187602</v>
      </c>
      <c r="H3305">
        <v>17.55278838144935</v>
      </c>
      <c r="I3305">
        <v>32.302392002136479</v>
      </c>
      <c r="J3305">
        <v>26.49408430663642</v>
      </c>
      <c r="K3305">
        <v>1144.987783763911</v>
      </c>
      <c r="L3305">
        <v>0</v>
      </c>
      <c r="M3305" t="s">
        <v>69</v>
      </c>
    </row>
    <row r="3306" spans="1:13" x14ac:dyDescent="0.3">
      <c r="A3306" t="s">
        <v>24</v>
      </c>
      <c r="B3306" t="s">
        <v>58</v>
      </c>
      <c r="C3306">
        <v>34.531532536886687</v>
      </c>
      <c r="D3306">
        <v>1.0600478698349209</v>
      </c>
      <c r="E3306">
        <v>1.9456255257091311</v>
      </c>
      <c r="F3306">
        <v>5.0927969717985739</v>
      </c>
      <c r="G3306">
        <v>6.7768101380882824</v>
      </c>
      <c r="H3306">
        <v>60.154799964008703</v>
      </c>
      <c r="I3306">
        <v>24.139138789374648</v>
      </c>
      <c r="J3306">
        <v>21.641013663351739</v>
      </c>
      <c r="K3306">
        <v>733.5493431949975</v>
      </c>
      <c r="L3306">
        <v>0</v>
      </c>
      <c r="M3306" t="s">
        <v>69</v>
      </c>
    </row>
    <row r="3307" spans="1:13" x14ac:dyDescent="0.3">
      <c r="A3307" t="s">
        <v>19</v>
      </c>
      <c r="B3307" t="s">
        <v>47</v>
      </c>
      <c r="C3307">
        <v>28.040240649849078</v>
      </c>
      <c r="D3307">
        <v>1.00428449622712</v>
      </c>
      <c r="E3307">
        <v>2.2955201355891521</v>
      </c>
      <c r="F3307">
        <v>4.0559210044133707</v>
      </c>
      <c r="G3307">
        <v>6.9282383115130024</v>
      </c>
      <c r="H3307">
        <v>32.409046146057612</v>
      </c>
      <c r="I3307">
        <v>23.74140316086859</v>
      </c>
      <c r="J3307">
        <v>22.955144803005869</v>
      </c>
      <c r="K3307">
        <v>709.69595390962547</v>
      </c>
      <c r="L3307">
        <v>0</v>
      </c>
      <c r="M3307" t="s">
        <v>69</v>
      </c>
    </row>
    <row r="3308" spans="1:13" x14ac:dyDescent="0.3">
      <c r="A3308" t="s">
        <v>19</v>
      </c>
      <c r="B3308" t="s">
        <v>48</v>
      </c>
      <c r="C3308">
        <v>59.718839871937917</v>
      </c>
      <c r="D3308">
        <v>2.9085148805695238</v>
      </c>
      <c r="E3308">
        <v>3.8961535195376462</v>
      </c>
      <c r="F3308">
        <v>9.0961454431163578</v>
      </c>
      <c r="G3308">
        <v>6.2525926584095002</v>
      </c>
      <c r="H3308">
        <v>18.951297909318129</v>
      </c>
      <c r="I3308">
        <v>33.928423800812233</v>
      </c>
      <c r="J3308">
        <v>25.963181665983829</v>
      </c>
      <c r="K3308">
        <v>1186.4328830109589</v>
      </c>
      <c r="L3308">
        <v>0</v>
      </c>
      <c r="M3308" t="s">
        <v>69</v>
      </c>
    </row>
    <row r="3309" spans="1:13" x14ac:dyDescent="0.3">
      <c r="A3309" t="s">
        <v>19</v>
      </c>
      <c r="B3309" t="s">
        <v>44</v>
      </c>
      <c r="C3309">
        <v>19.491050106198141</v>
      </c>
      <c r="D3309">
        <v>1.0526120132089061</v>
      </c>
      <c r="E3309">
        <v>0.94136909665492841</v>
      </c>
      <c r="F3309">
        <v>2.94255167488619</v>
      </c>
      <c r="G3309">
        <v>6.1018547580654481</v>
      </c>
      <c r="H3309">
        <v>16.394963204797431</v>
      </c>
      <c r="I3309">
        <v>25.38191778987165</v>
      </c>
      <c r="J3309">
        <v>23.734260270040071</v>
      </c>
      <c r="K3309">
        <v>1324.0582399687</v>
      </c>
      <c r="L3309">
        <v>0</v>
      </c>
      <c r="M3309" t="s">
        <v>69</v>
      </c>
    </row>
    <row r="3310" spans="1:13" x14ac:dyDescent="0.3">
      <c r="A3310" t="s">
        <v>19</v>
      </c>
      <c r="B3310" t="s">
        <v>44</v>
      </c>
      <c r="C3310">
        <v>23.078144766498841</v>
      </c>
      <c r="D3310">
        <v>1.0010374000714219</v>
      </c>
      <c r="E3310">
        <v>1.0040861381852419</v>
      </c>
      <c r="F3310">
        <v>3.0030638964678018</v>
      </c>
      <c r="G3310">
        <v>6.5039725199324456</v>
      </c>
      <c r="H3310">
        <v>19.266191159234829</v>
      </c>
      <c r="I3310">
        <v>26.98069547355653</v>
      </c>
      <c r="J3310">
        <v>24.002537119334651</v>
      </c>
      <c r="K3310">
        <v>1320.4532566986759</v>
      </c>
      <c r="L3310">
        <v>0</v>
      </c>
      <c r="M3310" t="s">
        <v>69</v>
      </c>
    </row>
    <row r="3311" spans="1:13" x14ac:dyDescent="0.3">
      <c r="A3311" t="s">
        <v>24</v>
      </c>
      <c r="B3311" t="s">
        <v>58</v>
      </c>
      <c r="C3311">
        <v>30.99697598818571</v>
      </c>
      <c r="D3311">
        <v>1.0541526038714559</v>
      </c>
      <c r="E3311">
        <v>2.1558868386940979</v>
      </c>
      <c r="F3311">
        <v>3.4757682481614052</v>
      </c>
      <c r="G3311">
        <v>6.0889162880555823</v>
      </c>
      <c r="H3311">
        <v>38.242293488638417</v>
      </c>
      <c r="I3311">
        <v>23.609043743190391</v>
      </c>
      <c r="J3311">
        <v>23.85261260343886</v>
      </c>
      <c r="K3311">
        <v>737.72445197699835</v>
      </c>
      <c r="L3311">
        <v>0</v>
      </c>
      <c r="M3311" t="s">
        <v>69</v>
      </c>
    </row>
    <row r="3312" spans="1:13" x14ac:dyDescent="0.3">
      <c r="A3312" t="s">
        <v>19</v>
      </c>
      <c r="B3312" t="s">
        <v>48</v>
      </c>
      <c r="C3312">
        <v>47.253638621016059</v>
      </c>
      <c r="D3312">
        <v>2.0502005489312358</v>
      </c>
      <c r="E3312">
        <v>3.0228291390321238</v>
      </c>
      <c r="F3312">
        <v>5.9269409027959323</v>
      </c>
      <c r="G3312">
        <v>5.3870605051963869</v>
      </c>
      <c r="H3312">
        <v>19.09585499682505</v>
      </c>
      <c r="I3312">
        <v>32.003035134851103</v>
      </c>
      <c r="J3312">
        <v>25.701057782008551</v>
      </c>
      <c r="K3312">
        <v>1165.748838907565</v>
      </c>
      <c r="L3312">
        <v>0</v>
      </c>
      <c r="M3312" t="s">
        <v>69</v>
      </c>
    </row>
    <row r="3313" spans="1:13" x14ac:dyDescent="0.3">
      <c r="A3313" t="s">
        <v>21</v>
      </c>
      <c r="B3313" t="s">
        <v>52</v>
      </c>
      <c r="C3313">
        <v>140.26569135701109</v>
      </c>
      <c r="D3313">
        <v>5.6947357906738016</v>
      </c>
      <c r="E3313">
        <v>9.2563820937859482</v>
      </c>
      <c r="F3313">
        <v>22.97201641438615</v>
      </c>
      <c r="G3313">
        <v>5.5633083156064007</v>
      </c>
      <c r="H3313">
        <v>56.824619267529037</v>
      </c>
      <c r="I3313">
        <v>27.97767476239051</v>
      </c>
      <c r="J3313">
        <v>24.874886189580309</v>
      </c>
      <c r="K3313">
        <v>740.68240858200636</v>
      </c>
      <c r="L3313">
        <v>0</v>
      </c>
      <c r="M3313" t="s">
        <v>69</v>
      </c>
    </row>
    <row r="3314" spans="1:13" x14ac:dyDescent="0.3">
      <c r="A3314" t="s">
        <v>24</v>
      </c>
      <c r="B3314" t="s">
        <v>58</v>
      </c>
      <c r="C3314">
        <v>30.68008117389093</v>
      </c>
      <c r="D3314">
        <v>0.91798079059123427</v>
      </c>
      <c r="E3314">
        <v>2.244331237849186</v>
      </c>
      <c r="F3314">
        <v>3.24821858475614</v>
      </c>
      <c r="G3314">
        <v>7.0833055054545726</v>
      </c>
      <c r="H3314">
        <v>33.658923998358638</v>
      </c>
      <c r="I3314">
        <v>26.863016597562829</v>
      </c>
      <c r="J3314">
        <v>23.43829601628925</v>
      </c>
      <c r="K3314">
        <v>744.76522611673249</v>
      </c>
      <c r="L3314">
        <v>0</v>
      </c>
      <c r="M3314" t="s">
        <v>69</v>
      </c>
    </row>
    <row r="3315" spans="1:13" x14ac:dyDescent="0.3">
      <c r="A3315" t="s">
        <v>20</v>
      </c>
      <c r="B3315" t="s">
        <v>49</v>
      </c>
      <c r="C3315">
        <v>34.782620726486172</v>
      </c>
      <c r="D3315">
        <v>0.9499195149381463</v>
      </c>
      <c r="E3315">
        <v>2.2937150439780969</v>
      </c>
      <c r="F3315">
        <v>6.8784186735592741</v>
      </c>
      <c r="G3315">
        <v>6.3281918145190019</v>
      </c>
      <c r="H3315">
        <v>16.686627285392358</v>
      </c>
      <c r="I3315">
        <v>32.590493717092123</v>
      </c>
      <c r="J3315">
        <v>26.543150910956289</v>
      </c>
      <c r="K3315">
        <v>1121.3869746901951</v>
      </c>
      <c r="L3315">
        <v>0</v>
      </c>
      <c r="M3315" t="s">
        <v>69</v>
      </c>
    </row>
    <row r="3316" spans="1:13" x14ac:dyDescent="0.3">
      <c r="A3316" t="s">
        <v>19</v>
      </c>
      <c r="B3316" t="s">
        <v>44</v>
      </c>
      <c r="C3316">
        <v>24.704539672873739</v>
      </c>
      <c r="D3316">
        <v>1.0249440653306201</v>
      </c>
      <c r="E3316">
        <v>1.091691497023602</v>
      </c>
      <c r="F3316">
        <v>3.2244900100696232</v>
      </c>
      <c r="G3316">
        <v>6.6329090620260089</v>
      </c>
      <c r="H3316">
        <v>20.7071163275725</v>
      </c>
      <c r="I3316">
        <v>26.65186368869648</v>
      </c>
      <c r="J3316">
        <v>24.17750562121628</v>
      </c>
      <c r="K3316">
        <v>1330.1190948200649</v>
      </c>
      <c r="L3316">
        <v>0</v>
      </c>
      <c r="M3316" t="s">
        <v>69</v>
      </c>
    </row>
    <row r="3317" spans="1:13" x14ac:dyDescent="0.3">
      <c r="A3317" t="s">
        <v>24</v>
      </c>
      <c r="B3317" t="s">
        <v>58</v>
      </c>
      <c r="C3317">
        <v>27.89028971314281</v>
      </c>
      <c r="D3317">
        <v>1.0509893362277289</v>
      </c>
      <c r="E3317">
        <v>1.7292821207228879</v>
      </c>
      <c r="F3317">
        <v>4.0385296117157541</v>
      </c>
      <c r="G3317">
        <v>6.1619281939806081</v>
      </c>
      <c r="H3317">
        <v>38.981306434434913</v>
      </c>
      <c r="I3317">
        <v>24.1079747276512</v>
      </c>
      <c r="J3317">
        <v>23.42515971822689</v>
      </c>
      <c r="K3317">
        <v>738.42631565029785</v>
      </c>
      <c r="L3317">
        <v>0</v>
      </c>
      <c r="M3317" t="s">
        <v>69</v>
      </c>
    </row>
    <row r="3318" spans="1:13" x14ac:dyDescent="0.3">
      <c r="A3318" t="s">
        <v>19</v>
      </c>
      <c r="B3318" t="s">
        <v>44</v>
      </c>
      <c r="C3318">
        <v>19.86465468062211</v>
      </c>
      <c r="D3318">
        <v>1.015484146810091</v>
      </c>
      <c r="E3318">
        <v>1.0489382844878929</v>
      </c>
      <c r="F3318">
        <v>2.7570340382248291</v>
      </c>
      <c r="G3318">
        <v>6.1952837104262803</v>
      </c>
      <c r="H3318">
        <v>15.271152732728821</v>
      </c>
      <c r="I3318">
        <v>25.14455567737539</v>
      </c>
      <c r="J3318">
        <v>23.99085612614163</v>
      </c>
      <c r="K3318">
        <v>1317.246880386213</v>
      </c>
      <c r="L3318">
        <v>0</v>
      </c>
      <c r="M3318" t="s">
        <v>69</v>
      </c>
    </row>
    <row r="3319" spans="1:13" x14ac:dyDescent="0.3">
      <c r="A3319" t="s">
        <v>25</v>
      </c>
      <c r="B3319" t="s">
        <v>62</v>
      </c>
      <c r="C3319">
        <v>25.291441024313581</v>
      </c>
      <c r="D3319">
        <v>1.1840024467584001</v>
      </c>
      <c r="E3319">
        <v>0.90876391264736966</v>
      </c>
      <c r="F3319">
        <v>2.8453545384890369</v>
      </c>
      <c r="G3319">
        <v>6.2298986950203439</v>
      </c>
      <c r="H3319">
        <v>67.197140314719732</v>
      </c>
      <c r="I3319">
        <v>20.578134707106301</v>
      </c>
      <c r="J3319">
        <v>24.32451533321813</v>
      </c>
      <c r="K3319">
        <v>1208.476407686094</v>
      </c>
      <c r="L3319">
        <v>0</v>
      </c>
      <c r="M3319" t="s">
        <v>69</v>
      </c>
    </row>
    <row r="3320" spans="1:13" x14ac:dyDescent="0.3">
      <c r="A3320" t="s">
        <v>25</v>
      </c>
      <c r="B3320" t="s">
        <v>62</v>
      </c>
      <c r="C3320">
        <v>25.226405471807379</v>
      </c>
      <c r="D3320">
        <v>0.93142406503535957</v>
      </c>
      <c r="E3320">
        <v>0.93029076490843554</v>
      </c>
      <c r="F3320">
        <v>2.9684128733294428</v>
      </c>
      <c r="G3320">
        <v>6.2482305278310006</v>
      </c>
      <c r="H3320">
        <v>67.937239244738294</v>
      </c>
      <c r="I3320">
        <v>20.093103082884411</v>
      </c>
      <c r="J3320">
        <v>24.203371695346231</v>
      </c>
      <c r="K3320">
        <v>1209.4881891809091</v>
      </c>
      <c r="L3320">
        <v>0</v>
      </c>
      <c r="M3320" t="s">
        <v>69</v>
      </c>
    </row>
    <row r="3321" spans="1:13" x14ac:dyDescent="0.3">
      <c r="A3321" t="s">
        <v>20</v>
      </c>
      <c r="B3321" t="s">
        <v>49</v>
      </c>
      <c r="C3321">
        <v>30.31012123801904</v>
      </c>
      <c r="D3321">
        <v>1.1075758669448961</v>
      </c>
      <c r="E3321">
        <v>1.8690927551035179</v>
      </c>
      <c r="F3321">
        <v>5.3884226881620894</v>
      </c>
      <c r="G3321">
        <v>5.9839693377952363</v>
      </c>
      <c r="H3321">
        <v>23.631964879116978</v>
      </c>
      <c r="I3321">
        <v>32.161409160895509</v>
      </c>
      <c r="J3321">
        <v>25.646411196859098</v>
      </c>
      <c r="K3321">
        <v>1125.742574401474</v>
      </c>
      <c r="L3321">
        <v>0</v>
      </c>
      <c r="M3321" t="s">
        <v>69</v>
      </c>
    </row>
    <row r="3322" spans="1:13" x14ac:dyDescent="0.3">
      <c r="A3322" t="s">
        <v>19</v>
      </c>
      <c r="B3322" t="s">
        <v>48</v>
      </c>
      <c r="C3322">
        <v>41.697659387157977</v>
      </c>
      <c r="D3322">
        <v>1.9355851794464241</v>
      </c>
      <c r="E3322">
        <v>1.8796169690572491</v>
      </c>
      <c r="F3322">
        <v>6.0103918821755169</v>
      </c>
      <c r="G3322">
        <v>6.193910227673614</v>
      </c>
      <c r="H3322">
        <v>17.221503814457041</v>
      </c>
      <c r="I3322">
        <v>32.749250206212338</v>
      </c>
      <c r="J3322">
        <v>26.541267914812781</v>
      </c>
      <c r="K3322">
        <v>1144.6768398428751</v>
      </c>
      <c r="L3322">
        <v>0</v>
      </c>
      <c r="M3322" t="s">
        <v>69</v>
      </c>
    </row>
    <row r="3323" spans="1:13" x14ac:dyDescent="0.3">
      <c r="A3323" t="s">
        <v>24</v>
      </c>
      <c r="B3323" t="s">
        <v>58</v>
      </c>
      <c r="C3323">
        <v>30.421153676468109</v>
      </c>
      <c r="D3323">
        <v>0.91095915869720123</v>
      </c>
      <c r="E3323">
        <v>2.1794594462343482</v>
      </c>
      <c r="F3323">
        <v>3.600777624591053</v>
      </c>
      <c r="G3323">
        <v>6.9975854963548176</v>
      </c>
      <c r="H3323">
        <v>33.496698422977303</v>
      </c>
      <c r="I3323">
        <v>26.405636970107299</v>
      </c>
      <c r="J3323">
        <v>23.303065524548341</v>
      </c>
      <c r="K3323">
        <v>748.7367472720282</v>
      </c>
      <c r="L3323">
        <v>0</v>
      </c>
      <c r="M3323" t="s">
        <v>69</v>
      </c>
    </row>
    <row r="3324" spans="1:13" x14ac:dyDescent="0.3">
      <c r="A3324" t="s">
        <v>24</v>
      </c>
      <c r="B3324" t="s">
        <v>58</v>
      </c>
      <c r="C3324">
        <v>34.06082255951128</v>
      </c>
      <c r="D3324">
        <v>0.94620001175783042</v>
      </c>
      <c r="E3324">
        <v>2.108040433863589</v>
      </c>
      <c r="F3324">
        <v>4.7735303862001963</v>
      </c>
      <c r="G3324">
        <v>6.9683127615377147</v>
      </c>
      <c r="H3324">
        <v>55.56935242647674</v>
      </c>
      <c r="I3324">
        <v>24.152601678885009</v>
      </c>
      <c r="J3324">
        <v>22.646220309048491</v>
      </c>
      <c r="K3324">
        <v>729.90257434965224</v>
      </c>
      <c r="L3324">
        <v>0</v>
      </c>
      <c r="M3324" t="s">
        <v>69</v>
      </c>
    </row>
    <row r="3325" spans="1:13" x14ac:dyDescent="0.3">
      <c r="A3325" t="s">
        <v>20</v>
      </c>
      <c r="B3325" t="s">
        <v>49</v>
      </c>
      <c r="C3325">
        <v>37.838033769760408</v>
      </c>
      <c r="D3325">
        <v>1.020625668757932</v>
      </c>
      <c r="E3325">
        <v>1.9454202298789249</v>
      </c>
      <c r="F3325">
        <v>6.2141532232342627</v>
      </c>
      <c r="G3325">
        <v>6.1826783124678908</v>
      </c>
      <c r="H3325">
        <v>16.494331314309061</v>
      </c>
      <c r="I3325">
        <v>31.172978170897512</v>
      </c>
      <c r="J3325">
        <v>25.99299651575852</v>
      </c>
      <c r="K3325">
        <v>1160.8822713641141</v>
      </c>
      <c r="L3325">
        <v>0</v>
      </c>
      <c r="M3325" t="s">
        <v>69</v>
      </c>
    </row>
    <row r="3326" spans="1:13" x14ac:dyDescent="0.3">
      <c r="A3326" t="s">
        <v>25</v>
      </c>
      <c r="B3326" t="s">
        <v>62</v>
      </c>
      <c r="C3326">
        <v>30.099975808969031</v>
      </c>
      <c r="D3326">
        <v>0.89017988187583796</v>
      </c>
      <c r="E3326">
        <v>1.6608744710099701</v>
      </c>
      <c r="F3326">
        <v>4.3906764449104134</v>
      </c>
      <c r="G3326">
        <v>6.2826757834116869</v>
      </c>
      <c r="H3326">
        <v>37.449740684087537</v>
      </c>
      <c r="I3326">
        <v>19.739435480073979</v>
      </c>
      <c r="J3326">
        <v>23.814980394246032</v>
      </c>
      <c r="K3326">
        <v>1065.818391051044</v>
      </c>
      <c r="L3326">
        <v>0</v>
      </c>
      <c r="M3326" t="s">
        <v>69</v>
      </c>
    </row>
    <row r="3327" spans="1:13" x14ac:dyDescent="0.3">
      <c r="A3327" t="s">
        <v>24</v>
      </c>
      <c r="B3327" t="s">
        <v>58</v>
      </c>
      <c r="C3327">
        <v>12.939087882220701</v>
      </c>
      <c r="D3327">
        <v>0</v>
      </c>
      <c r="E3327">
        <v>0</v>
      </c>
      <c r="F3327">
        <v>1.7478110270888441</v>
      </c>
      <c r="G3327">
        <v>6.5130055287229176</v>
      </c>
      <c r="H3327">
        <v>42.916682329256979</v>
      </c>
      <c r="I3327">
        <v>24.619320696999129</v>
      </c>
      <c r="J3327">
        <v>23.26596917341945</v>
      </c>
      <c r="K3327">
        <v>758.6451045873182</v>
      </c>
      <c r="L3327">
        <v>0</v>
      </c>
      <c r="M3327" t="s">
        <v>69</v>
      </c>
    </row>
    <row r="3328" spans="1:13" x14ac:dyDescent="0.3">
      <c r="A3328" t="s">
        <v>25</v>
      </c>
      <c r="B3328" t="s">
        <v>62</v>
      </c>
      <c r="C3328">
        <v>23.24342482606389</v>
      </c>
      <c r="D3328">
        <v>1.014980974577038</v>
      </c>
      <c r="E3328">
        <v>1.0121502447633099</v>
      </c>
      <c r="F3328">
        <v>4.4800269307625289</v>
      </c>
      <c r="G3328">
        <v>5.5902351981265319</v>
      </c>
      <c r="H3328">
        <v>48.338574625180428</v>
      </c>
      <c r="I3328">
        <v>21.378371493846899</v>
      </c>
      <c r="J3328">
        <v>23.02223377583563</v>
      </c>
      <c r="K3328">
        <v>1078.0474608366919</v>
      </c>
      <c r="L3328">
        <v>0</v>
      </c>
      <c r="M3328" t="s">
        <v>69</v>
      </c>
    </row>
    <row r="3329" spans="1:13" x14ac:dyDescent="0.3">
      <c r="A3329" t="s">
        <v>19</v>
      </c>
      <c r="B3329" t="s">
        <v>48</v>
      </c>
      <c r="C3329">
        <v>36.870674677757719</v>
      </c>
      <c r="D3329">
        <v>1.098767712634598</v>
      </c>
      <c r="E3329">
        <v>1.681734583921922</v>
      </c>
      <c r="F3329">
        <v>7.2661747138134691</v>
      </c>
      <c r="G3329">
        <v>6.0894337210485521</v>
      </c>
      <c r="H3329">
        <v>16.43947509522798</v>
      </c>
      <c r="I3329">
        <v>30.553188467156581</v>
      </c>
      <c r="J3329">
        <v>25.953953713001461</v>
      </c>
      <c r="K3329">
        <v>1185.3247034075141</v>
      </c>
      <c r="L3329">
        <v>0</v>
      </c>
      <c r="M3329" t="s">
        <v>69</v>
      </c>
    </row>
    <row r="3330" spans="1:13" x14ac:dyDescent="0.3">
      <c r="A3330" t="s">
        <v>24</v>
      </c>
      <c r="B3330" t="s">
        <v>59</v>
      </c>
      <c r="C3330">
        <v>56.97743241271408</v>
      </c>
      <c r="D3330">
        <v>1.934021976532261</v>
      </c>
      <c r="E3330">
        <v>3.9321960083068679</v>
      </c>
      <c r="F3330">
        <v>8.9693655771654441</v>
      </c>
      <c r="G3330">
        <v>6.6815131872576874</v>
      </c>
      <c r="H3330">
        <v>58.635958231403983</v>
      </c>
      <c r="I3330">
        <v>26.493668584051331</v>
      </c>
      <c r="J3330">
        <v>23.079194957332749</v>
      </c>
      <c r="K3330">
        <v>723.36049073674167</v>
      </c>
      <c r="L3330">
        <v>0</v>
      </c>
      <c r="M3330" t="s">
        <v>69</v>
      </c>
    </row>
    <row r="3331" spans="1:13" x14ac:dyDescent="0.3">
      <c r="A3331" t="s">
        <v>24</v>
      </c>
      <c r="B3331" t="s">
        <v>58</v>
      </c>
      <c r="C3331">
        <v>29.36564088088171</v>
      </c>
      <c r="D3331">
        <v>0.9151215723846069</v>
      </c>
      <c r="E3331">
        <v>2.1075178964794672</v>
      </c>
      <c r="F3331">
        <v>4.4298286771718711</v>
      </c>
      <c r="G3331">
        <v>6.9153804566000234</v>
      </c>
      <c r="H3331">
        <v>32.770478572743812</v>
      </c>
      <c r="I3331">
        <v>25.49756208062983</v>
      </c>
      <c r="J3331">
        <v>23.668572826801899</v>
      </c>
      <c r="K3331">
        <v>751.55586574690494</v>
      </c>
      <c r="L3331">
        <v>0</v>
      </c>
      <c r="M3331" t="s">
        <v>69</v>
      </c>
    </row>
    <row r="3332" spans="1:13" x14ac:dyDescent="0.3">
      <c r="A3332" t="s">
        <v>25</v>
      </c>
      <c r="B3332" t="s">
        <v>62</v>
      </c>
      <c r="C3332">
        <v>30.080750617968359</v>
      </c>
      <c r="D3332">
        <v>1.003230433198903</v>
      </c>
      <c r="E3332">
        <v>2.0105137484517019</v>
      </c>
      <c r="F3332">
        <v>4.7913495618151973</v>
      </c>
      <c r="G3332">
        <v>6.3599208627422827</v>
      </c>
      <c r="H3332">
        <v>40.115396296354447</v>
      </c>
      <c r="I3332">
        <v>20.09031823482708</v>
      </c>
      <c r="J3332">
        <v>24.07848234320371</v>
      </c>
      <c r="K3332">
        <v>1076.3263106890431</v>
      </c>
      <c r="L3332">
        <v>0</v>
      </c>
      <c r="M3332" t="s">
        <v>69</v>
      </c>
    </row>
    <row r="3333" spans="1:13" x14ac:dyDescent="0.3">
      <c r="A3333" t="s">
        <v>25</v>
      </c>
      <c r="B3333" t="s">
        <v>62</v>
      </c>
      <c r="C3333">
        <v>25.72131126933326</v>
      </c>
      <c r="D3333">
        <v>1.1863708382427629</v>
      </c>
      <c r="E3333">
        <v>1.091362562368603</v>
      </c>
      <c r="F3333">
        <v>3.1906770995997871</v>
      </c>
      <c r="G3333">
        <v>6.3052497146827262</v>
      </c>
      <c r="H3333">
        <v>68.972806636759657</v>
      </c>
      <c r="I3333">
        <v>20.291031001417679</v>
      </c>
      <c r="J3333">
        <v>22.97304325211373</v>
      </c>
      <c r="K3333">
        <v>1243.3666936446059</v>
      </c>
      <c r="L3333">
        <v>0</v>
      </c>
      <c r="M3333" t="s">
        <v>69</v>
      </c>
    </row>
    <row r="3334" spans="1:13" x14ac:dyDescent="0.3">
      <c r="A3334" t="s">
        <v>19</v>
      </c>
      <c r="B3334" t="s">
        <v>48</v>
      </c>
      <c r="C3334">
        <v>35.806290572627418</v>
      </c>
      <c r="D3334">
        <v>1.1170929113471111</v>
      </c>
      <c r="E3334">
        <v>1.5928091578760599</v>
      </c>
      <c r="F3334">
        <v>6.9060526835701506</v>
      </c>
      <c r="G3334">
        <v>6.0895007606182201</v>
      </c>
      <c r="H3334">
        <v>16.323313439909661</v>
      </c>
      <c r="I3334">
        <v>30.501996198590351</v>
      </c>
      <c r="J3334">
        <v>25.978016764748919</v>
      </c>
      <c r="K3334">
        <v>1182.251791797466</v>
      </c>
      <c r="L3334">
        <v>0</v>
      </c>
      <c r="M3334" t="s">
        <v>69</v>
      </c>
    </row>
    <row r="3335" spans="1:13" x14ac:dyDescent="0.3">
      <c r="A3335" t="s">
        <v>25</v>
      </c>
      <c r="B3335" t="s">
        <v>62</v>
      </c>
      <c r="C3335">
        <v>587.47681134563061</v>
      </c>
      <c r="D3335">
        <v>27.20542730936597</v>
      </c>
      <c r="E3335">
        <v>40.009563462082028</v>
      </c>
      <c r="F3335">
        <v>91.078323045403835</v>
      </c>
      <c r="G3335">
        <v>4.4719985954826509</v>
      </c>
      <c r="H3335">
        <v>88.4</v>
      </c>
      <c r="I3335">
        <v>27.113545675023079</v>
      </c>
      <c r="J3335">
        <v>23.79628049247048</v>
      </c>
      <c r="K3335">
        <v>708.2645230749356</v>
      </c>
      <c r="L3335">
        <v>0</v>
      </c>
      <c r="M3335" t="s">
        <v>69</v>
      </c>
    </row>
    <row r="3336" spans="1:13" x14ac:dyDescent="0.3">
      <c r="A3336" t="s">
        <v>19</v>
      </c>
      <c r="B3336" t="s">
        <v>48</v>
      </c>
      <c r="C3336">
        <v>41.955356962082391</v>
      </c>
      <c r="D3336">
        <v>1.591619529452966</v>
      </c>
      <c r="E3336">
        <v>3.3946323305471831</v>
      </c>
      <c r="F3336">
        <v>7.9272853189159429</v>
      </c>
      <c r="G3336">
        <v>6.1932574438327874</v>
      </c>
      <c r="H3336">
        <v>20.9976466057627</v>
      </c>
      <c r="I3336">
        <v>31.35001151641956</v>
      </c>
      <c r="J3336">
        <v>25.94985463861191</v>
      </c>
      <c r="K3336">
        <v>1176.258029352718</v>
      </c>
      <c r="L3336">
        <v>0</v>
      </c>
      <c r="M3336" t="s">
        <v>69</v>
      </c>
    </row>
    <row r="3337" spans="1:13" x14ac:dyDescent="0.3">
      <c r="A3337" t="s">
        <v>21</v>
      </c>
      <c r="B3337" t="s">
        <v>52</v>
      </c>
      <c r="C3337">
        <v>138.8860509700024</v>
      </c>
      <c r="D3337">
        <v>5.9105647819144664</v>
      </c>
      <c r="E3337">
        <v>10.094597319155559</v>
      </c>
      <c r="F3337">
        <v>21.949105051941661</v>
      </c>
      <c r="G3337">
        <v>5.6369147061913134</v>
      </c>
      <c r="H3337">
        <v>56.041501815097718</v>
      </c>
      <c r="I3337">
        <v>27.637894788699882</v>
      </c>
      <c r="J3337">
        <v>24.336968177438681</v>
      </c>
      <c r="K3337">
        <v>753.64010246540204</v>
      </c>
      <c r="L3337">
        <v>0</v>
      </c>
      <c r="M3337" t="s">
        <v>69</v>
      </c>
    </row>
    <row r="3338" spans="1:13" x14ac:dyDescent="0.3">
      <c r="A3338" t="s">
        <v>19</v>
      </c>
      <c r="B3338" t="s">
        <v>45</v>
      </c>
      <c r="C3338">
        <v>19.903170327198939</v>
      </c>
      <c r="D3338">
        <v>0.953158138619977</v>
      </c>
      <c r="E3338">
        <v>0.97117862514899311</v>
      </c>
      <c r="F3338">
        <v>3.2695192666141479</v>
      </c>
      <c r="G3338">
        <v>6.2264270555783723</v>
      </c>
      <c r="H3338">
        <v>19.359904023855101</v>
      </c>
      <c r="I3338">
        <v>31.83837743279528</v>
      </c>
      <c r="J3338">
        <v>24.157477596885879</v>
      </c>
      <c r="K3338">
        <v>1333.8677153647279</v>
      </c>
      <c r="L3338">
        <v>0</v>
      </c>
      <c r="M3338" t="s">
        <v>69</v>
      </c>
    </row>
    <row r="3339" spans="1:13" x14ac:dyDescent="0.3">
      <c r="A3339" t="s">
        <v>25</v>
      </c>
      <c r="B3339" t="s">
        <v>62</v>
      </c>
      <c r="C3339">
        <v>590.69346093004106</v>
      </c>
      <c r="D3339">
        <v>28.87285271447783</v>
      </c>
      <c r="E3339">
        <v>41.876031893050623</v>
      </c>
      <c r="F3339">
        <v>94.78916508884501</v>
      </c>
      <c r="G3339">
        <v>4.4555533642313669</v>
      </c>
      <c r="H3339">
        <v>88.4</v>
      </c>
      <c r="I3339">
        <v>27.315035564381741</v>
      </c>
      <c r="J3339">
        <v>23.80476120025055</v>
      </c>
      <c r="K3339">
        <v>722.71521225896367</v>
      </c>
      <c r="L3339">
        <v>0</v>
      </c>
      <c r="M3339" t="s">
        <v>69</v>
      </c>
    </row>
    <row r="3340" spans="1:13" x14ac:dyDescent="0.3">
      <c r="A3340" t="s">
        <v>24</v>
      </c>
      <c r="B3340" t="s">
        <v>58</v>
      </c>
      <c r="C3340">
        <v>28.576457726326321</v>
      </c>
      <c r="D3340">
        <v>0.98467631998665572</v>
      </c>
      <c r="E3340">
        <v>2.4060092051902249</v>
      </c>
      <c r="F3340">
        <v>4.3387583653663491</v>
      </c>
      <c r="G3340">
        <v>6.2365224814148954</v>
      </c>
      <c r="H3340">
        <v>38.072119014309607</v>
      </c>
      <c r="I3340">
        <v>23.149763212020421</v>
      </c>
      <c r="J3340">
        <v>22.848938723254729</v>
      </c>
      <c r="K3340">
        <v>730.19514324920385</v>
      </c>
      <c r="L3340">
        <v>0</v>
      </c>
      <c r="M3340" t="s">
        <v>69</v>
      </c>
    </row>
    <row r="3341" spans="1:13" x14ac:dyDescent="0.3">
      <c r="A3341" t="s">
        <v>21</v>
      </c>
      <c r="B3341" t="s">
        <v>52</v>
      </c>
      <c r="C3341">
        <v>143.33948106577691</v>
      </c>
      <c r="D3341">
        <v>5.8909736559697663</v>
      </c>
      <c r="E3341">
        <v>9.7028953261804993</v>
      </c>
      <c r="F3341">
        <v>22.825273978802731</v>
      </c>
      <c r="G3341">
        <v>5.5799013026602413</v>
      </c>
      <c r="H3341">
        <v>56.122597238482591</v>
      </c>
      <c r="I3341">
        <v>27.068248992457189</v>
      </c>
      <c r="J3341">
        <v>24.207117003307179</v>
      </c>
      <c r="K3341">
        <v>765.47068543897683</v>
      </c>
      <c r="L3341">
        <v>0</v>
      </c>
      <c r="M3341" t="s">
        <v>69</v>
      </c>
    </row>
    <row r="3342" spans="1:13" x14ac:dyDescent="0.3">
      <c r="A3342" t="s">
        <v>19</v>
      </c>
      <c r="B3342" t="s">
        <v>45</v>
      </c>
      <c r="C3342">
        <v>19.72017657438461</v>
      </c>
      <c r="D3342">
        <v>0.8939060041750837</v>
      </c>
      <c r="E3342">
        <v>1.1398366263151349</v>
      </c>
      <c r="F3342">
        <v>2.7214449663326779</v>
      </c>
      <c r="G3342">
        <v>6.2373997469170002</v>
      </c>
      <c r="H3342">
        <v>18.98676550039168</v>
      </c>
      <c r="I3342">
        <v>30.544559607506301</v>
      </c>
      <c r="J3342">
        <v>23.63258334592528</v>
      </c>
      <c r="K3342">
        <v>1333.380379360073</v>
      </c>
      <c r="L3342">
        <v>0</v>
      </c>
      <c r="M3342" t="s">
        <v>69</v>
      </c>
    </row>
    <row r="3343" spans="1:13" x14ac:dyDescent="0.3">
      <c r="A3343" t="s">
        <v>21</v>
      </c>
      <c r="B3343" t="s">
        <v>52</v>
      </c>
      <c r="C3343">
        <v>142.5987976246731</v>
      </c>
      <c r="D3343">
        <v>5.898247178418675</v>
      </c>
      <c r="E3343">
        <v>9.7748667747871103</v>
      </c>
      <c r="F3343">
        <v>22.701615368341589</v>
      </c>
      <c r="G3343">
        <v>5.5898647280833726</v>
      </c>
      <c r="H3343">
        <v>56.126479944213052</v>
      </c>
      <c r="I3343">
        <v>27.177337540265821</v>
      </c>
      <c r="J3343">
        <v>24.228374159871191</v>
      </c>
      <c r="K3343">
        <v>763.47527528419528</v>
      </c>
      <c r="L3343">
        <v>0</v>
      </c>
      <c r="M3343" t="s">
        <v>69</v>
      </c>
    </row>
    <row r="3344" spans="1:13" x14ac:dyDescent="0.3">
      <c r="A3344" t="s">
        <v>25</v>
      </c>
      <c r="B3344" t="s">
        <v>62</v>
      </c>
      <c r="C3344">
        <v>255.4649511538251</v>
      </c>
      <c r="D3344">
        <v>18.886561186355198</v>
      </c>
      <c r="E3344">
        <v>29.615073848723998</v>
      </c>
      <c r="F3344">
        <v>69.011364259626305</v>
      </c>
      <c r="G3344">
        <v>4.3229954605891088</v>
      </c>
      <c r="H3344">
        <v>73.381277977795136</v>
      </c>
      <c r="I3344">
        <v>30.70188200952947</v>
      </c>
      <c r="J3344">
        <v>24.035031553449691</v>
      </c>
      <c r="K3344">
        <v>703.11930020799639</v>
      </c>
      <c r="L3344">
        <v>0</v>
      </c>
      <c r="M3344" t="s">
        <v>69</v>
      </c>
    </row>
    <row r="3345" spans="1:13" x14ac:dyDescent="0.3">
      <c r="A3345" t="s">
        <v>19</v>
      </c>
      <c r="B3345" t="s">
        <v>48</v>
      </c>
      <c r="C3345">
        <v>27.067981928456021</v>
      </c>
      <c r="D3345">
        <v>1.0609425679296549</v>
      </c>
      <c r="E3345">
        <v>0.93707849781524111</v>
      </c>
      <c r="F3345">
        <v>4.0679890267504284</v>
      </c>
      <c r="G3345">
        <v>5.9454648164213122</v>
      </c>
      <c r="H3345">
        <v>16.16072927711669</v>
      </c>
      <c r="I3345">
        <v>30.633744968068591</v>
      </c>
      <c r="J3345">
        <v>26.88366779698578</v>
      </c>
      <c r="K3345">
        <v>1181.1160180214829</v>
      </c>
      <c r="L3345">
        <v>0</v>
      </c>
      <c r="M3345" t="s">
        <v>69</v>
      </c>
    </row>
    <row r="3346" spans="1:13" x14ac:dyDescent="0.3">
      <c r="A3346" t="s">
        <v>24</v>
      </c>
      <c r="B3346" t="s">
        <v>57</v>
      </c>
      <c r="C3346">
        <v>53.695281064805179</v>
      </c>
      <c r="D3346">
        <v>1.8578298381277909</v>
      </c>
      <c r="E3346">
        <v>2.858581465828915</v>
      </c>
      <c r="F3346">
        <v>7.7578566169226102</v>
      </c>
      <c r="G3346">
        <v>5.6068178267477888</v>
      </c>
      <c r="H3346">
        <v>49.20207361177458</v>
      </c>
      <c r="I3346">
        <v>23.21920911413546</v>
      </c>
      <c r="J3346">
        <v>23.144156526982609</v>
      </c>
      <c r="K3346">
        <v>753.36741337305546</v>
      </c>
      <c r="L3346">
        <v>0</v>
      </c>
      <c r="M3346" t="s">
        <v>69</v>
      </c>
    </row>
    <row r="3347" spans="1:13" x14ac:dyDescent="0.3">
      <c r="A3347" t="s">
        <v>25</v>
      </c>
      <c r="B3347" t="s">
        <v>62</v>
      </c>
      <c r="C3347">
        <v>576.95997067817393</v>
      </c>
      <c r="D3347">
        <v>26.942626081322921</v>
      </c>
      <c r="E3347">
        <v>42.749478940711001</v>
      </c>
      <c r="F3347">
        <v>85.808481442126322</v>
      </c>
      <c r="G3347">
        <v>4.5056411839464046</v>
      </c>
      <c r="H3347">
        <v>86.188790649467393</v>
      </c>
      <c r="I3347">
        <v>27.53875332216462</v>
      </c>
      <c r="J3347">
        <v>24.155601869743968</v>
      </c>
      <c r="K3347">
        <v>725.8133964189949</v>
      </c>
      <c r="L3347">
        <v>0</v>
      </c>
      <c r="M3347" t="s">
        <v>69</v>
      </c>
    </row>
    <row r="3348" spans="1:13" x14ac:dyDescent="0.3">
      <c r="A3348" t="s">
        <v>24</v>
      </c>
      <c r="B3348" t="s">
        <v>58</v>
      </c>
      <c r="C3348">
        <v>12.77574545706824</v>
      </c>
      <c r="D3348">
        <v>0</v>
      </c>
      <c r="E3348">
        <v>0</v>
      </c>
      <c r="F3348">
        <v>2.2979248020927732</v>
      </c>
      <c r="G3348">
        <v>6.5737600115217436</v>
      </c>
      <c r="H3348">
        <v>44.597008844703367</v>
      </c>
      <c r="I3348">
        <v>24.401007947039879</v>
      </c>
      <c r="J3348">
        <v>22.914943394880972</v>
      </c>
      <c r="K3348">
        <v>762.89568237874289</v>
      </c>
      <c r="L3348">
        <v>0</v>
      </c>
      <c r="M3348" t="s">
        <v>69</v>
      </c>
    </row>
    <row r="3349" spans="1:13" x14ac:dyDescent="0.3">
      <c r="A3349" t="s">
        <v>24</v>
      </c>
      <c r="B3349" t="s">
        <v>59</v>
      </c>
      <c r="C3349">
        <v>56.954747839347341</v>
      </c>
      <c r="D3349">
        <v>2.0889125329990832</v>
      </c>
      <c r="E3349">
        <v>3.611603578398078</v>
      </c>
      <c r="F3349">
        <v>8.7795352696980924</v>
      </c>
      <c r="G3349">
        <v>6.732176281847039</v>
      </c>
      <c r="H3349">
        <v>56.430810193304303</v>
      </c>
      <c r="I3349">
        <v>26.757393399940209</v>
      </c>
      <c r="J3349">
        <v>22.50495094861072</v>
      </c>
      <c r="K3349">
        <v>735.77703170063614</v>
      </c>
      <c r="L3349">
        <v>0</v>
      </c>
      <c r="M3349" t="s">
        <v>69</v>
      </c>
    </row>
    <row r="3350" spans="1:13" x14ac:dyDescent="0.3">
      <c r="A3350" t="s">
        <v>19</v>
      </c>
      <c r="B3350" t="s">
        <v>48</v>
      </c>
      <c r="C3350">
        <v>29.527928412114932</v>
      </c>
      <c r="D3350">
        <v>1.0337568891219151</v>
      </c>
      <c r="E3350">
        <v>1.9769384834415269</v>
      </c>
      <c r="F3350">
        <v>6.0591142170159866</v>
      </c>
      <c r="G3350">
        <v>5.9656835925618097</v>
      </c>
      <c r="H3350">
        <v>22.100244692924001</v>
      </c>
      <c r="I3350">
        <v>32.702611480237401</v>
      </c>
      <c r="J3350">
        <v>26.82693322360112</v>
      </c>
      <c r="K3350">
        <v>1173.0135955808071</v>
      </c>
      <c r="L3350">
        <v>0</v>
      </c>
      <c r="M3350" t="s">
        <v>69</v>
      </c>
    </row>
    <row r="3351" spans="1:13" x14ac:dyDescent="0.3">
      <c r="A3351" t="s">
        <v>24</v>
      </c>
      <c r="B3351" t="s">
        <v>57</v>
      </c>
      <c r="C3351">
        <v>54.076213656612893</v>
      </c>
      <c r="D3351">
        <v>2.0037438986799589</v>
      </c>
      <c r="E3351">
        <v>2.9878866489282419</v>
      </c>
      <c r="F3351">
        <v>7.9955638289559197</v>
      </c>
      <c r="G3351">
        <v>5.4979483618385991</v>
      </c>
      <c r="H3351">
        <v>49.522201169841551</v>
      </c>
      <c r="I3351">
        <v>23.40468772436957</v>
      </c>
      <c r="J3351">
        <v>22.997751744862711</v>
      </c>
      <c r="K3351">
        <v>737.7143182388611</v>
      </c>
      <c r="L3351">
        <v>0</v>
      </c>
      <c r="M3351" t="s">
        <v>69</v>
      </c>
    </row>
    <row r="3352" spans="1:13" x14ac:dyDescent="0.3">
      <c r="A3352" t="s">
        <v>25</v>
      </c>
      <c r="B3352" t="s">
        <v>62</v>
      </c>
      <c r="C3352">
        <v>32.449482428323932</v>
      </c>
      <c r="D3352">
        <v>1.088855524868098</v>
      </c>
      <c r="E3352">
        <v>2.1091559230442232</v>
      </c>
      <c r="F3352">
        <v>4.6116628518507383</v>
      </c>
      <c r="G3352">
        <v>6.4782342211006636</v>
      </c>
      <c r="H3352">
        <v>37.924849530141358</v>
      </c>
      <c r="I3352">
        <v>20.212590093961939</v>
      </c>
      <c r="J3352">
        <v>23.934330120127981</v>
      </c>
      <c r="K3352">
        <v>1084.5002443824669</v>
      </c>
      <c r="L3352">
        <v>0</v>
      </c>
      <c r="M3352" t="s">
        <v>69</v>
      </c>
    </row>
    <row r="3353" spans="1:13" x14ac:dyDescent="0.3">
      <c r="A3353" t="s">
        <v>19</v>
      </c>
      <c r="B3353" t="s">
        <v>44</v>
      </c>
      <c r="C3353">
        <v>23.017633676452292</v>
      </c>
      <c r="D3353">
        <v>1.013688237590026</v>
      </c>
      <c r="E3353">
        <v>1.0248267120458949</v>
      </c>
      <c r="F3353">
        <v>3.460746139481135</v>
      </c>
      <c r="G3353">
        <v>6.6348348732796509</v>
      </c>
      <c r="H3353">
        <v>19.264284026237409</v>
      </c>
      <c r="I3353">
        <v>27.243468999435748</v>
      </c>
      <c r="J3353">
        <v>24.426481105554579</v>
      </c>
      <c r="K3353">
        <v>1323.3969631426071</v>
      </c>
      <c r="L3353">
        <v>0</v>
      </c>
      <c r="M3353" t="s">
        <v>69</v>
      </c>
    </row>
    <row r="3354" spans="1:13" x14ac:dyDescent="0.3">
      <c r="A3354" t="s">
        <v>25</v>
      </c>
      <c r="B3354" t="s">
        <v>62</v>
      </c>
      <c r="C3354">
        <v>584.3468044557103</v>
      </c>
      <c r="D3354">
        <v>28.072678891417471</v>
      </c>
      <c r="E3354">
        <v>40.488205346533917</v>
      </c>
      <c r="F3354">
        <v>92.006999486187425</v>
      </c>
      <c r="G3354">
        <v>4.4855306538350792</v>
      </c>
      <c r="H3354">
        <v>88.4</v>
      </c>
      <c r="I3354">
        <v>27.20365225535862</v>
      </c>
      <c r="J3354">
        <v>23.894730706341338</v>
      </c>
      <c r="K3354">
        <v>709.58647938426145</v>
      </c>
      <c r="L3354">
        <v>0</v>
      </c>
      <c r="M3354" t="s">
        <v>69</v>
      </c>
    </row>
    <row r="3355" spans="1:13" x14ac:dyDescent="0.3">
      <c r="A3355" t="s">
        <v>24</v>
      </c>
      <c r="B3355" t="s">
        <v>57</v>
      </c>
      <c r="C3355">
        <v>7.9266060747000324</v>
      </c>
      <c r="D3355">
        <v>0</v>
      </c>
      <c r="E3355">
        <v>0</v>
      </c>
      <c r="F3355">
        <v>1.01460810748268</v>
      </c>
      <c r="G3355">
        <v>6.093982890667184</v>
      </c>
      <c r="H3355">
        <v>39.445487717490622</v>
      </c>
      <c r="I3355">
        <v>23.470495057227559</v>
      </c>
      <c r="J3355">
        <v>23.203985419151039</v>
      </c>
      <c r="K3355">
        <v>735.78942402768644</v>
      </c>
      <c r="L3355">
        <v>0</v>
      </c>
      <c r="M3355" t="s">
        <v>69</v>
      </c>
    </row>
    <row r="3356" spans="1:13" x14ac:dyDescent="0.3">
      <c r="A3356" t="s">
        <v>25</v>
      </c>
      <c r="B3356" t="s">
        <v>62</v>
      </c>
      <c r="C3356">
        <v>254.44815122612181</v>
      </c>
      <c r="D3356">
        <v>21.042873766666538</v>
      </c>
      <c r="E3356">
        <v>23.97268572956947</v>
      </c>
      <c r="F3356">
        <v>55.865780173705389</v>
      </c>
      <c r="G3356">
        <v>4.3111339375126034</v>
      </c>
      <c r="H3356">
        <v>66.262042133912615</v>
      </c>
      <c r="I3356">
        <v>29.011270606491269</v>
      </c>
      <c r="J3356">
        <v>24.552763501388501</v>
      </c>
      <c r="K3356">
        <v>723.30455277443571</v>
      </c>
      <c r="L3356">
        <v>0</v>
      </c>
      <c r="M3356" t="s">
        <v>69</v>
      </c>
    </row>
    <row r="3357" spans="1:13" x14ac:dyDescent="0.3">
      <c r="A3357" t="s">
        <v>19</v>
      </c>
      <c r="B3357" t="s">
        <v>44</v>
      </c>
      <c r="C3357">
        <v>20.642642137507469</v>
      </c>
      <c r="D3357">
        <v>0.96964501015571791</v>
      </c>
      <c r="E3357">
        <v>0.99236930218185915</v>
      </c>
      <c r="F3357">
        <v>2.4701945862541721</v>
      </c>
      <c r="G3357">
        <v>6.2027286327976414</v>
      </c>
      <c r="H3357">
        <v>17.39353434951337</v>
      </c>
      <c r="I3357">
        <v>26.104251945018401</v>
      </c>
      <c r="J3357">
        <v>24.489540037393951</v>
      </c>
      <c r="K3357">
        <v>1302.1061652562</v>
      </c>
      <c r="L3357">
        <v>0</v>
      </c>
      <c r="M3357" t="s">
        <v>69</v>
      </c>
    </row>
    <row r="3358" spans="1:13" x14ac:dyDescent="0.3">
      <c r="A3358" t="s">
        <v>25</v>
      </c>
      <c r="B3358" t="s">
        <v>62</v>
      </c>
      <c r="C3358">
        <v>30.224490928923899</v>
      </c>
      <c r="D3358">
        <v>1.023675542795325</v>
      </c>
      <c r="E3358">
        <v>1.74599116587676</v>
      </c>
      <c r="F3358">
        <v>5.0557178025908112</v>
      </c>
      <c r="G3358">
        <v>6.2293783996577519</v>
      </c>
      <c r="H3358">
        <v>38.102206715399447</v>
      </c>
      <c r="I3358">
        <v>19.658800264640341</v>
      </c>
      <c r="J3358">
        <v>23.97619119937902</v>
      </c>
      <c r="K3358">
        <v>1084.303421131455</v>
      </c>
      <c r="L3358">
        <v>0</v>
      </c>
      <c r="M3358" t="s">
        <v>69</v>
      </c>
    </row>
    <row r="3359" spans="1:13" x14ac:dyDescent="0.3">
      <c r="A3359" t="s">
        <v>19</v>
      </c>
      <c r="B3359" t="s">
        <v>48</v>
      </c>
      <c r="C3359">
        <v>30.08667823751772</v>
      </c>
      <c r="D3359">
        <v>1.0745107973117549</v>
      </c>
      <c r="E3359">
        <v>1.243019593296828</v>
      </c>
      <c r="F3359">
        <v>4.9924749925476792</v>
      </c>
      <c r="G3359">
        <v>6.0674727258090568</v>
      </c>
      <c r="H3359">
        <v>15.648452277313799</v>
      </c>
      <c r="I3359">
        <v>30.398897462927831</v>
      </c>
      <c r="J3359">
        <v>26.07693130409751</v>
      </c>
      <c r="K3359">
        <v>1165.211361449318</v>
      </c>
      <c r="L3359">
        <v>0</v>
      </c>
      <c r="M3359" t="s">
        <v>69</v>
      </c>
    </row>
    <row r="3360" spans="1:13" x14ac:dyDescent="0.3">
      <c r="A3360" t="s">
        <v>24</v>
      </c>
      <c r="B3360" t="s">
        <v>58</v>
      </c>
      <c r="C3360">
        <v>34.13941025950141</v>
      </c>
      <c r="D3360">
        <v>1.1347817409294869</v>
      </c>
      <c r="E3360">
        <v>2.0698048243557881</v>
      </c>
      <c r="F3360">
        <v>4.644034168871114</v>
      </c>
      <c r="G3360">
        <v>6.5312637880232458</v>
      </c>
      <c r="H3360">
        <v>56.763312350982503</v>
      </c>
      <c r="I3360">
        <v>26.317835168919409</v>
      </c>
      <c r="J3360">
        <v>22.255569315678422</v>
      </c>
      <c r="K3360">
        <v>709.14603151435097</v>
      </c>
      <c r="L3360">
        <v>0</v>
      </c>
      <c r="M3360" t="s">
        <v>69</v>
      </c>
    </row>
    <row r="3361" spans="1:13" x14ac:dyDescent="0.3">
      <c r="A3361" t="s">
        <v>19</v>
      </c>
      <c r="B3361" t="s">
        <v>48</v>
      </c>
      <c r="C3361">
        <v>29.541143381333601</v>
      </c>
      <c r="D3361">
        <v>0.93363724653124613</v>
      </c>
      <c r="E3361">
        <v>2.1870048948874881</v>
      </c>
      <c r="F3361">
        <v>4.9929593597991317</v>
      </c>
      <c r="G3361">
        <v>5.9528578173191331</v>
      </c>
      <c r="H3361">
        <v>22.296269477597068</v>
      </c>
      <c r="I3361">
        <v>31.598280503842009</v>
      </c>
      <c r="J3361">
        <v>25.997197048931941</v>
      </c>
      <c r="K3361">
        <v>1183.2364988185871</v>
      </c>
      <c r="L3361">
        <v>0</v>
      </c>
      <c r="M3361" t="s">
        <v>69</v>
      </c>
    </row>
    <row r="3362" spans="1:13" x14ac:dyDescent="0.3">
      <c r="A3362" t="s">
        <v>25</v>
      </c>
      <c r="B3362" t="s">
        <v>62</v>
      </c>
      <c r="C3362">
        <v>266.61462045161431</v>
      </c>
      <c r="D3362">
        <v>18.97178592025217</v>
      </c>
      <c r="E3362">
        <v>26.939502103795729</v>
      </c>
      <c r="F3362">
        <v>59.69674666171079</v>
      </c>
      <c r="G3362">
        <v>4.3835318958436247</v>
      </c>
      <c r="H3362">
        <v>73.316912420411526</v>
      </c>
      <c r="I3362">
        <v>29.638064521726658</v>
      </c>
      <c r="J3362">
        <v>23.96385171375962</v>
      </c>
      <c r="K3362">
        <v>712.65361310251421</v>
      </c>
      <c r="L3362">
        <v>0</v>
      </c>
      <c r="M3362" t="s">
        <v>69</v>
      </c>
    </row>
    <row r="3363" spans="1:13" x14ac:dyDescent="0.3">
      <c r="A3363" t="s">
        <v>25</v>
      </c>
      <c r="B3363" t="s">
        <v>62</v>
      </c>
      <c r="C3363">
        <v>23.258965497131442</v>
      </c>
      <c r="D3363">
        <v>1.051783126212555</v>
      </c>
      <c r="E3363">
        <v>0.92077827996130157</v>
      </c>
      <c r="F3363">
        <v>3.1259292379439869</v>
      </c>
      <c r="G3363">
        <v>6.2266514105537016</v>
      </c>
      <c r="H3363">
        <v>63.209436609687927</v>
      </c>
      <c r="I3363">
        <v>20.968102654809218</v>
      </c>
      <c r="J3363">
        <v>23.47827195856091</v>
      </c>
      <c r="K3363">
        <v>1200.8941018359301</v>
      </c>
      <c r="L3363">
        <v>0</v>
      </c>
      <c r="M3363" t="s">
        <v>69</v>
      </c>
    </row>
    <row r="3364" spans="1:13" x14ac:dyDescent="0.3">
      <c r="A3364" t="s">
        <v>19</v>
      </c>
      <c r="B3364" t="s">
        <v>45</v>
      </c>
      <c r="C3364">
        <v>21.411256597875891</v>
      </c>
      <c r="D3364">
        <v>1.0832431971102019</v>
      </c>
      <c r="E3364">
        <v>1.049877956013072</v>
      </c>
      <c r="F3364">
        <v>3.0285487418200252</v>
      </c>
      <c r="G3364">
        <v>6.1305767229393391</v>
      </c>
      <c r="H3364">
        <v>19.961292108623951</v>
      </c>
      <c r="I3364">
        <v>31.501509717707691</v>
      </c>
      <c r="J3364">
        <v>22.93672331284467</v>
      </c>
      <c r="K3364">
        <v>1329.824468074059</v>
      </c>
      <c r="L3364">
        <v>0</v>
      </c>
      <c r="M3364" t="s">
        <v>69</v>
      </c>
    </row>
    <row r="3365" spans="1:13" x14ac:dyDescent="0.3">
      <c r="A3365" t="s">
        <v>24</v>
      </c>
      <c r="B3365" t="s">
        <v>57</v>
      </c>
      <c r="C3365">
        <v>55.631870014737977</v>
      </c>
      <c r="D3365">
        <v>1.9694874522163019</v>
      </c>
      <c r="E3365">
        <v>2.9082910241177471</v>
      </c>
      <c r="F3365">
        <v>9.3982119904467325</v>
      </c>
      <c r="G3365">
        <v>5.5676466123078567</v>
      </c>
      <c r="H3365">
        <v>50.339433431449038</v>
      </c>
      <c r="I3365">
        <v>23.236578604892841</v>
      </c>
      <c r="J3365">
        <v>22.910585003238271</v>
      </c>
      <c r="K3365">
        <v>734.21794444576778</v>
      </c>
      <c r="L3365">
        <v>0</v>
      </c>
      <c r="M3365" t="s">
        <v>69</v>
      </c>
    </row>
    <row r="3366" spans="1:13" x14ac:dyDescent="0.3">
      <c r="A3366" t="s">
        <v>25</v>
      </c>
      <c r="B3366" t="s">
        <v>62</v>
      </c>
      <c r="C3366">
        <v>26.548513073189749</v>
      </c>
      <c r="D3366">
        <v>1.2842329007485951</v>
      </c>
      <c r="E3366">
        <v>1.0684519732263911</v>
      </c>
      <c r="F3366">
        <v>4.6994905585612674</v>
      </c>
      <c r="G3366">
        <v>5.5166161291239746</v>
      </c>
      <c r="H3366">
        <v>48.078432138914991</v>
      </c>
      <c r="I3366">
        <v>20.262379604055109</v>
      </c>
      <c r="J3366">
        <v>23.501539332860268</v>
      </c>
      <c r="K3366">
        <v>1029.681657119836</v>
      </c>
      <c r="L3366">
        <v>0</v>
      </c>
      <c r="M3366" t="s">
        <v>69</v>
      </c>
    </row>
    <row r="3367" spans="1:13" x14ac:dyDescent="0.3">
      <c r="A3367" t="s">
        <v>19</v>
      </c>
      <c r="B3367" t="s">
        <v>48</v>
      </c>
      <c r="C3367">
        <v>64.316185791396805</v>
      </c>
      <c r="D3367">
        <v>2.965042041063052</v>
      </c>
      <c r="E3367">
        <v>4.1446797849214558</v>
      </c>
      <c r="F3367">
        <v>9.2510138847155723</v>
      </c>
      <c r="G3367">
        <v>6.3224760978341079</v>
      </c>
      <c r="H3367">
        <v>19.266968857248411</v>
      </c>
      <c r="I3367">
        <v>34.425468490160412</v>
      </c>
      <c r="J3367">
        <v>26.22068367826725</v>
      </c>
      <c r="K3367">
        <v>1173.868548860145</v>
      </c>
      <c r="L3367">
        <v>0</v>
      </c>
      <c r="M3367" t="s">
        <v>69</v>
      </c>
    </row>
    <row r="3368" spans="1:13" x14ac:dyDescent="0.3">
      <c r="A3368" t="s">
        <v>24</v>
      </c>
      <c r="B3368" t="s">
        <v>58</v>
      </c>
      <c r="C3368">
        <v>19.987720681000599</v>
      </c>
      <c r="D3368">
        <v>0.45038606760585642</v>
      </c>
      <c r="E3368">
        <v>0.76891835440932077</v>
      </c>
      <c r="F3368">
        <v>3.0774763008529331</v>
      </c>
      <c r="G3368">
        <v>6.3961891061136624</v>
      </c>
      <c r="H3368">
        <v>40.167370292908473</v>
      </c>
      <c r="I3368">
        <v>23.893904184835922</v>
      </c>
      <c r="J3368">
        <v>24.138954635273802</v>
      </c>
      <c r="K3368">
        <v>720.39309534903805</v>
      </c>
      <c r="L3368">
        <v>0</v>
      </c>
      <c r="M3368" t="s">
        <v>69</v>
      </c>
    </row>
    <row r="3369" spans="1:13" x14ac:dyDescent="0.3">
      <c r="A3369" t="s">
        <v>19</v>
      </c>
      <c r="B3369" t="s">
        <v>48</v>
      </c>
      <c r="C3369">
        <v>38.819788238125298</v>
      </c>
      <c r="D3369">
        <v>1.226980477530395</v>
      </c>
      <c r="E3369">
        <v>2.0258994769180521</v>
      </c>
      <c r="F3369">
        <v>5.8214631515650552</v>
      </c>
      <c r="G3369">
        <v>6.1725293877745111</v>
      </c>
      <c r="H3369">
        <v>16.975287549298379</v>
      </c>
      <c r="I3369">
        <v>32.28650932200047</v>
      </c>
      <c r="J3369">
        <v>26.66731885874368</v>
      </c>
      <c r="K3369">
        <v>1180.477210323392</v>
      </c>
      <c r="L3369">
        <v>0</v>
      </c>
      <c r="M3369" t="s">
        <v>69</v>
      </c>
    </row>
    <row r="3370" spans="1:13" x14ac:dyDescent="0.3">
      <c r="A3370" t="s">
        <v>24</v>
      </c>
      <c r="B3370" t="s">
        <v>59</v>
      </c>
      <c r="C3370">
        <v>59.86184802297938</v>
      </c>
      <c r="D3370">
        <v>1.9512170166018989</v>
      </c>
      <c r="E3370">
        <v>4.2700263989391294</v>
      </c>
      <c r="F3370">
        <v>9.6636821941894819</v>
      </c>
      <c r="G3370">
        <v>6.7510172742343828</v>
      </c>
      <c r="H3370">
        <v>59.001970902557552</v>
      </c>
      <c r="I3370">
        <v>26.342088394266181</v>
      </c>
      <c r="J3370">
        <v>22.725045383100131</v>
      </c>
      <c r="K3370">
        <v>736.72425948976411</v>
      </c>
      <c r="L3370">
        <v>0</v>
      </c>
      <c r="M3370" t="s">
        <v>69</v>
      </c>
    </row>
    <row r="3371" spans="1:13" x14ac:dyDescent="0.3">
      <c r="A3371" t="s">
        <v>24</v>
      </c>
      <c r="B3371" t="s">
        <v>59</v>
      </c>
      <c r="C3371">
        <v>60.863509439437593</v>
      </c>
      <c r="D3371">
        <v>2.104618378298075</v>
      </c>
      <c r="E3371">
        <v>3.6785437828870768</v>
      </c>
      <c r="F3371">
        <v>8.9285337053258154</v>
      </c>
      <c r="G3371">
        <v>6.6075699688395861</v>
      </c>
      <c r="H3371">
        <v>55.658707130856911</v>
      </c>
      <c r="I3371">
        <v>27.29956949076734</v>
      </c>
      <c r="J3371">
        <v>23.43813850623485</v>
      </c>
      <c r="K3371">
        <v>738.33349992986939</v>
      </c>
      <c r="L3371">
        <v>0</v>
      </c>
      <c r="M3371" t="s">
        <v>69</v>
      </c>
    </row>
    <row r="3372" spans="1:13" x14ac:dyDescent="0.3">
      <c r="A3372" t="s">
        <v>19</v>
      </c>
      <c r="B3372" t="s">
        <v>45</v>
      </c>
      <c r="C3372">
        <v>20.54347053639874</v>
      </c>
      <c r="D3372">
        <v>0.84314946508045496</v>
      </c>
      <c r="E3372">
        <v>1.1834223159971691</v>
      </c>
      <c r="F3372">
        <v>2.7783258983925641</v>
      </c>
      <c r="G3372">
        <v>6.197493531325299</v>
      </c>
      <c r="H3372">
        <v>19.056544787283261</v>
      </c>
      <c r="I3372">
        <v>30.582372921264529</v>
      </c>
      <c r="J3372">
        <v>23.666951421945949</v>
      </c>
      <c r="K3372">
        <v>1347.8440420716611</v>
      </c>
      <c r="L3372">
        <v>0</v>
      </c>
      <c r="M3372" t="s">
        <v>69</v>
      </c>
    </row>
    <row r="3373" spans="1:13" x14ac:dyDescent="0.3">
      <c r="A3373" t="s">
        <v>20</v>
      </c>
      <c r="B3373" t="s">
        <v>49</v>
      </c>
      <c r="C3373">
        <v>27.288365937987631</v>
      </c>
      <c r="D3373">
        <v>1.004356348111191</v>
      </c>
      <c r="E3373">
        <v>0.88819190153414862</v>
      </c>
      <c r="F3373">
        <v>4.1201640353909568</v>
      </c>
      <c r="G3373">
        <v>5.8566920061028576</v>
      </c>
      <c r="H3373">
        <v>16.11199535026854</v>
      </c>
      <c r="I3373">
        <v>30.928818347774861</v>
      </c>
      <c r="J3373">
        <v>25.601541177491551</v>
      </c>
      <c r="K3373">
        <v>1152.00852856236</v>
      </c>
      <c r="L3373">
        <v>0</v>
      </c>
      <c r="M3373" t="s">
        <v>69</v>
      </c>
    </row>
    <row r="3374" spans="1:13" x14ac:dyDescent="0.3">
      <c r="A3374" t="s">
        <v>19</v>
      </c>
      <c r="B3374" t="s">
        <v>48</v>
      </c>
      <c r="C3374">
        <v>46.915260520798107</v>
      </c>
      <c r="D3374">
        <v>2.0726703879341941</v>
      </c>
      <c r="E3374">
        <v>2.9728249749321658</v>
      </c>
      <c r="F3374">
        <v>5.8319744132381732</v>
      </c>
      <c r="G3374">
        <v>5.3910191658137752</v>
      </c>
      <c r="H3374">
        <v>19.03362109272603</v>
      </c>
      <c r="I3374">
        <v>31.974494287891449</v>
      </c>
      <c r="J3374">
        <v>25.694241466988899</v>
      </c>
      <c r="K3374">
        <v>1171.804936704207</v>
      </c>
      <c r="L3374">
        <v>0</v>
      </c>
      <c r="M3374" t="s">
        <v>69</v>
      </c>
    </row>
    <row r="3375" spans="1:13" x14ac:dyDescent="0.3">
      <c r="A3375" t="s">
        <v>24</v>
      </c>
      <c r="B3375" t="s">
        <v>58</v>
      </c>
      <c r="C3375">
        <v>35.388536323124228</v>
      </c>
      <c r="D3375">
        <v>0.88461611181706212</v>
      </c>
      <c r="E3375">
        <v>1.8044922101809291</v>
      </c>
      <c r="F3375">
        <v>4.5230667788909606</v>
      </c>
      <c r="G3375">
        <v>6.8759665172004372</v>
      </c>
      <c r="H3375">
        <v>57.261175730563082</v>
      </c>
      <c r="I3375">
        <v>24.54819127882795</v>
      </c>
      <c r="J3375">
        <v>23.28613383220593</v>
      </c>
      <c r="K3375">
        <v>725.21000248376743</v>
      </c>
      <c r="L3375">
        <v>0</v>
      </c>
      <c r="M3375" t="s">
        <v>69</v>
      </c>
    </row>
    <row r="3376" spans="1:13" x14ac:dyDescent="0.3">
      <c r="A3376" t="s">
        <v>25</v>
      </c>
      <c r="B3376" t="s">
        <v>62</v>
      </c>
      <c r="C3376">
        <v>577.09816320268931</v>
      </c>
      <c r="D3376">
        <v>32.167688317921289</v>
      </c>
      <c r="E3376">
        <v>33.188026507954348</v>
      </c>
      <c r="F3376">
        <v>88.879778419114245</v>
      </c>
      <c r="G3376">
        <v>4.5106933226043253</v>
      </c>
      <c r="H3376">
        <v>88.4</v>
      </c>
      <c r="I3376">
        <v>26.481189914016529</v>
      </c>
      <c r="J3376">
        <v>24.633136876247139</v>
      </c>
      <c r="K3376">
        <v>717.81485393429443</v>
      </c>
      <c r="L3376">
        <v>0</v>
      </c>
      <c r="M3376" t="s">
        <v>69</v>
      </c>
    </row>
    <row r="3377" spans="1:13" x14ac:dyDescent="0.3">
      <c r="A3377" t="s">
        <v>25</v>
      </c>
      <c r="B3377" t="s">
        <v>62</v>
      </c>
      <c r="C3377">
        <v>251.6071502892469</v>
      </c>
      <c r="D3377">
        <v>20.365159576197222</v>
      </c>
      <c r="E3377">
        <v>24.232184897484071</v>
      </c>
      <c r="F3377">
        <v>55.605555778399989</v>
      </c>
      <c r="G3377">
        <v>4.3098704790755367</v>
      </c>
      <c r="H3377">
        <v>66.363971952128026</v>
      </c>
      <c r="I3377">
        <v>28.776047226570331</v>
      </c>
      <c r="J3377">
        <v>24.630176753886129</v>
      </c>
      <c r="K3377">
        <v>722.8807582405899</v>
      </c>
      <c r="L3377">
        <v>0</v>
      </c>
      <c r="M3377" t="s">
        <v>69</v>
      </c>
    </row>
    <row r="3378" spans="1:13" x14ac:dyDescent="0.3">
      <c r="A3378" t="s">
        <v>24</v>
      </c>
      <c r="B3378" t="s">
        <v>59</v>
      </c>
      <c r="C3378">
        <v>57.196377149270681</v>
      </c>
      <c r="D3378">
        <v>1.851621789227988</v>
      </c>
      <c r="E3378">
        <v>4.0823907708308322</v>
      </c>
      <c r="F3378">
        <v>9.2583511281860797</v>
      </c>
      <c r="G3378">
        <v>6.6532840721235758</v>
      </c>
      <c r="H3378">
        <v>59.46773743322364</v>
      </c>
      <c r="I3378">
        <v>26.510275219010499</v>
      </c>
      <c r="J3378">
        <v>23.422381688544771</v>
      </c>
      <c r="K3378">
        <v>719.04957776716901</v>
      </c>
      <c r="L3378">
        <v>0</v>
      </c>
      <c r="M3378" t="s">
        <v>69</v>
      </c>
    </row>
    <row r="3379" spans="1:13" x14ac:dyDescent="0.3">
      <c r="A3379" t="s">
        <v>25</v>
      </c>
      <c r="B3379" t="s">
        <v>62</v>
      </c>
      <c r="C3379">
        <v>548.18131027700895</v>
      </c>
      <c r="D3379">
        <v>29.851292891839869</v>
      </c>
      <c r="E3379">
        <v>44.409717634785451</v>
      </c>
      <c r="F3379">
        <v>105.3776601224167</v>
      </c>
      <c r="G3379">
        <v>4.6227676788833847</v>
      </c>
      <c r="H3379">
        <v>88.4</v>
      </c>
      <c r="I3379">
        <v>27.69793798790537</v>
      </c>
      <c r="J3379">
        <v>23.75423634554453</v>
      </c>
      <c r="K3379">
        <v>702.05012578644505</v>
      </c>
      <c r="L3379">
        <v>0</v>
      </c>
      <c r="M3379" t="s">
        <v>69</v>
      </c>
    </row>
    <row r="3380" spans="1:13" x14ac:dyDescent="0.3">
      <c r="A3380" t="s">
        <v>24</v>
      </c>
      <c r="B3380" t="s">
        <v>58</v>
      </c>
      <c r="C3380">
        <v>26.876420534896209</v>
      </c>
      <c r="D3380">
        <v>1.038857010087664</v>
      </c>
      <c r="E3380">
        <v>2.054372041654605</v>
      </c>
      <c r="F3380">
        <v>4.0837515828182456</v>
      </c>
      <c r="G3380">
        <v>6.2036384539239151</v>
      </c>
      <c r="H3380">
        <v>38.825683878070009</v>
      </c>
      <c r="I3380">
        <v>23.840057219534842</v>
      </c>
      <c r="J3380">
        <v>23.01781991374715</v>
      </c>
      <c r="K3380">
        <v>736.04659299409502</v>
      </c>
      <c r="L3380">
        <v>0</v>
      </c>
      <c r="M3380" t="s">
        <v>69</v>
      </c>
    </row>
    <row r="3381" spans="1:13" x14ac:dyDescent="0.3">
      <c r="A3381" t="s">
        <v>19</v>
      </c>
      <c r="B3381" t="s">
        <v>48</v>
      </c>
      <c r="C3381">
        <v>38.949395269463608</v>
      </c>
      <c r="D3381">
        <v>1.416253184636882</v>
      </c>
      <c r="E3381">
        <v>2.7882306623761188</v>
      </c>
      <c r="F3381">
        <v>6.6337871978507028</v>
      </c>
      <c r="G3381">
        <v>6.0412662113677413</v>
      </c>
      <c r="H3381">
        <v>20.26118396817483</v>
      </c>
      <c r="I3381">
        <v>32.390037294907202</v>
      </c>
      <c r="J3381">
        <v>25.07026897376954</v>
      </c>
      <c r="K3381">
        <v>1159.17985046219</v>
      </c>
      <c r="L3381">
        <v>0</v>
      </c>
      <c r="M3381" t="s">
        <v>69</v>
      </c>
    </row>
    <row r="3382" spans="1:13" x14ac:dyDescent="0.3">
      <c r="A3382" t="s">
        <v>19</v>
      </c>
      <c r="B3382" t="s">
        <v>48</v>
      </c>
      <c r="C3382">
        <v>38.217706467659667</v>
      </c>
      <c r="D3382">
        <v>0.94127072655682076</v>
      </c>
      <c r="E3382">
        <v>2.033171951910874</v>
      </c>
      <c r="F3382">
        <v>5.7749779158122374</v>
      </c>
      <c r="G3382">
        <v>6.3290388992738542</v>
      </c>
      <c r="H3382">
        <v>16.02936745261345</v>
      </c>
      <c r="I3382">
        <v>31.795342426070341</v>
      </c>
      <c r="J3382">
        <v>25.858032295213221</v>
      </c>
      <c r="K3382">
        <v>1179.2443382099</v>
      </c>
      <c r="L3382">
        <v>0</v>
      </c>
      <c r="M3382" t="s">
        <v>69</v>
      </c>
    </row>
    <row r="3383" spans="1:13" x14ac:dyDescent="0.3">
      <c r="A3383" t="s">
        <v>20</v>
      </c>
      <c r="B3383" t="s">
        <v>49</v>
      </c>
      <c r="C3383">
        <v>38.311515647317613</v>
      </c>
      <c r="D3383">
        <v>0.96359554872162967</v>
      </c>
      <c r="E3383">
        <v>1.959351159885212</v>
      </c>
      <c r="F3383">
        <v>5.8786965509307354</v>
      </c>
      <c r="G3383">
        <v>6.1836019196427419</v>
      </c>
      <c r="H3383">
        <v>16.13051770557583</v>
      </c>
      <c r="I3383">
        <v>31.239629897807468</v>
      </c>
      <c r="J3383">
        <v>26.407933197074261</v>
      </c>
      <c r="K3383">
        <v>1156.746098873027</v>
      </c>
      <c r="L3383">
        <v>0</v>
      </c>
      <c r="M3383" t="s">
        <v>69</v>
      </c>
    </row>
    <row r="3384" spans="1:13" x14ac:dyDescent="0.3">
      <c r="A3384" t="s">
        <v>20</v>
      </c>
      <c r="B3384" t="s">
        <v>49</v>
      </c>
      <c r="C3384">
        <v>41.900342374491217</v>
      </c>
      <c r="D3384">
        <v>2.0475176434364659</v>
      </c>
      <c r="E3384">
        <v>2.759216237425945</v>
      </c>
      <c r="F3384">
        <v>7.6894974938461278</v>
      </c>
      <c r="G3384">
        <v>6.1135103064481013</v>
      </c>
      <c r="H3384">
        <v>20.85959259427884</v>
      </c>
      <c r="I3384">
        <v>32.78351574701945</v>
      </c>
      <c r="J3384">
        <v>26.290556853589148</v>
      </c>
      <c r="K3384">
        <v>1152.6896731664719</v>
      </c>
      <c r="L3384">
        <v>0</v>
      </c>
      <c r="M3384" t="s">
        <v>69</v>
      </c>
    </row>
    <row r="3385" spans="1:13" x14ac:dyDescent="0.3">
      <c r="A3385" t="s">
        <v>24</v>
      </c>
      <c r="B3385" t="s">
        <v>58</v>
      </c>
      <c r="C3385">
        <v>35.999031313160401</v>
      </c>
      <c r="D3385">
        <v>1.138100472726205</v>
      </c>
      <c r="E3385">
        <v>1.968275508059282</v>
      </c>
      <c r="F3385">
        <v>4.5025519588317238</v>
      </c>
      <c r="G3385">
        <v>6.9988015720512378</v>
      </c>
      <c r="H3385">
        <v>56.579587010006783</v>
      </c>
      <c r="I3385">
        <v>24.821873374608469</v>
      </c>
      <c r="J3385">
        <v>22.828483756254538</v>
      </c>
      <c r="K3385">
        <v>719.3252652849078</v>
      </c>
      <c r="L3385">
        <v>0</v>
      </c>
      <c r="M3385" t="s">
        <v>69</v>
      </c>
    </row>
    <row r="3386" spans="1:13" x14ac:dyDescent="0.3">
      <c r="A3386" t="s">
        <v>20</v>
      </c>
      <c r="B3386" t="s">
        <v>49</v>
      </c>
      <c r="C3386">
        <v>26.468151694644479</v>
      </c>
      <c r="D3386">
        <v>0.96799044123307443</v>
      </c>
      <c r="E3386">
        <v>0.9615806435094898</v>
      </c>
      <c r="F3386">
        <v>4.1905404379515119</v>
      </c>
      <c r="G3386">
        <v>6.0152137094806788</v>
      </c>
      <c r="H3386">
        <v>15.72971407674263</v>
      </c>
      <c r="I3386">
        <v>29.826483180530971</v>
      </c>
      <c r="J3386">
        <v>23.617910179129179</v>
      </c>
      <c r="K3386">
        <v>1155.143812756118</v>
      </c>
      <c r="L3386">
        <v>0</v>
      </c>
      <c r="M3386" t="s">
        <v>69</v>
      </c>
    </row>
    <row r="3387" spans="1:13" x14ac:dyDescent="0.3">
      <c r="A3387" t="s">
        <v>24</v>
      </c>
      <c r="B3387" t="s">
        <v>57</v>
      </c>
      <c r="C3387">
        <v>53.836613749047963</v>
      </c>
      <c r="D3387">
        <v>1.9237702450926051</v>
      </c>
      <c r="E3387">
        <v>2.9241732578956001</v>
      </c>
      <c r="F3387">
        <v>7.8701659300280724</v>
      </c>
      <c r="G3387">
        <v>5.5572743017627264</v>
      </c>
      <c r="H3387">
        <v>49.340255822629757</v>
      </c>
      <c r="I3387">
        <v>23.303062325192169</v>
      </c>
      <c r="J3387">
        <v>23.07729481753044</v>
      </c>
      <c r="K3387">
        <v>746.23980320175497</v>
      </c>
      <c r="L3387">
        <v>0</v>
      </c>
      <c r="M3387" t="s">
        <v>69</v>
      </c>
    </row>
    <row r="3388" spans="1:13" x14ac:dyDescent="0.3">
      <c r="A3388" t="s">
        <v>20</v>
      </c>
      <c r="B3388" t="s">
        <v>49</v>
      </c>
      <c r="C3388">
        <v>40.915064897303573</v>
      </c>
      <c r="D3388">
        <v>2.1278545899242491</v>
      </c>
      <c r="E3388">
        <v>3.3483375740880339</v>
      </c>
      <c r="F3388">
        <v>7.3973697263095586</v>
      </c>
      <c r="G3388">
        <v>5.6103895482635453</v>
      </c>
      <c r="H3388">
        <v>20.40359293986555</v>
      </c>
      <c r="I3388">
        <v>30.912477772701379</v>
      </c>
      <c r="J3388">
        <v>24.185900631467479</v>
      </c>
      <c r="K3388">
        <v>1162.408600876624</v>
      </c>
      <c r="L3388">
        <v>0</v>
      </c>
      <c r="M3388" t="s">
        <v>69</v>
      </c>
    </row>
    <row r="3389" spans="1:13" x14ac:dyDescent="0.3">
      <c r="A3389" t="s">
        <v>19</v>
      </c>
      <c r="B3389" t="s">
        <v>44</v>
      </c>
      <c r="C3389">
        <v>22.30691793319934</v>
      </c>
      <c r="D3389">
        <v>1.149208266419175</v>
      </c>
      <c r="E3389">
        <v>0.96676591179283733</v>
      </c>
      <c r="F3389">
        <v>2.8177022075681228</v>
      </c>
      <c r="G3389">
        <v>6.4429421144416894</v>
      </c>
      <c r="H3389">
        <v>19.97045941751983</v>
      </c>
      <c r="I3389">
        <v>27.56696973716674</v>
      </c>
      <c r="J3389">
        <v>23.874210118866809</v>
      </c>
      <c r="K3389">
        <v>1339.9285614469029</v>
      </c>
      <c r="L3389">
        <v>0</v>
      </c>
      <c r="M3389" t="s">
        <v>69</v>
      </c>
    </row>
    <row r="3390" spans="1:13" x14ac:dyDescent="0.3">
      <c r="A3390" t="s">
        <v>19</v>
      </c>
      <c r="B3390" t="s">
        <v>48</v>
      </c>
      <c r="C3390">
        <v>26.970788347040209</v>
      </c>
      <c r="D3390">
        <v>0.8212158974758319</v>
      </c>
      <c r="E3390">
        <v>2.2089504547330079</v>
      </c>
      <c r="F3390">
        <v>5.9352627806504774</v>
      </c>
      <c r="G3390">
        <v>6.1755227148113194</v>
      </c>
      <c r="H3390">
        <v>21.395210258542061</v>
      </c>
      <c r="I3390">
        <v>31.134822231538831</v>
      </c>
      <c r="J3390">
        <v>25.448301656203771</v>
      </c>
      <c r="K3390">
        <v>1159.252319840883</v>
      </c>
      <c r="L3390">
        <v>0</v>
      </c>
      <c r="M3390" t="s">
        <v>69</v>
      </c>
    </row>
    <row r="3391" spans="1:13" x14ac:dyDescent="0.3">
      <c r="A3391" t="s">
        <v>19</v>
      </c>
      <c r="B3391" t="s">
        <v>48</v>
      </c>
      <c r="C3391">
        <v>47.043306142270659</v>
      </c>
      <c r="D3391">
        <v>2.070708054840618</v>
      </c>
      <c r="E3391">
        <v>2.9977871981041608</v>
      </c>
      <c r="F3391">
        <v>5.8146958952835686</v>
      </c>
      <c r="G3391">
        <v>5.3859247576477038</v>
      </c>
      <c r="H3391">
        <v>19.005750550007381</v>
      </c>
      <c r="I3391">
        <v>31.945087413276379</v>
      </c>
      <c r="J3391">
        <v>25.71917326656374</v>
      </c>
      <c r="K3391">
        <v>1172.2041034796871</v>
      </c>
      <c r="L3391">
        <v>0</v>
      </c>
      <c r="M3391" t="s">
        <v>69</v>
      </c>
    </row>
    <row r="3392" spans="1:13" x14ac:dyDescent="0.3">
      <c r="A3392" t="s">
        <v>19</v>
      </c>
      <c r="B3392" t="s">
        <v>48</v>
      </c>
      <c r="C3392">
        <v>41.569413288715253</v>
      </c>
      <c r="D3392">
        <v>1.3343668091972569</v>
      </c>
      <c r="E3392">
        <v>2.7649989431886892</v>
      </c>
      <c r="F3392">
        <v>6.5473644675903628</v>
      </c>
      <c r="G3392">
        <v>6.0847762914468246</v>
      </c>
      <c r="H3392">
        <v>18.037644961409089</v>
      </c>
      <c r="I3392">
        <v>31.898872435785531</v>
      </c>
      <c r="J3392">
        <v>24.917745433221729</v>
      </c>
      <c r="K3392">
        <v>1146.722486654724</v>
      </c>
      <c r="L3392">
        <v>0</v>
      </c>
      <c r="M3392" t="s">
        <v>69</v>
      </c>
    </row>
    <row r="3393" spans="1:13" x14ac:dyDescent="0.3">
      <c r="A3393" t="s">
        <v>25</v>
      </c>
      <c r="B3393" t="s">
        <v>62</v>
      </c>
      <c r="C3393">
        <v>24.00647991255822</v>
      </c>
      <c r="D3393">
        <v>1.074831273570211</v>
      </c>
      <c r="E3393">
        <v>0.99309462643952529</v>
      </c>
      <c r="F3393">
        <v>2.9924867530832699</v>
      </c>
      <c r="G3393">
        <v>6.3729949790728337</v>
      </c>
      <c r="H3393">
        <v>67.517512257744329</v>
      </c>
      <c r="I3393">
        <v>20.502470069192</v>
      </c>
      <c r="J3393">
        <v>24.070310418794001</v>
      </c>
      <c r="K3393">
        <v>1198.095951746518</v>
      </c>
      <c r="L3393">
        <v>0</v>
      </c>
      <c r="M3393" t="s">
        <v>69</v>
      </c>
    </row>
    <row r="3394" spans="1:13" x14ac:dyDescent="0.3">
      <c r="A3394" t="s">
        <v>20</v>
      </c>
      <c r="B3394" t="s">
        <v>49</v>
      </c>
      <c r="C3394">
        <v>37.13541724086091</v>
      </c>
      <c r="D3394">
        <v>1.0306942937883341</v>
      </c>
      <c r="E3394">
        <v>2.1140398231785218</v>
      </c>
      <c r="F3394">
        <v>5.6248342811553407</v>
      </c>
      <c r="G3394">
        <v>6.3137106655828461</v>
      </c>
      <c r="H3394">
        <v>16.4756890251128</v>
      </c>
      <c r="I3394">
        <v>31.281833796932691</v>
      </c>
      <c r="J3394">
        <v>25.440018101551999</v>
      </c>
      <c r="K3394">
        <v>1159.5871186175129</v>
      </c>
      <c r="L3394">
        <v>0</v>
      </c>
      <c r="M3394" t="s">
        <v>69</v>
      </c>
    </row>
    <row r="3395" spans="1:13" x14ac:dyDescent="0.3">
      <c r="A3395" t="s">
        <v>25</v>
      </c>
      <c r="B3395" t="s">
        <v>62</v>
      </c>
      <c r="C3395">
        <v>61.311281638400608</v>
      </c>
      <c r="D3395">
        <v>3.1154782726750541</v>
      </c>
      <c r="E3395">
        <v>3.8259772626478261</v>
      </c>
      <c r="F3395">
        <v>9.6111245562279812</v>
      </c>
      <c r="G3395">
        <v>6.3194119077534916</v>
      </c>
      <c r="H3395">
        <v>19.0543781350808</v>
      </c>
      <c r="I3395">
        <v>33.663086153948171</v>
      </c>
      <c r="J3395">
        <v>25.5729227404568</v>
      </c>
      <c r="K3395">
        <v>1201.21165859384</v>
      </c>
      <c r="L3395">
        <v>0</v>
      </c>
      <c r="M3395" t="s">
        <v>69</v>
      </c>
    </row>
    <row r="3396" spans="1:13" x14ac:dyDescent="0.3">
      <c r="A3396" t="s">
        <v>24</v>
      </c>
      <c r="B3396" t="s">
        <v>58</v>
      </c>
      <c r="C3396">
        <v>28.194075083931509</v>
      </c>
      <c r="D3396">
        <v>1.033552754192427</v>
      </c>
      <c r="E3396">
        <v>2.4525823615428761</v>
      </c>
      <c r="F3396">
        <v>4.3090008517339431</v>
      </c>
      <c r="G3396">
        <v>6.2458582370828539</v>
      </c>
      <c r="H3396">
        <v>37.684778109285801</v>
      </c>
      <c r="I3396">
        <v>23.12026014586435</v>
      </c>
      <c r="J3396">
        <v>22.776077201130359</v>
      </c>
      <c r="K3396">
        <v>730.76585455426959</v>
      </c>
      <c r="L3396">
        <v>0</v>
      </c>
      <c r="M3396" t="s">
        <v>69</v>
      </c>
    </row>
    <row r="3397" spans="1:13" x14ac:dyDescent="0.3">
      <c r="A3397" t="s">
        <v>19</v>
      </c>
      <c r="B3397" t="s">
        <v>48</v>
      </c>
      <c r="C3397">
        <v>35.869954495193831</v>
      </c>
      <c r="D3397">
        <v>0.90295405131608719</v>
      </c>
      <c r="E3397">
        <v>1.7915486595668799</v>
      </c>
      <c r="F3397">
        <v>6.9601964149304454</v>
      </c>
      <c r="G3397">
        <v>6.0556825669143803</v>
      </c>
      <c r="H3397">
        <v>16.253760942084401</v>
      </c>
      <c r="I3397">
        <v>30.764823380739159</v>
      </c>
      <c r="J3397">
        <v>25.930675572974909</v>
      </c>
      <c r="K3397">
        <v>1181.638544036183</v>
      </c>
      <c r="L3397">
        <v>0</v>
      </c>
      <c r="M3397" t="s">
        <v>69</v>
      </c>
    </row>
    <row r="3398" spans="1:13" x14ac:dyDescent="0.3">
      <c r="A3398" t="s">
        <v>21</v>
      </c>
      <c r="B3398" t="s">
        <v>52</v>
      </c>
      <c r="C3398">
        <v>30.467076801755891</v>
      </c>
      <c r="D3398">
        <v>1.069530481788515</v>
      </c>
      <c r="E3398">
        <v>2.0682001696623322</v>
      </c>
      <c r="F3398">
        <v>4.0920979973926466</v>
      </c>
      <c r="G3398">
        <v>6.2795255732072599</v>
      </c>
      <c r="H3398">
        <v>24.33967795961637</v>
      </c>
      <c r="I3398">
        <v>22.883665581954869</v>
      </c>
      <c r="J3398">
        <v>24.673904444037639</v>
      </c>
      <c r="K3398">
        <v>1186.363537592792</v>
      </c>
      <c r="L3398">
        <v>0</v>
      </c>
      <c r="M3398" t="s">
        <v>69</v>
      </c>
    </row>
    <row r="3399" spans="1:13" x14ac:dyDescent="0.3">
      <c r="A3399" t="s">
        <v>25</v>
      </c>
      <c r="B3399" t="s">
        <v>62</v>
      </c>
      <c r="C3399">
        <v>30.644576163146329</v>
      </c>
      <c r="D3399">
        <v>0.94424372902135012</v>
      </c>
      <c r="E3399">
        <v>2.2545050208647281</v>
      </c>
      <c r="F3399">
        <v>4.2923344262067786</v>
      </c>
      <c r="G3399">
        <v>6.2664493677640234</v>
      </c>
      <c r="H3399">
        <v>38.271493727488661</v>
      </c>
      <c r="I3399">
        <v>20.371325962855771</v>
      </c>
      <c r="J3399">
        <v>25.94718634392741</v>
      </c>
      <c r="K3399">
        <v>1105.6884245925951</v>
      </c>
      <c r="L3399">
        <v>0</v>
      </c>
      <c r="M3399" t="s">
        <v>69</v>
      </c>
    </row>
    <row r="3400" spans="1:13" x14ac:dyDescent="0.3">
      <c r="A3400" t="s">
        <v>25</v>
      </c>
      <c r="B3400" t="s">
        <v>62</v>
      </c>
      <c r="C3400">
        <v>31.332901070957249</v>
      </c>
      <c r="D3400">
        <v>1.0677466877162061</v>
      </c>
      <c r="E3400">
        <v>2.096323740798212</v>
      </c>
      <c r="F3400">
        <v>4.7524423974387471</v>
      </c>
      <c r="G3400">
        <v>6.4651304731045114</v>
      </c>
      <c r="H3400">
        <v>38.406932136065599</v>
      </c>
      <c r="I3400">
        <v>20.07359781110711</v>
      </c>
      <c r="J3400">
        <v>23.92007444309365</v>
      </c>
      <c r="K3400">
        <v>1086.5211905467941</v>
      </c>
      <c r="L3400">
        <v>0</v>
      </c>
      <c r="M3400" t="s">
        <v>69</v>
      </c>
    </row>
    <row r="3401" spans="1:13" x14ac:dyDescent="0.3">
      <c r="A3401" t="s">
        <v>25</v>
      </c>
      <c r="B3401" t="s">
        <v>62</v>
      </c>
      <c r="C3401">
        <v>30.012628324285458</v>
      </c>
      <c r="D3401">
        <v>1.1130734892125791</v>
      </c>
      <c r="E3401">
        <v>1.8365959642921601</v>
      </c>
      <c r="F3401">
        <v>5.4888395410750448</v>
      </c>
      <c r="G3401">
        <v>6.1900998080515492</v>
      </c>
      <c r="H3401">
        <v>38.256129684087398</v>
      </c>
      <c r="I3401">
        <v>19.768314151943269</v>
      </c>
      <c r="J3401">
        <v>24.023948631915712</v>
      </c>
      <c r="K3401">
        <v>1098.5116716379921</v>
      </c>
      <c r="L3401">
        <v>0</v>
      </c>
      <c r="M3401" t="s">
        <v>69</v>
      </c>
    </row>
    <row r="3402" spans="1:13" x14ac:dyDescent="0.3">
      <c r="A3402" t="s">
        <v>19</v>
      </c>
      <c r="B3402" t="s">
        <v>48</v>
      </c>
      <c r="C3402">
        <v>41.571351182271059</v>
      </c>
      <c r="D3402">
        <v>1.941091490978339</v>
      </c>
      <c r="E3402">
        <v>1.888336365856899</v>
      </c>
      <c r="F3402">
        <v>6.0072505792109361</v>
      </c>
      <c r="G3402">
        <v>6.1943488775283209</v>
      </c>
      <c r="H3402">
        <v>17.237223247231551</v>
      </c>
      <c r="I3402">
        <v>32.745957427432522</v>
      </c>
      <c r="J3402">
        <v>26.500546258874149</v>
      </c>
      <c r="K3402">
        <v>1145.585707422186</v>
      </c>
      <c r="L3402">
        <v>0</v>
      </c>
      <c r="M3402" t="s">
        <v>69</v>
      </c>
    </row>
    <row r="3403" spans="1:13" x14ac:dyDescent="0.3">
      <c r="A3403" t="s">
        <v>19</v>
      </c>
      <c r="B3403" t="s">
        <v>44</v>
      </c>
      <c r="C3403">
        <v>22.648582545673861</v>
      </c>
      <c r="D3403">
        <v>1.082605470260162</v>
      </c>
      <c r="E3403">
        <v>0.98797413222952191</v>
      </c>
      <c r="F3403">
        <v>3.198797890130253</v>
      </c>
      <c r="G3403">
        <v>6.5569125849312169</v>
      </c>
      <c r="H3403">
        <v>19.731235355024669</v>
      </c>
      <c r="I3403">
        <v>27.42999990604503</v>
      </c>
      <c r="J3403">
        <v>24.162165724990938</v>
      </c>
      <c r="K3403">
        <v>1330.9361019355649</v>
      </c>
      <c r="L3403">
        <v>0</v>
      </c>
      <c r="M3403" t="s">
        <v>69</v>
      </c>
    </row>
    <row r="3404" spans="1:13" x14ac:dyDescent="0.3">
      <c r="A3404" t="s">
        <v>19</v>
      </c>
      <c r="B3404" t="s">
        <v>48</v>
      </c>
      <c r="C3404">
        <v>58.271882911961583</v>
      </c>
      <c r="D3404">
        <v>2.9345766299301101</v>
      </c>
      <c r="E3404">
        <v>4.1189179130500682</v>
      </c>
      <c r="F3404">
        <v>7.6122813885374203</v>
      </c>
      <c r="G3404">
        <v>6.1685145573367466</v>
      </c>
      <c r="H3404">
        <v>18.316140194077509</v>
      </c>
      <c r="I3404">
        <v>32.254607572194161</v>
      </c>
      <c r="J3404">
        <v>26.875001667302421</v>
      </c>
      <c r="K3404">
        <v>1160.147020230092</v>
      </c>
      <c r="L3404">
        <v>0</v>
      </c>
      <c r="M3404" t="s">
        <v>69</v>
      </c>
    </row>
    <row r="3405" spans="1:13" x14ac:dyDescent="0.3">
      <c r="A3405" t="s">
        <v>24</v>
      </c>
      <c r="B3405" t="s">
        <v>59</v>
      </c>
      <c r="C3405">
        <v>58.829224429441858</v>
      </c>
      <c r="D3405">
        <v>2.3041585602889509</v>
      </c>
      <c r="E3405">
        <v>3.829027068237798</v>
      </c>
      <c r="F3405">
        <v>8.2390834989421649</v>
      </c>
      <c r="G3405">
        <v>6.6391526574981148</v>
      </c>
      <c r="H3405">
        <v>55.632799719172453</v>
      </c>
      <c r="I3405">
        <v>26.663937318022391</v>
      </c>
      <c r="J3405">
        <v>23.599681755799882</v>
      </c>
      <c r="K3405">
        <v>736.55638413700092</v>
      </c>
      <c r="L3405">
        <v>0</v>
      </c>
      <c r="M3405" t="s">
        <v>69</v>
      </c>
    </row>
    <row r="3406" spans="1:13" x14ac:dyDescent="0.3">
      <c r="A3406" t="s">
        <v>19</v>
      </c>
      <c r="B3406" t="s">
        <v>44</v>
      </c>
      <c r="C3406">
        <v>22.448866162525061</v>
      </c>
      <c r="D3406">
        <v>1.024398888227956</v>
      </c>
      <c r="E3406">
        <v>1.0973670174178389</v>
      </c>
      <c r="F3406">
        <v>2.792654481572415</v>
      </c>
      <c r="G3406">
        <v>6.3047064063619507</v>
      </c>
      <c r="H3406">
        <v>19.51401101772138</v>
      </c>
      <c r="I3406">
        <v>26.974257688862689</v>
      </c>
      <c r="J3406">
        <v>24.168757428270279</v>
      </c>
      <c r="K3406">
        <v>1298.251223757436</v>
      </c>
      <c r="L3406">
        <v>0</v>
      </c>
      <c r="M3406" t="s">
        <v>69</v>
      </c>
    </row>
    <row r="3407" spans="1:13" x14ac:dyDescent="0.3">
      <c r="A3407" t="s">
        <v>19</v>
      </c>
      <c r="B3407" t="s">
        <v>45</v>
      </c>
      <c r="C3407">
        <v>20.43678655174368</v>
      </c>
      <c r="D3407">
        <v>1.056180986283797</v>
      </c>
      <c r="E3407">
        <v>1.093643794750323</v>
      </c>
      <c r="F3407">
        <v>2.804694992183443</v>
      </c>
      <c r="G3407">
        <v>6.245054783765787</v>
      </c>
      <c r="H3407">
        <v>19.227047157114459</v>
      </c>
      <c r="I3407">
        <v>31.929510273877622</v>
      </c>
      <c r="J3407">
        <v>24.017566189102471</v>
      </c>
      <c r="K3407">
        <v>1325.594933900647</v>
      </c>
      <c r="L3407">
        <v>0</v>
      </c>
      <c r="M3407" t="s">
        <v>69</v>
      </c>
    </row>
    <row r="3408" spans="1:13" x14ac:dyDescent="0.3">
      <c r="A3408" t="s">
        <v>19</v>
      </c>
      <c r="B3408" t="s">
        <v>44</v>
      </c>
      <c r="C3408">
        <v>18.1775730278098</v>
      </c>
      <c r="D3408">
        <v>0</v>
      </c>
      <c r="E3408">
        <v>1.0929471430757089</v>
      </c>
      <c r="F3408">
        <v>2.4203945940123859</v>
      </c>
      <c r="G3408">
        <v>5.3600719480220684</v>
      </c>
      <c r="H3408">
        <v>14.959669350723789</v>
      </c>
      <c r="I3408">
        <v>30.717653374999539</v>
      </c>
      <c r="J3408">
        <v>23.00165484057678</v>
      </c>
      <c r="K3408">
        <v>1340.0441183918931</v>
      </c>
      <c r="L3408">
        <v>0</v>
      </c>
      <c r="M3408" t="s">
        <v>69</v>
      </c>
    </row>
    <row r="3409" spans="1:13" x14ac:dyDescent="0.3">
      <c r="A3409" t="s">
        <v>19</v>
      </c>
      <c r="B3409" t="s">
        <v>45</v>
      </c>
      <c r="C3409">
        <v>18.9455896281512</v>
      </c>
      <c r="D3409">
        <v>0.88266320687344324</v>
      </c>
      <c r="E3409">
        <v>0.88762237746760242</v>
      </c>
      <c r="F3409">
        <v>3.1122003669853679</v>
      </c>
      <c r="G3409">
        <v>6.3993670049631604</v>
      </c>
      <c r="H3409">
        <v>17.87275110510744</v>
      </c>
      <c r="I3409">
        <v>32.512197416078337</v>
      </c>
      <c r="J3409">
        <v>24.677574131985551</v>
      </c>
      <c r="K3409">
        <v>1314.092580350969</v>
      </c>
      <c r="L3409">
        <v>0</v>
      </c>
      <c r="M3409" t="s">
        <v>69</v>
      </c>
    </row>
    <row r="3410" spans="1:13" x14ac:dyDescent="0.3">
      <c r="A3410" t="s">
        <v>19</v>
      </c>
      <c r="B3410" t="s">
        <v>48</v>
      </c>
      <c r="C3410">
        <v>39.189763882363437</v>
      </c>
      <c r="D3410">
        <v>0.73169835235763347</v>
      </c>
      <c r="E3410">
        <v>1.6177970503701069</v>
      </c>
      <c r="F3410">
        <v>5.7182208292332053</v>
      </c>
      <c r="G3410">
        <v>6.1045547579725801</v>
      </c>
      <c r="H3410">
        <v>16.773030120663702</v>
      </c>
      <c r="I3410">
        <v>32.297455142721368</v>
      </c>
      <c r="J3410">
        <v>24.8336089253858</v>
      </c>
      <c r="K3410">
        <v>1167.234010397767</v>
      </c>
      <c r="L3410">
        <v>0</v>
      </c>
      <c r="M3410" t="s">
        <v>69</v>
      </c>
    </row>
    <row r="3411" spans="1:13" x14ac:dyDescent="0.3">
      <c r="A3411" t="s">
        <v>25</v>
      </c>
      <c r="B3411" t="s">
        <v>62</v>
      </c>
      <c r="C3411">
        <v>24.25266451384844</v>
      </c>
      <c r="D3411">
        <v>1.0222970600222601</v>
      </c>
      <c r="E3411">
        <v>0.99660377141748313</v>
      </c>
      <c r="F3411">
        <v>2.9426714990404901</v>
      </c>
      <c r="G3411">
        <v>6.326751912634256</v>
      </c>
      <c r="H3411">
        <v>66.616433323167357</v>
      </c>
      <c r="I3411">
        <v>20.44553264636447</v>
      </c>
      <c r="J3411">
        <v>24.03329702882947</v>
      </c>
      <c r="K3411">
        <v>1208.05047165359</v>
      </c>
      <c r="L3411">
        <v>0</v>
      </c>
      <c r="M3411" t="s">
        <v>69</v>
      </c>
    </row>
    <row r="3412" spans="1:13" x14ac:dyDescent="0.3">
      <c r="A3412" t="s">
        <v>19</v>
      </c>
      <c r="B3412" t="s">
        <v>44</v>
      </c>
      <c r="C3412">
        <v>17.767212643917588</v>
      </c>
      <c r="D3412">
        <v>0</v>
      </c>
      <c r="E3412">
        <v>1.1074434185305071</v>
      </c>
      <c r="F3412">
        <v>3.406385193258743</v>
      </c>
      <c r="G3412">
        <v>5.2343729005525068</v>
      </c>
      <c r="H3412">
        <v>14.519042578342511</v>
      </c>
      <c r="I3412">
        <v>31.042466166129909</v>
      </c>
      <c r="J3412">
        <v>24.387169018465169</v>
      </c>
      <c r="K3412">
        <v>1351.8259605921301</v>
      </c>
      <c r="L3412">
        <v>0</v>
      </c>
      <c r="M3412" t="s">
        <v>69</v>
      </c>
    </row>
    <row r="3413" spans="1:13" x14ac:dyDescent="0.3">
      <c r="A3413" t="s">
        <v>19</v>
      </c>
      <c r="B3413" t="s">
        <v>48</v>
      </c>
      <c r="C3413">
        <v>38.65157746246318</v>
      </c>
      <c r="D3413">
        <v>0.92707881609766751</v>
      </c>
      <c r="E3413">
        <v>2.0326554886400019</v>
      </c>
      <c r="F3413">
        <v>5.9043063644394458</v>
      </c>
      <c r="G3413">
        <v>6.3414708801704656</v>
      </c>
      <c r="H3413">
        <v>15.80144292550459</v>
      </c>
      <c r="I3413">
        <v>31.973036321757409</v>
      </c>
      <c r="J3413">
        <v>26.092023696596272</v>
      </c>
      <c r="K3413">
        <v>1181.0493311941291</v>
      </c>
      <c r="L3413">
        <v>0</v>
      </c>
      <c r="M3413" t="s">
        <v>69</v>
      </c>
    </row>
    <row r="3414" spans="1:13" x14ac:dyDescent="0.3">
      <c r="A3414" t="s">
        <v>25</v>
      </c>
      <c r="B3414" t="s">
        <v>62</v>
      </c>
      <c r="C3414">
        <v>29.96810420646435</v>
      </c>
      <c r="D3414">
        <v>1.098531437348558</v>
      </c>
      <c r="E3414">
        <v>1.859038313690164</v>
      </c>
      <c r="F3414">
        <v>5.4284946287732314</v>
      </c>
      <c r="G3414">
        <v>6.1991459247927159</v>
      </c>
      <c r="H3414">
        <v>38.321673878851087</v>
      </c>
      <c r="I3414">
        <v>19.78711881860475</v>
      </c>
      <c r="J3414">
        <v>24.150233774616829</v>
      </c>
      <c r="K3414">
        <v>1099.7096447370729</v>
      </c>
      <c r="L3414">
        <v>0</v>
      </c>
      <c r="M3414" t="s">
        <v>69</v>
      </c>
    </row>
    <row r="3415" spans="1:13" x14ac:dyDescent="0.3">
      <c r="A3415" t="s">
        <v>19</v>
      </c>
      <c r="B3415" t="s">
        <v>44</v>
      </c>
      <c r="C3415">
        <v>19.50772985611637</v>
      </c>
      <c r="D3415">
        <v>1.049655632274471</v>
      </c>
      <c r="E3415">
        <v>0.94141983923384931</v>
      </c>
      <c r="F3415">
        <v>2.9295367242339569</v>
      </c>
      <c r="G3415">
        <v>6.1035296130561294</v>
      </c>
      <c r="H3415">
        <v>16.39906497549735</v>
      </c>
      <c r="I3415">
        <v>25.396400490323849</v>
      </c>
      <c r="J3415">
        <v>23.755912368652439</v>
      </c>
      <c r="K3415">
        <v>1323.475721752445</v>
      </c>
      <c r="L3415">
        <v>0</v>
      </c>
      <c r="M3415" t="s">
        <v>69</v>
      </c>
    </row>
    <row r="3416" spans="1:13" x14ac:dyDescent="0.3">
      <c r="A3416" t="s">
        <v>19</v>
      </c>
      <c r="B3416" t="s">
        <v>48</v>
      </c>
      <c r="C3416">
        <v>27.984275423006789</v>
      </c>
      <c r="D3416">
        <v>0.96580122956514591</v>
      </c>
      <c r="E3416">
        <v>0.93354137730019904</v>
      </c>
      <c r="F3416">
        <v>3.9837880966668968</v>
      </c>
      <c r="G3416">
        <v>6.0216907750810744</v>
      </c>
      <c r="H3416">
        <v>16.51174495339977</v>
      </c>
      <c r="I3416">
        <v>31.141782577177668</v>
      </c>
      <c r="J3416">
        <v>25.575903133004299</v>
      </c>
      <c r="K3416">
        <v>1163.6785901512169</v>
      </c>
      <c r="L3416">
        <v>0</v>
      </c>
      <c r="M3416" t="s">
        <v>69</v>
      </c>
    </row>
    <row r="3417" spans="1:13" x14ac:dyDescent="0.3">
      <c r="A3417" t="s">
        <v>25</v>
      </c>
      <c r="B3417" t="s">
        <v>62</v>
      </c>
      <c r="C3417">
        <v>574.96157748132703</v>
      </c>
      <c r="D3417">
        <v>28.362341509060649</v>
      </c>
      <c r="E3417">
        <v>42.608283488273258</v>
      </c>
      <c r="F3417">
        <v>93.580929310605086</v>
      </c>
      <c r="G3417">
        <v>4.4995418704623891</v>
      </c>
      <c r="H3417">
        <v>88.4</v>
      </c>
      <c r="I3417">
        <v>27.192986134566429</v>
      </c>
      <c r="J3417">
        <v>23.92580717467575</v>
      </c>
      <c r="K3417">
        <v>708.77255323546194</v>
      </c>
      <c r="L3417">
        <v>0</v>
      </c>
      <c r="M3417" t="s">
        <v>69</v>
      </c>
    </row>
    <row r="3418" spans="1:13" x14ac:dyDescent="0.3">
      <c r="A3418" t="s">
        <v>19</v>
      </c>
      <c r="B3418" t="s">
        <v>44</v>
      </c>
      <c r="C3418">
        <v>19.279660659357798</v>
      </c>
      <c r="D3418">
        <v>1.0516389103408199</v>
      </c>
      <c r="E3418">
        <v>0.94318276902415832</v>
      </c>
      <c r="F3418">
        <v>3.0224914066928861</v>
      </c>
      <c r="G3418">
        <v>6.1151134150657001</v>
      </c>
      <c r="H3418">
        <v>16.069315958227769</v>
      </c>
      <c r="I3418">
        <v>25.387764558910341</v>
      </c>
      <c r="J3418">
        <v>23.738460497916488</v>
      </c>
      <c r="K3418">
        <v>1325.0930690492551</v>
      </c>
      <c r="L3418">
        <v>0</v>
      </c>
      <c r="M3418" t="s">
        <v>69</v>
      </c>
    </row>
    <row r="3419" spans="1:13" x14ac:dyDescent="0.3">
      <c r="A3419" t="s">
        <v>24</v>
      </c>
      <c r="B3419" t="s">
        <v>58</v>
      </c>
      <c r="C3419">
        <v>12.552976718598201</v>
      </c>
      <c r="D3419">
        <v>0</v>
      </c>
      <c r="E3419">
        <v>0</v>
      </c>
      <c r="F3419">
        <v>2.088400779364489</v>
      </c>
      <c r="G3419">
        <v>6.394401816545618</v>
      </c>
      <c r="H3419">
        <v>43.883671788356523</v>
      </c>
      <c r="I3419">
        <v>25.251584278763211</v>
      </c>
      <c r="J3419">
        <v>22.786932793795401</v>
      </c>
      <c r="K3419">
        <v>744.57205000268641</v>
      </c>
      <c r="L3419">
        <v>0</v>
      </c>
      <c r="M3419" t="s">
        <v>69</v>
      </c>
    </row>
    <row r="3420" spans="1:13" x14ac:dyDescent="0.3">
      <c r="A3420" t="s">
        <v>19</v>
      </c>
      <c r="B3420" t="s">
        <v>44</v>
      </c>
      <c r="C3420">
        <v>22.22699772060686</v>
      </c>
      <c r="D3420">
        <v>1.1571055562472661</v>
      </c>
      <c r="E3420">
        <v>0.95889877513629607</v>
      </c>
      <c r="F3420">
        <v>2.790585857750068</v>
      </c>
      <c r="G3420">
        <v>6.4239713880520473</v>
      </c>
      <c r="H3420">
        <v>20.03935825661797</v>
      </c>
      <c r="I3420">
        <v>27.633207860586818</v>
      </c>
      <c r="J3420">
        <v>23.701227506950481</v>
      </c>
      <c r="K3420">
        <v>1337.7265409157069</v>
      </c>
      <c r="L3420">
        <v>0</v>
      </c>
      <c r="M3420" t="s">
        <v>69</v>
      </c>
    </row>
    <row r="3421" spans="1:13" x14ac:dyDescent="0.3">
      <c r="A3421" t="s">
        <v>24</v>
      </c>
      <c r="B3421" t="s">
        <v>58</v>
      </c>
      <c r="C3421">
        <v>13.32289147117903</v>
      </c>
      <c r="D3421">
        <v>0</v>
      </c>
      <c r="E3421">
        <v>0</v>
      </c>
      <c r="F3421">
        <v>1.9267357004904699</v>
      </c>
      <c r="G3421">
        <v>6.531136764344299</v>
      </c>
      <c r="H3421">
        <v>41.919752667503111</v>
      </c>
      <c r="I3421">
        <v>24.29230868822048</v>
      </c>
      <c r="J3421">
        <v>22.921328194692979</v>
      </c>
      <c r="K3421">
        <v>744.19362333027777</v>
      </c>
      <c r="L3421">
        <v>0</v>
      </c>
      <c r="M3421" t="s">
        <v>69</v>
      </c>
    </row>
    <row r="3422" spans="1:13" x14ac:dyDescent="0.3">
      <c r="A3422" t="s">
        <v>25</v>
      </c>
      <c r="B3422" t="s">
        <v>62</v>
      </c>
      <c r="C3422">
        <v>28.55619691954529</v>
      </c>
      <c r="D3422">
        <v>0.94905762633311541</v>
      </c>
      <c r="E3422">
        <v>1.900079794103182</v>
      </c>
      <c r="F3422">
        <v>4.7084781593060416</v>
      </c>
      <c r="G3422">
        <v>6.2767841568078957</v>
      </c>
      <c r="H3422">
        <v>36.896209592595731</v>
      </c>
      <c r="I3422">
        <v>20.600974217611139</v>
      </c>
      <c r="J3422">
        <v>23.61150472898208</v>
      </c>
      <c r="K3422">
        <v>1085.9089416748759</v>
      </c>
      <c r="L3422">
        <v>0</v>
      </c>
      <c r="M3422" t="s">
        <v>69</v>
      </c>
    </row>
    <row r="3423" spans="1:13" x14ac:dyDescent="0.3">
      <c r="A3423" t="s">
        <v>19</v>
      </c>
      <c r="B3423" t="s">
        <v>48</v>
      </c>
      <c r="C3423">
        <v>59.795503818034703</v>
      </c>
      <c r="D3423">
        <v>3.1026677459325742</v>
      </c>
      <c r="E3423">
        <v>3.8160444663871398</v>
      </c>
      <c r="F3423">
        <v>11.37335941105486</v>
      </c>
      <c r="G3423">
        <v>6.176118502666462</v>
      </c>
      <c r="H3423">
        <v>17.79351596376247</v>
      </c>
      <c r="I3423">
        <v>33.236379247574803</v>
      </c>
      <c r="J3423">
        <v>27.410839779774971</v>
      </c>
      <c r="K3423">
        <v>1160.641410354815</v>
      </c>
      <c r="L3423">
        <v>0</v>
      </c>
      <c r="M3423" t="s">
        <v>69</v>
      </c>
    </row>
    <row r="3424" spans="1:13" x14ac:dyDescent="0.3">
      <c r="A3424" t="s">
        <v>21</v>
      </c>
      <c r="B3424" t="s">
        <v>52</v>
      </c>
      <c r="C3424">
        <v>141.99826530749399</v>
      </c>
      <c r="D3424">
        <v>5.9403239721733394</v>
      </c>
      <c r="E3424">
        <v>9.6863864983873036</v>
      </c>
      <c r="F3424">
        <v>22.655360527452348</v>
      </c>
      <c r="G3424">
        <v>5.5688769095666313</v>
      </c>
      <c r="H3424">
        <v>56.396087452179451</v>
      </c>
      <c r="I3424">
        <v>27.127887912084859</v>
      </c>
      <c r="J3424">
        <v>24.238423881148481</v>
      </c>
      <c r="K3424">
        <v>764.29670383742814</v>
      </c>
      <c r="L3424">
        <v>0</v>
      </c>
      <c r="M3424" t="s">
        <v>69</v>
      </c>
    </row>
    <row r="3425" spans="1:13" x14ac:dyDescent="0.3">
      <c r="A3425" t="s">
        <v>25</v>
      </c>
      <c r="B3425" t="s">
        <v>62</v>
      </c>
      <c r="C3425">
        <v>30.925791980121399</v>
      </c>
      <c r="D3425">
        <v>0.8893083356273177</v>
      </c>
      <c r="E3425">
        <v>2.002298450911745</v>
      </c>
      <c r="F3425">
        <v>3.926898965450802</v>
      </c>
      <c r="G3425">
        <v>6.0986502993730598</v>
      </c>
      <c r="H3425">
        <v>24.281782656806431</v>
      </c>
      <c r="I3425">
        <v>23.595087049028621</v>
      </c>
      <c r="J3425">
        <v>24.169822317786451</v>
      </c>
      <c r="K3425">
        <v>1215.1265693726909</v>
      </c>
      <c r="L3425">
        <v>0</v>
      </c>
      <c r="M3425" t="s">
        <v>69</v>
      </c>
    </row>
    <row r="3426" spans="1:13" x14ac:dyDescent="0.3">
      <c r="A3426" t="s">
        <v>24</v>
      </c>
      <c r="B3426" t="s">
        <v>59</v>
      </c>
      <c r="C3426">
        <v>57.529727237153033</v>
      </c>
      <c r="D3426">
        <v>2.1158420071583941</v>
      </c>
      <c r="E3426">
        <v>3.6307677855591809</v>
      </c>
      <c r="F3426">
        <v>9.4092700026576743</v>
      </c>
      <c r="G3426">
        <v>6.8717165075290536</v>
      </c>
      <c r="H3426">
        <v>62.479747894250288</v>
      </c>
      <c r="I3426">
        <v>25.815927823549931</v>
      </c>
      <c r="J3426">
        <v>23.146369273780952</v>
      </c>
      <c r="K3426">
        <v>732.97092063172624</v>
      </c>
      <c r="L3426">
        <v>0</v>
      </c>
      <c r="M3426" t="s">
        <v>69</v>
      </c>
    </row>
    <row r="3427" spans="1:13" x14ac:dyDescent="0.3">
      <c r="A3427" t="s">
        <v>25</v>
      </c>
      <c r="B3427" t="s">
        <v>62</v>
      </c>
      <c r="C3427">
        <v>25.229575423804089</v>
      </c>
      <c r="D3427">
        <v>0.93168848802652748</v>
      </c>
      <c r="E3427">
        <v>0.92887255362843923</v>
      </c>
      <c r="F3427">
        <v>2.9697079828124182</v>
      </c>
      <c r="G3427">
        <v>6.2482470382937896</v>
      </c>
      <c r="H3427">
        <v>67.93777511924344</v>
      </c>
      <c r="I3427">
        <v>20.102784517644661</v>
      </c>
      <c r="J3427">
        <v>24.19928058028496</v>
      </c>
      <c r="K3427">
        <v>1209.6624799135791</v>
      </c>
      <c r="L3427">
        <v>0</v>
      </c>
      <c r="M3427" t="s">
        <v>69</v>
      </c>
    </row>
    <row r="3428" spans="1:13" x14ac:dyDescent="0.3">
      <c r="A3428" t="s">
        <v>20</v>
      </c>
      <c r="B3428" t="s">
        <v>49</v>
      </c>
      <c r="C3428">
        <v>44.1577617320063</v>
      </c>
      <c r="D3428">
        <v>1.8841223639668929</v>
      </c>
      <c r="E3428">
        <v>3.1021314926417491</v>
      </c>
      <c r="F3428">
        <v>6.7753648051266886</v>
      </c>
      <c r="G3428">
        <v>6.1066393444332236</v>
      </c>
      <c r="H3428">
        <v>20.190136562437139</v>
      </c>
      <c r="I3428">
        <v>32.069692492459438</v>
      </c>
      <c r="J3428">
        <v>26.224038369317331</v>
      </c>
      <c r="K3428">
        <v>1161.715610030587</v>
      </c>
      <c r="L3428">
        <v>0</v>
      </c>
      <c r="M3428" t="s">
        <v>69</v>
      </c>
    </row>
    <row r="3429" spans="1:13" x14ac:dyDescent="0.3">
      <c r="A3429" t="s">
        <v>24</v>
      </c>
      <c r="B3429" t="s">
        <v>58</v>
      </c>
      <c r="C3429">
        <v>46.336217993475692</v>
      </c>
      <c r="D3429">
        <v>1.5788873214834049</v>
      </c>
      <c r="E3429">
        <v>3.0537168920532838</v>
      </c>
      <c r="F3429">
        <v>6.8647812533860559</v>
      </c>
      <c r="G3429">
        <v>6.6181047554220136</v>
      </c>
      <c r="H3429">
        <v>57.947372777350473</v>
      </c>
      <c r="I3429">
        <v>26.516565246037249</v>
      </c>
      <c r="J3429">
        <v>22.629407991469101</v>
      </c>
      <c r="K3429">
        <v>724.1815578931446</v>
      </c>
      <c r="L3429">
        <v>0</v>
      </c>
      <c r="M3429" t="s">
        <v>69</v>
      </c>
    </row>
    <row r="3430" spans="1:13" x14ac:dyDescent="0.3">
      <c r="A3430" t="s">
        <v>20</v>
      </c>
      <c r="B3430" t="s">
        <v>49</v>
      </c>
      <c r="C3430">
        <v>35.044979426405718</v>
      </c>
      <c r="D3430">
        <v>1.037537195214576</v>
      </c>
      <c r="E3430">
        <v>1.9816756609882631</v>
      </c>
      <c r="F3430">
        <v>5.2244465983984014</v>
      </c>
      <c r="G3430">
        <v>6.0978591761309167</v>
      </c>
      <c r="H3430">
        <v>16.586062121916839</v>
      </c>
      <c r="I3430">
        <v>31.40025256228315</v>
      </c>
      <c r="J3430">
        <v>24.819206518996658</v>
      </c>
      <c r="K3430">
        <v>1155.298136837753</v>
      </c>
      <c r="L3430">
        <v>0</v>
      </c>
      <c r="M3430" t="s">
        <v>69</v>
      </c>
    </row>
    <row r="3431" spans="1:13" x14ac:dyDescent="0.3">
      <c r="A3431" t="s">
        <v>25</v>
      </c>
      <c r="B3431" t="s">
        <v>62</v>
      </c>
      <c r="C3431">
        <v>559.17764097935765</v>
      </c>
      <c r="D3431">
        <v>27.033529979771188</v>
      </c>
      <c r="E3431">
        <v>46.431155398120197</v>
      </c>
      <c r="F3431">
        <v>96.091826339453178</v>
      </c>
      <c r="G3431">
        <v>4.5079786969607261</v>
      </c>
      <c r="H3431">
        <v>88.4</v>
      </c>
      <c r="I3431">
        <v>26.953458521006048</v>
      </c>
      <c r="J3431">
        <v>23.716447018085901</v>
      </c>
      <c r="K3431">
        <v>703.17017033513741</v>
      </c>
      <c r="L3431">
        <v>0</v>
      </c>
      <c r="M3431" t="s">
        <v>69</v>
      </c>
    </row>
    <row r="3432" spans="1:13" x14ac:dyDescent="0.3">
      <c r="A3432" t="s">
        <v>21</v>
      </c>
      <c r="B3432" t="s">
        <v>52</v>
      </c>
      <c r="C3432">
        <v>139.37315251224041</v>
      </c>
      <c r="D3432">
        <v>6.3837811961717623</v>
      </c>
      <c r="E3432">
        <v>7.9494273037109124</v>
      </c>
      <c r="F3432">
        <v>21.322224606843591</v>
      </c>
      <c r="G3432">
        <v>5.5373466852850406</v>
      </c>
      <c r="H3432">
        <v>54.940591991601153</v>
      </c>
      <c r="I3432">
        <v>28.393830928256701</v>
      </c>
      <c r="J3432">
        <v>24.120927325224429</v>
      </c>
      <c r="K3432">
        <v>759.66998336043343</v>
      </c>
      <c r="L3432">
        <v>0</v>
      </c>
      <c r="M3432" t="s">
        <v>69</v>
      </c>
    </row>
    <row r="3433" spans="1:13" x14ac:dyDescent="0.3">
      <c r="A3433" t="s">
        <v>19</v>
      </c>
      <c r="B3433" t="s">
        <v>48</v>
      </c>
      <c r="C3433">
        <v>59.485631604269933</v>
      </c>
      <c r="D3433">
        <v>3.10451981421259</v>
      </c>
      <c r="E3433">
        <v>3.6060011930472471</v>
      </c>
      <c r="F3433">
        <v>11.41222558547774</v>
      </c>
      <c r="G3433">
        <v>6.1895674649290289</v>
      </c>
      <c r="H3433">
        <v>17.79513460794</v>
      </c>
      <c r="I3433">
        <v>33.521335955078193</v>
      </c>
      <c r="J3433">
        <v>27.594627445030451</v>
      </c>
      <c r="K3433">
        <v>1168.927163177367</v>
      </c>
      <c r="L3433">
        <v>0</v>
      </c>
      <c r="M3433" t="s">
        <v>69</v>
      </c>
    </row>
    <row r="3434" spans="1:13" x14ac:dyDescent="0.3">
      <c r="A3434" t="s">
        <v>19</v>
      </c>
      <c r="B3434" t="s">
        <v>48</v>
      </c>
      <c r="C3434">
        <v>43.044881395376521</v>
      </c>
      <c r="D3434">
        <v>1.696018749439987</v>
      </c>
      <c r="E3434">
        <v>3.3920693646831128</v>
      </c>
      <c r="F3434">
        <v>7.8808153198078346</v>
      </c>
      <c r="G3434">
        <v>6.1792821202142427</v>
      </c>
      <c r="H3434">
        <v>20.81822554215395</v>
      </c>
      <c r="I3434">
        <v>31.46467544301295</v>
      </c>
      <c r="J3434">
        <v>25.983404125936669</v>
      </c>
      <c r="K3434">
        <v>1176.1258633022769</v>
      </c>
      <c r="L3434">
        <v>0</v>
      </c>
      <c r="M3434" t="s">
        <v>69</v>
      </c>
    </row>
    <row r="3435" spans="1:13" x14ac:dyDescent="0.3">
      <c r="A3435" t="s">
        <v>24</v>
      </c>
      <c r="B3435" t="s">
        <v>58</v>
      </c>
      <c r="C3435">
        <v>30.39672255271503</v>
      </c>
      <c r="D3435">
        <v>0.93540287534913391</v>
      </c>
      <c r="E3435">
        <v>2.2464636596794438</v>
      </c>
      <c r="F3435">
        <v>3.365597495198593</v>
      </c>
      <c r="G3435">
        <v>7.1234909044304926</v>
      </c>
      <c r="H3435">
        <v>33.480978437888282</v>
      </c>
      <c r="I3435">
        <v>26.690456060645101</v>
      </c>
      <c r="J3435">
        <v>23.391015292639331</v>
      </c>
      <c r="K3435">
        <v>743.27398073302481</v>
      </c>
      <c r="L3435">
        <v>0</v>
      </c>
      <c r="M3435" t="s">
        <v>69</v>
      </c>
    </row>
    <row r="3436" spans="1:13" x14ac:dyDescent="0.3">
      <c r="A3436" t="s">
        <v>19</v>
      </c>
      <c r="B3436" t="s">
        <v>44</v>
      </c>
      <c r="C3436">
        <v>19.86654373201738</v>
      </c>
      <c r="D3436">
        <v>0</v>
      </c>
      <c r="E3436">
        <v>1.024807616996485</v>
      </c>
      <c r="F3436">
        <v>3.1828917269266062</v>
      </c>
      <c r="G3436">
        <v>5.1396442171570884</v>
      </c>
      <c r="H3436">
        <v>15.52210260482312</v>
      </c>
      <c r="I3436">
        <v>31.351419554401051</v>
      </c>
      <c r="J3436">
        <v>24.29012113174613</v>
      </c>
      <c r="K3436">
        <v>1334.2805750657151</v>
      </c>
      <c r="L3436">
        <v>0</v>
      </c>
      <c r="M3436" t="s">
        <v>69</v>
      </c>
    </row>
    <row r="3437" spans="1:13" x14ac:dyDescent="0.3">
      <c r="A3437" t="s">
        <v>19</v>
      </c>
      <c r="B3437" t="s">
        <v>48</v>
      </c>
      <c r="C3437">
        <v>41.99524069794105</v>
      </c>
      <c r="D3437">
        <v>1.8666831852441861</v>
      </c>
      <c r="E3437">
        <v>3.364586162120303</v>
      </c>
      <c r="F3437">
        <v>6.0441165456266219</v>
      </c>
      <c r="G3437">
        <v>5.6112223112693238</v>
      </c>
      <c r="H3437">
        <v>18.933188533570949</v>
      </c>
      <c r="I3437">
        <v>32.701895241797388</v>
      </c>
      <c r="J3437">
        <v>26.262091373664429</v>
      </c>
      <c r="K3437">
        <v>1171.870983179411</v>
      </c>
      <c r="L3437">
        <v>0</v>
      </c>
      <c r="M3437" t="s">
        <v>69</v>
      </c>
    </row>
    <row r="3438" spans="1:13" x14ac:dyDescent="0.3">
      <c r="A3438" t="s">
        <v>24</v>
      </c>
      <c r="B3438" t="s">
        <v>58</v>
      </c>
      <c r="C3438">
        <v>13.00166720863896</v>
      </c>
      <c r="D3438">
        <v>0</v>
      </c>
      <c r="E3438">
        <v>0</v>
      </c>
      <c r="F3438">
        <v>1.7584532473965451</v>
      </c>
      <c r="G3438">
        <v>6.4860874348721413</v>
      </c>
      <c r="H3438">
        <v>42.732673896456539</v>
      </c>
      <c r="I3438">
        <v>24.224926627502541</v>
      </c>
      <c r="J3438">
        <v>22.900332190099579</v>
      </c>
      <c r="K3438">
        <v>754.19468675348776</v>
      </c>
      <c r="L3438">
        <v>0</v>
      </c>
      <c r="M3438" t="s">
        <v>69</v>
      </c>
    </row>
    <row r="3439" spans="1:13" x14ac:dyDescent="0.3">
      <c r="A3439" t="s">
        <v>20</v>
      </c>
      <c r="B3439" t="s">
        <v>49</v>
      </c>
      <c r="C3439">
        <v>41.640674959326752</v>
      </c>
      <c r="D3439">
        <v>2.0474390247224372</v>
      </c>
      <c r="E3439">
        <v>2.8361970429511372</v>
      </c>
      <c r="F3439">
        <v>7.7194289237636982</v>
      </c>
      <c r="G3439">
        <v>6.1434219852124086</v>
      </c>
      <c r="H3439">
        <v>20.79962117643251</v>
      </c>
      <c r="I3439">
        <v>32.909991095595281</v>
      </c>
      <c r="J3439">
        <v>26.309726219212269</v>
      </c>
      <c r="K3439">
        <v>1151.1650018775331</v>
      </c>
      <c r="L3439">
        <v>0</v>
      </c>
      <c r="M3439" t="s">
        <v>69</v>
      </c>
    </row>
    <row r="3440" spans="1:13" x14ac:dyDescent="0.3">
      <c r="A3440" t="s">
        <v>20</v>
      </c>
      <c r="B3440" t="s">
        <v>49</v>
      </c>
      <c r="C3440">
        <v>28.36917457622631</v>
      </c>
      <c r="D3440">
        <v>0.94431687029491318</v>
      </c>
      <c r="E3440">
        <v>0.89337137986556225</v>
      </c>
      <c r="F3440">
        <v>4.0271137608150163</v>
      </c>
      <c r="G3440">
        <v>6.0336729954313872</v>
      </c>
      <c r="H3440">
        <v>16.52654931897565</v>
      </c>
      <c r="I3440">
        <v>31.15032802511406</v>
      </c>
      <c r="J3440">
        <v>24.87810067946295</v>
      </c>
      <c r="K3440">
        <v>1155.9492600287131</v>
      </c>
      <c r="L3440">
        <v>0</v>
      </c>
      <c r="M3440" t="s">
        <v>69</v>
      </c>
    </row>
    <row r="3441" spans="1:13" x14ac:dyDescent="0.3">
      <c r="A3441" t="s">
        <v>19</v>
      </c>
      <c r="B3441" t="s">
        <v>48</v>
      </c>
      <c r="C3441">
        <v>28.555903996064789</v>
      </c>
      <c r="D3441">
        <v>1.043467928992251</v>
      </c>
      <c r="E3441">
        <v>0.93660409254241017</v>
      </c>
      <c r="F3441">
        <v>3.7762038867173531</v>
      </c>
      <c r="G3441">
        <v>5.9571013920741498</v>
      </c>
      <c r="H3441">
        <v>16.346861162500211</v>
      </c>
      <c r="I3441">
        <v>29.252192006138269</v>
      </c>
      <c r="J3441">
        <v>25.39366772731206</v>
      </c>
      <c r="K3441">
        <v>1187.033850273931</v>
      </c>
      <c r="L3441">
        <v>0</v>
      </c>
      <c r="M3441" t="s">
        <v>69</v>
      </c>
    </row>
    <row r="3442" spans="1:13" x14ac:dyDescent="0.3">
      <c r="A3442" t="s">
        <v>19</v>
      </c>
      <c r="B3442" t="s">
        <v>48</v>
      </c>
      <c r="C3442">
        <v>39.259219969172037</v>
      </c>
      <c r="D3442">
        <v>1.5148011194397499</v>
      </c>
      <c r="E3442">
        <v>2.0162562481832129</v>
      </c>
      <c r="F3442">
        <v>5.8879383036502837</v>
      </c>
      <c r="G3442">
        <v>6.1827576019587056</v>
      </c>
      <c r="H3442">
        <v>17.13342199045363</v>
      </c>
      <c r="I3442">
        <v>32.440465527382123</v>
      </c>
      <c r="J3442">
        <v>26.418854057145641</v>
      </c>
      <c r="K3442">
        <v>1171.3635383103981</v>
      </c>
      <c r="L3442">
        <v>0</v>
      </c>
      <c r="M3442" t="s">
        <v>69</v>
      </c>
    </row>
    <row r="3443" spans="1:13" x14ac:dyDescent="0.3">
      <c r="A3443" t="s">
        <v>25</v>
      </c>
      <c r="B3443" t="s">
        <v>62</v>
      </c>
      <c r="C3443">
        <v>22.814072925480001</v>
      </c>
      <c r="D3443">
        <v>1.1126305165555921</v>
      </c>
      <c r="E3443">
        <v>0.89611091544164445</v>
      </c>
      <c r="F3443">
        <v>4.1460341136165226</v>
      </c>
      <c r="G3443">
        <v>5.5017866501191497</v>
      </c>
      <c r="H3443">
        <v>48.043947951272813</v>
      </c>
      <c r="I3443">
        <v>20.355827746053372</v>
      </c>
      <c r="J3443">
        <v>23.75120705140257</v>
      </c>
      <c r="K3443">
        <v>1075.309059470354</v>
      </c>
      <c r="L3443">
        <v>0</v>
      </c>
      <c r="M3443" t="s">
        <v>69</v>
      </c>
    </row>
    <row r="3444" spans="1:13" x14ac:dyDescent="0.3">
      <c r="A3444" t="s">
        <v>19</v>
      </c>
      <c r="B3444" t="s">
        <v>48</v>
      </c>
      <c r="C3444">
        <v>29.16217415706431</v>
      </c>
      <c r="D3444">
        <v>0.98011473479400957</v>
      </c>
      <c r="E3444">
        <v>2.061799102353199</v>
      </c>
      <c r="F3444">
        <v>5.699612307317004</v>
      </c>
      <c r="G3444">
        <v>5.9845335059145972</v>
      </c>
      <c r="H3444">
        <v>22.565095442561351</v>
      </c>
      <c r="I3444">
        <v>32.452343230460293</v>
      </c>
      <c r="J3444">
        <v>26.00401392258215</v>
      </c>
      <c r="K3444">
        <v>1174.0283302555649</v>
      </c>
      <c r="L3444">
        <v>0</v>
      </c>
      <c r="M3444" t="s">
        <v>69</v>
      </c>
    </row>
    <row r="3445" spans="1:13" x14ac:dyDescent="0.3">
      <c r="A3445" t="s">
        <v>25</v>
      </c>
      <c r="B3445" t="s">
        <v>62</v>
      </c>
      <c r="C3445">
        <v>585.11858521317004</v>
      </c>
      <c r="D3445">
        <v>25.1329635910264</v>
      </c>
      <c r="E3445">
        <v>38.970372987853551</v>
      </c>
      <c r="F3445">
        <v>90.247096942710641</v>
      </c>
      <c r="G3445">
        <v>4.4665408384820022</v>
      </c>
      <c r="H3445">
        <v>87.042381780178005</v>
      </c>
      <c r="I3445">
        <v>26.948666607899089</v>
      </c>
      <c r="J3445">
        <v>23.491215701823741</v>
      </c>
      <c r="K3445">
        <v>706.91893122678755</v>
      </c>
      <c r="L3445">
        <v>0</v>
      </c>
      <c r="M3445" t="s">
        <v>69</v>
      </c>
    </row>
    <row r="3446" spans="1:13" x14ac:dyDescent="0.3">
      <c r="A3446" t="s">
        <v>19</v>
      </c>
      <c r="B3446" t="s">
        <v>48</v>
      </c>
      <c r="C3446">
        <v>40.232893481357863</v>
      </c>
      <c r="D3446">
        <v>2.0500487699938859</v>
      </c>
      <c r="E3446">
        <v>2.1976914359809938</v>
      </c>
      <c r="F3446">
        <v>5.2334479093889206</v>
      </c>
      <c r="G3446">
        <v>6.1456456248786111</v>
      </c>
      <c r="H3446">
        <v>17.003683733796571</v>
      </c>
      <c r="I3446">
        <v>32.915325060695579</v>
      </c>
      <c r="J3446">
        <v>26.263748882740071</v>
      </c>
      <c r="K3446">
        <v>1153.958246563391</v>
      </c>
      <c r="L3446">
        <v>0</v>
      </c>
      <c r="M3446" t="s">
        <v>69</v>
      </c>
    </row>
    <row r="3447" spans="1:13" x14ac:dyDescent="0.3">
      <c r="A3447" t="s">
        <v>25</v>
      </c>
      <c r="B3447" t="s">
        <v>62</v>
      </c>
      <c r="C3447">
        <v>605.43221833514849</v>
      </c>
      <c r="D3447">
        <v>28.724259372049332</v>
      </c>
      <c r="E3447">
        <v>43.124838980155161</v>
      </c>
      <c r="F3447">
        <v>97.286526080679408</v>
      </c>
      <c r="G3447">
        <v>4.3892109991849981</v>
      </c>
      <c r="H3447">
        <v>88.136343902162253</v>
      </c>
      <c r="I3447">
        <v>27.334162584564201</v>
      </c>
      <c r="J3447">
        <v>23.483719064580619</v>
      </c>
      <c r="K3447">
        <v>739.43692663004128</v>
      </c>
      <c r="L3447">
        <v>0</v>
      </c>
      <c r="M3447" t="s">
        <v>69</v>
      </c>
    </row>
    <row r="3448" spans="1:13" x14ac:dyDescent="0.3">
      <c r="A3448" t="s">
        <v>25</v>
      </c>
      <c r="B3448" t="s">
        <v>62</v>
      </c>
      <c r="C3448">
        <v>578.43054676325221</v>
      </c>
      <c r="D3448">
        <v>30.434301707862069</v>
      </c>
      <c r="E3448">
        <v>39.17817882035294</v>
      </c>
      <c r="F3448">
        <v>90.492241002593403</v>
      </c>
      <c r="G3448">
        <v>4.546487505982685</v>
      </c>
      <c r="H3448">
        <v>88.4</v>
      </c>
      <c r="I3448">
        <v>26.770695037838252</v>
      </c>
      <c r="J3448">
        <v>24.40919094408498</v>
      </c>
      <c r="K3448">
        <v>714.79643810499965</v>
      </c>
      <c r="L3448">
        <v>0</v>
      </c>
      <c r="M3448" t="s">
        <v>69</v>
      </c>
    </row>
    <row r="3449" spans="1:13" x14ac:dyDescent="0.3">
      <c r="A3449" t="s">
        <v>25</v>
      </c>
      <c r="B3449" t="s">
        <v>62</v>
      </c>
      <c r="C3449">
        <v>28.297095445912689</v>
      </c>
      <c r="D3449">
        <v>0.92277298744041847</v>
      </c>
      <c r="E3449">
        <v>1.8255877239296401</v>
      </c>
      <c r="F3449">
        <v>4.6780764176320222</v>
      </c>
      <c r="G3449">
        <v>6.2707322226815103</v>
      </c>
      <c r="H3449">
        <v>36.510405773163029</v>
      </c>
      <c r="I3449">
        <v>20.40211098210046</v>
      </c>
      <c r="J3449">
        <v>23.556656784294908</v>
      </c>
      <c r="K3449">
        <v>1084.733668936286</v>
      </c>
      <c r="L3449">
        <v>0</v>
      </c>
      <c r="M3449" t="s">
        <v>69</v>
      </c>
    </row>
    <row r="3450" spans="1:13" x14ac:dyDescent="0.3">
      <c r="A3450" t="s">
        <v>19</v>
      </c>
      <c r="B3450" t="s">
        <v>48</v>
      </c>
      <c r="C3450">
        <v>39.330216821226472</v>
      </c>
      <c r="D3450">
        <v>2.0338130764188111</v>
      </c>
      <c r="E3450">
        <v>1.939105520557451</v>
      </c>
      <c r="F3450">
        <v>5.7376111170520101</v>
      </c>
      <c r="G3450">
        <v>6.2346522386529113</v>
      </c>
      <c r="H3450">
        <v>16.674134857119419</v>
      </c>
      <c r="I3450">
        <v>32.778083505569533</v>
      </c>
      <c r="J3450">
        <v>25.909487165543581</v>
      </c>
      <c r="K3450">
        <v>1147.282002408328</v>
      </c>
      <c r="L3450">
        <v>0</v>
      </c>
      <c r="M3450" t="s">
        <v>69</v>
      </c>
    </row>
    <row r="3451" spans="1:13" x14ac:dyDescent="0.3">
      <c r="A3451" t="s">
        <v>19</v>
      </c>
      <c r="B3451" t="s">
        <v>44</v>
      </c>
      <c r="C3451">
        <v>23.007216828104401</v>
      </c>
      <c r="D3451">
        <v>1.051214871877209</v>
      </c>
      <c r="E3451">
        <v>1.120625642947636</v>
      </c>
      <c r="F3451">
        <v>3.260687862272404</v>
      </c>
      <c r="G3451">
        <v>6.5693925551988812</v>
      </c>
      <c r="H3451">
        <v>18.354402887289961</v>
      </c>
      <c r="I3451">
        <v>27.365644047123521</v>
      </c>
      <c r="J3451">
        <v>24.692316933176961</v>
      </c>
      <c r="K3451">
        <v>1338.9041540557359</v>
      </c>
      <c r="L3451">
        <v>0</v>
      </c>
      <c r="M3451" t="s">
        <v>69</v>
      </c>
    </row>
    <row r="3452" spans="1:13" x14ac:dyDescent="0.3">
      <c r="A3452" t="s">
        <v>24</v>
      </c>
      <c r="B3452" t="s">
        <v>57</v>
      </c>
      <c r="C3452">
        <v>7.9901793016725833</v>
      </c>
      <c r="D3452">
        <v>0</v>
      </c>
      <c r="E3452">
        <v>0</v>
      </c>
      <c r="F3452">
        <v>1.001954682436393</v>
      </c>
      <c r="G3452">
        <v>6.0991948623088472</v>
      </c>
      <c r="H3452">
        <v>39.059609844604452</v>
      </c>
      <c r="I3452">
        <v>23.582671195610828</v>
      </c>
      <c r="J3452">
        <v>23.027294892002089</v>
      </c>
      <c r="K3452">
        <v>737.70420713069677</v>
      </c>
      <c r="L3452">
        <v>0</v>
      </c>
      <c r="M3452" t="s">
        <v>69</v>
      </c>
    </row>
    <row r="3453" spans="1:13" x14ac:dyDescent="0.3">
      <c r="A3453" t="s">
        <v>19</v>
      </c>
      <c r="B3453" t="s">
        <v>44</v>
      </c>
      <c r="C3453">
        <v>17.70467007578927</v>
      </c>
      <c r="D3453">
        <v>0</v>
      </c>
      <c r="E3453">
        <v>1.112894307761507</v>
      </c>
      <c r="F3453">
        <v>3.4270021905943509</v>
      </c>
      <c r="G3453">
        <v>5.2361167288485762</v>
      </c>
      <c r="H3453">
        <v>14.52000865878408</v>
      </c>
      <c r="I3453">
        <v>31.024327527659398</v>
      </c>
      <c r="J3453">
        <v>24.406811128351411</v>
      </c>
      <c r="K3453">
        <v>1353.4405758773701</v>
      </c>
      <c r="L3453">
        <v>0</v>
      </c>
      <c r="M3453" t="s">
        <v>69</v>
      </c>
    </row>
    <row r="3454" spans="1:13" x14ac:dyDescent="0.3">
      <c r="A3454" t="s">
        <v>25</v>
      </c>
      <c r="B3454" t="s">
        <v>62</v>
      </c>
      <c r="C3454">
        <v>554.19551492833466</v>
      </c>
      <c r="D3454">
        <v>28.084852789931912</v>
      </c>
      <c r="E3454">
        <v>45.979631603091867</v>
      </c>
      <c r="F3454">
        <v>101.20296010538689</v>
      </c>
      <c r="G3454">
        <v>4.5525672193691813</v>
      </c>
      <c r="H3454">
        <v>88.4</v>
      </c>
      <c r="I3454">
        <v>27.052780229020431</v>
      </c>
      <c r="J3454">
        <v>23.583233472146041</v>
      </c>
      <c r="K3454">
        <v>702.35907846383179</v>
      </c>
      <c r="L3454">
        <v>0</v>
      </c>
      <c r="M3454" t="s">
        <v>69</v>
      </c>
    </row>
    <row r="3455" spans="1:13" x14ac:dyDescent="0.3">
      <c r="A3455" t="s">
        <v>25</v>
      </c>
      <c r="B3455" t="s">
        <v>62</v>
      </c>
      <c r="C3455">
        <v>24.729227662404298</v>
      </c>
      <c r="D3455">
        <v>1.0080786034861391</v>
      </c>
      <c r="E3455">
        <v>0.99876948871111004</v>
      </c>
      <c r="F3455">
        <v>2.979228910571877</v>
      </c>
      <c r="G3455">
        <v>6.3096926722380537</v>
      </c>
      <c r="H3455">
        <v>66.414649166532186</v>
      </c>
      <c r="I3455">
        <v>20.480265552834261</v>
      </c>
      <c r="J3455">
        <v>24.01206407898222</v>
      </c>
      <c r="K3455">
        <v>1209.2936527739571</v>
      </c>
      <c r="L3455">
        <v>0</v>
      </c>
      <c r="M3455" t="s">
        <v>69</v>
      </c>
    </row>
    <row r="3456" spans="1:13" x14ac:dyDescent="0.3">
      <c r="A3456" t="s">
        <v>19</v>
      </c>
      <c r="B3456" t="s">
        <v>45</v>
      </c>
      <c r="C3456">
        <v>20.377102668646319</v>
      </c>
      <c r="D3456">
        <v>1.0466994415904529</v>
      </c>
      <c r="E3456">
        <v>1.025744110486714</v>
      </c>
      <c r="F3456">
        <v>3.0057272556383299</v>
      </c>
      <c r="G3456">
        <v>6.1630016254376567</v>
      </c>
      <c r="H3456">
        <v>19.216547752171721</v>
      </c>
      <c r="I3456">
        <v>31.500523310090632</v>
      </c>
      <c r="J3456">
        <v>23.58519912556466</v>
      </c>
      <c r="K3456">
        <v>1326.002374030589</v>
      </c>
      <c r="L3456">
        <v>0</v>
      </c>
      <c r="M3456" t="s">
        <v>69</v>
      </c>
    </row>
    <row r="3457" spans="1:13" x14ac:dyDescent="0.3">
      <c r="A3457" t="s">
        <v>24</v>
      </c>
      <c r="B3457" t="s">
        <v>57</v>
      </c>
      <c r="C3457">
        <v>7.5959923747714564</v>
      </c>
      <c r="D3457">
        <v>0</v>
      </c>
      <c r="E3457">
        <v>0</v>
      </c>
      <c r="F3457">
        <v>1.097536221211328</v>
      </c>
      <c r="G3457">
        <v>6.0530525690110748</v>
      </c>
      <c r="H3457">
        <v>37.042968204294631</v>
      </c>
      <c r="I3457">
        <v>23.309202865806299</v>
      </c>
      <c r="J3457">
        <v>23.618665716528749</v>
      </c>
      <c r="K3457">
        <v>729.47512878965154</v>
      </c>
      <c r="L3457">
        <v>0</v>
      </c>
      <c r="M3457" t="s">
        <v>69</v>
      </c>
    </row>
    <row r="3458" spans="1:13" x14ac:dyDescent="0.3">
      <c r="A3458" t="s">
        <v>24</v>
      </c>
      <c r="B3458" t="s">
        <v>58</v>
      </c>
      <c r="C3458">
        <v>30.34160313723466</v>
      </c>
      <c r="D3458">
        <v>0.99873721998690002</v>
      </c>
      <c r="E3458">
        <v>1.864175076187883</v>
      </c>
      <c r="F3458">
        <v>4.2358777343903586</v>
      </c>
      <c r="G3458">
        <v>6.8930369739954491</v>
      </c>
      <c r="H3458">
        <v>33.453119159616961</v>
      </c>
      <c r="I3458">
        <v>24.859540268294591</v>
      </c>
      <c r="J3458">
        <v>23.616172797146419</v>
      </c>
      <c r="K3458">
        <v>740.0345431608074</v>
      </c>
      <c r="L3458">
        <v>0</v>
      </c>
      <c r="M3458" t="s">
        <v>69</v>
      </c>
    </row>
    <row r="3459" spans="1:13" x14ac:dyDescent="0.3">
      <c r="A3459" t="s">
        <v>25</v>
      </c>
      <c r="B3459" t="s">
        <v>62</v>
      </c>
      <c r="C3459">
        <v>23.906604925338868</v>
      </c>
      <c r="D3459">
        <v>1.0735614172105721</v>
      </c>
      <c r="E3459">
        <v>0.99286554410111805</v>
      </c>
      <c r="F3459">
        <v>2.978364607762352</v>
      </c>
      <c r="G3459">
        <v>6.3730501119191354</v>
      </c>
      <c r="H3459">
        <v>67.484864639719348</v>
      </c>
      <c r="I3459">
        <v>20.48814914616807</v>
      </c>
      <c r="J3459">
        <v>24.072310984897619</v>
      </c>
      <c r="K3459">
        <v>1198.7111594822129</v>
      </c>
      <c r="L3459">
        <v>0</v>
      </c>
      <c r="M3459" t="s">
        <v>69</v>
      </c>
    </row>
    <row r="3460" spans="1:13" x14ac:dyDescent="0.3">
      <c r="A3460" t="s">
        <v>19</v>
      </c>
      <c r="B3460" t="s">
        <v>48</v>
      </c>
      <c r="C3460">
        <v>45.319236710014472</v>
      </c>
      <c r="D3460">
        <v>1.9913612005177219</v>
      </c>
      <c r="E3460">
        <v>3.176445422155485</v>
      </c>
      <c r="F3460">
        <v>5.8656537713634496</v>
      </c>
      <c r="G3460">
        <v>5.4631464317683784</v>
      </c>
      <c r="H3460">
        <v>18.926070692489741</v>
      </c>
      <c r="I3460">
        <v>32.180493836469957</v>
      </c>
      <c r="J3460">
        <v>25.967789096438668</v>
      </c>
      <c r="K3460">
        <v>1173.1878254237879</v>
      </c>
      <c r="L3460">
        <v>0</v>
      </c>
      <c r="M3460" t="s">
        <v>69</v>
      </c>
    </row>
    <row r="3461" spans="1:13" x14ac:dyDescent="0.3">
      <c r="A3461" t="s">
        <v>24</v>
      </c>
      <c r="B3461" t="s">
        <v>57</v>
      </c>
      <c r="C3461">
        <v>7.967771813628886</v>
      </c>
      <c r="D3461">
        <v>0</v>
      </c>
      <c r="E3461">
        <v>0</v>
      </c>
      <c r="F3461">
        <v>1.1063422193097789</v>
      </c>
      <c r="G3461">
        <v>6.1470421810519547</v>
      </c>
      <c r="H3461">
        <v>35.786263468357177</v>
      </c>
      <c r="I3461">
        <v>23.776044690440699</v>
      </c>
      <c r="J3461">
        <v>24.607241776959992</v>
      </c>
      <c r="K3461">
        <v>731.37522703152626</v>
      </c>
      <c r="L3461">
        <v>0</v>
      </c>
      <c r="M3461" t="s">
        <v>69</v>
      </c>
    </row>
    <row r="3462" spans="1:13" x14ac:dyDescent="0.3">
      <c r="A3462" t="s">
        <v>24</v>
      </c>
      <c r="B3462" t="s">
        <v>58</v>
      </c>
      <c r="C3462">
        <v>35.047723147524017</v>
      </c>
      <c r="D3462">
        <v>0.99638833460998066</v>
      </c>
      <c r="E3462">
        <v>2.002256966412387</v>
      </c>
      <c r="F3462">
        <v>4.9793545503937331</v>
      </c>
      <c r="G3462">
        <v>6.8989985830617986</v>
      </c>
      <c r="H3462">
        <v>57.192951886539532</v>
      </c>
      <c r="I3462">
        <v>24.608648768834819</v>
      </c>
      <c r="J3462">
        <v>22.98851456378512</v>
      </c>
      <c r="K3462">
        <v>738.40037652889066</v>
      </c>
      <c r="L3462">
        <v>0</v>
      </c>
      <c r="M3462" t="s">
        <v>69</v>
      </c>
    </row>
    <row r="3463" spans="1:13" x14ac:dyDescent="0.3">
      <c r="A3463" t="s">
        <v>20</v>
      </c>
      <c r="B3463" t="s">
        <v>49</v>
      </c>
      <c r="C3463">
        <v>37.477423719817907</v>
      </c>
      <c r="D3463">
        <v>1.9495916754222671</v>
      </c>
      <c r="E3463">
        <v>1.8743529222881501</v>
      </c>
      <c r="F3463">
        <v>5.4053382484491266</v>
      </c>
      <c r="G3463">
        <v>6.3113606223819954</v>
      </c>
      <c r="H3463">
        <v>15.337335978780541</v>
      </c>
      <c r="I3463">
        <v>32.897331218547862</v>
      </c>
      <c r="J3463">
        <v>25.828860034915891</v>
      </c>
      <c r="K3463">
        <v>1127.7110881558749</v>
      </c>
      <c r="L3463">
        <v>0</v>
      </c>
      <c r="M3463" t="s">
        <v>69</v>
      </c>
    </row>
    <row r="3464" spans="1:13" x14ac:dyDescent="0.3">
      <c r="A3464" t="s">
        <v>19</v>
      </c>
      <c r="B3464" t="s">
        <v>48</v>
      </c>
      <c r="C3464">
        <v>27.465581651436491</v>
      </c>
      <c r="D3464">
        <v>1.042005395951688</v>
      </c>
      <c r="E3464">
        <v>0.89186372666797009</v>
      </c>
      <c r="F3464">
        <v>4.22335186797471</v>
      </c>
      <c r="G3464">
        <v>5.8726418539954572</v>
      </c>
      <c r="H3464">
        <v>15.942731064785759</v>
      </c>
      <c r="I3464">
        <v>30.654183450744611</v>
      </c>
      <c r="J3464">
        <v>26.337286617330282</v>
      </c>
      <c r="K3464">
        <v>1167.835383769115</v>
      </c>
      <c r="L3464">
        <v>0</v>
      </c>
      <c r="M3464" t="s">
        <v>69</v>
      </c>
    </row>
    <row r="3465" spans="1:13" x14ac:dyDescent="0.3">
      <c r="A3465" t="s">
        <v>24</v>
      </c>
      <c r="B3465" t="s">
        <v>59</v>
      </c>
      <c r="C3465">
        <v>57.019345452133848</v>
      </c>
      <c r="D3465">
        <v>2.183237227472222</v>
      </c>
      <c r="E3465">
        <v>4.007848504080723</v>
      </c>
      <c r="F3465">
        <v>8.402065706946221</v>
      </c>
      <c r="G3465">
        <v>6.6628193762801029</v>
      </c>
      <c r="H3465">
        <v>57.398729994011831</v>
      </c>
      <c r="I3465">
        <v>26.33199003903789</v>
      </c>
      <c r="J3465">
        <v>23.564204186811541</v>
      </c>
      <c r="K3465">
        <v>728.41577038127105</v>
      </c>
      <c r="L3465">
        <v>0</v>
      </c>
      <c r="M3465" t="s">
        <v>69</v>
      </c>
    </row>
    <row r="3466" spans="1:13" x14ac:dyDescent="0.3">
      <c r="A3466" t="s">
        <v>19</v>
      </c>
      <c r="B3466" t="s">
        <v>44</v>
      </c>
      <c r="C3466">
        <v>20.11879426928709</v>
      </c>
      <c r="D3466">
        <v>1.0115673425814891</v>
      </c>
      <c r="E3466">
        <v>1.0749515538622221</v>
      </c>
      <c r="F3466">
        <v>2.7425157095815909</v>
      </c>
      <c r="G3466">
        <v>6.1857289718090129</v>
      </c>
      <c r="H3466">
        <v>15.34680875092663</v>
      </c>
      <c r="I3466">
        <v>25.106377966257782</v>
      </c>
      <c r="J3466">
        <v>24.037618182314979</v>
      </c>
      <c r="K3466">
        <v>1319.4174949534399</v>
      </c>
      <c r="L3466">
        <v>0</v>
      </c>
      <c r="M3466" t="s">
        <v>69</v>
      </c>
    </row>
    <row r="3467" spans="1:13" x14ac:dyDescent="0.3">
      <c r="A3467" t="s">
        <v>19</v>
      </c>
      <c r="B3467" t="s">
        <v>48</v>
      </c>
      <c r="C3467">
        <v>40.989170993109227</v>
      </c>
      <c r="D3467">
        <v>1.991628419145566</v>
      </c>
      <c r="E3467">
        <v>2.0343556189167029</v>
      </c>
      <c r="F3467">
        <v>5.6296095683480916</v>
      </c>
      <c r="G3467">
        <v>6.1703017954459636</v>
      </c>
      <c r="H3467">
        <v>17.115731294984919</v>
      </c>
      <c r="I3467">
        <v>32.830780848204682</v>
      </c>
      <c r="J3467">
        <v>26.40768889284432</v>
      </c>
      <c r="K3467">
        <v>1149.2008026917799</v>
      </c>
      <c r="L3467">
        <v>0</v>
      </c>
      <c r="M3467" t="s">
        <v>69</v>
      </c>
    </row>
    <row r="3468" spans="1:13" x14ac:dyDescent="0.3">
      <c r="A3468" t="s">
        <v>25</v>
      </c>
      <c r="B3468" t="s">
        <v>62</v>
      </c>
      <c r="C3468">
        <v>252.49964805124179</v>
      </c>
      <c r="D3468">
        <v>20.059724393612381</v>
      </c>
      <c r="E3468">
        <v>24.21767159652612</v>
      </c>
      <c r="F3468">
        <v>55.726513829720737</v>
      </c>
      <c r="G3468">
        <v>4.3259235653906396</v>
      </c>
      <c r="H3468">
        <v>66.96408630380364</v>
      </c>
      <c r="I3468">
        <v>28.84021777383029</v>
      </c>
      <c r="J3468">
        <v>24.650560706329479</v>
      </c>
      <c r="K3468">
        <v>719.3276692899226</v>
      </c>
      <c r="L3468">
        <v>0</v>
      </c>
      <c r="M3468" t="s">
        <v>69</v>
      </c>
    </row>
    <row r="3469" spans="1:13" x14ac:dyDescent="0.3">
      <c r="A3469" t="s">
        <v>24</v>
      </c>
      <c r="B3469" t="s">
        <v>58</v>
      </c>
      <c r="C3469">
        <v>34.757952739634653</v>
      </c>
      <c r="D3469">
        <v>0.88342183858765422</v>
      </c>
      <c r="E3469">
        <v>1.736805683058626</v>
      </c>
      <c r="F3469">
        <v>4.5868097441438396</v>
      </c>
      <c r="G3469">
        <v>6.89313584956097</v>
      </c>
      <c r="H3469">
        <v>57.070339501869967</v>
      </c>
      <c r="I3469">
        <v>24.346334185107711</v>
      </c>
      <c r="J3469">
        <v>23.449139973526211</v>
      </c>
      <c r="K3469">
        <v>714.96820015924425</v>
      </c>
      <c r="L3469">
        <v>0</v>
      </c>
      <c r="M3469" t="s">
        <v>69</v>
      </c>
    </row>
    <row r="3470" spans="1:13" x14ac:dyDescent="0.3">
      <c r="A3470" t="s">
        <v>19</v>
      </c>
      <c r="B3470" t="s">
        <v>48</v>
      </c>
      <c r="C3470">
        <v>63.444184955647764</v>
      </c>
      <c r="D3470">
        <v>2.9987681826050911</v>
      </c>
      <c r="E3470">
        <v>4.2832574457233559</v>
      </c>
      <c r="F3470">
        <v>9.0870507085482082</v>
      </c>
      <c r="G3470">
        <v>6.3067008496677968</v>
      </c>
      <c r="H3470">
        <v>18.540757245210049</v>
      </c>
      <c r="I3470">
        <v>35.010865915699071</v>
      </c>
      <c r="J3470">
        <v>26.158775883387261</v>
      </c>
      <c r="K3470">
        <v>1165.5929824568391</v>
      </c>
      <c r="L3470">
        <v>0</v>
      </c>
      <c r="M3470" t="s">
        <v>69</v>
      </c>
    </row>
    <row r="3471" spans="1:13" x14ac:dyDescent="0.3">
      <c r="A3471" t="s">
        <v>20</v>
      </c>
      <c r="B3471" t="s">
        <v>49</v>
      </c>
      <c r="C3471">
        <v>27.273710810127369</v>
      </c>
      <c r="D3471">
        <v>0.96259829352552462</v>
      </c>
      <c r="E3471">
        <v>0.93275255420616254</v>
      </c>
      <c r="F3471">
        <v>4.1662778015048687</v>
      </c>
      <c r="G3471">
        <v>6.0180677183724942</v>
      </c>
      <c r="H3471">
        <v>15.918391944047411</v>
      </c>
      <c r="I3471">
        <v>30.25816716171277</v>
      </c>
      <c r="J3471">
        <v>24.052792944495099</v>
      </c>
      <c r="K3471">
        <v>1150.163445033709</v>
      </c>
      <c r="L3471">
        <v>0</v>
      </c>
      <c r="M3471" t="s">
        <v>69</v>
      </c>
    </row>
    <row r="3472" spans="1:13" x14ac:dyDescent="0.3">
      <c r="A3472" t="s">
        <v>25</v>
      </c>
      <c r="B3472" t="s">
        <v>62</v>
      </c>
      <c r="C3472">
        <v>24.591963507948361</v>
      </c>
      <c r="D3472">
        <v>1.0822753803257681</v>
      </c>
      <c r="E3472">
        <v>0.99443754477038215</v>
      </c>
      <c r="F3472">
        <v>3.075273090757138</v>
      </c>
      <c r="G3472">
        <v>6.3726717812634961</v>
      </c>
      <c r="H3472">
        <v>67.708897962157138</v>
      </c>
      <c r="I3472">
        <v>20.586421674441699</v>
      </c>
      <c r="J3472">
        <v>24.058582771384259</v>
      </c>
      <c r="K3472">
        <v>1194.489502854412</v>
      </c>
      <c r="L3472">
        <v>0</v>
      </c>
      <c r="M3472" t="s">
        <v>69</v>
      </c>
    </row>
    <row r="3473" spans="1:13" x14ac:dyDescent="0.3">
      <c r="A3473" t="s">
        <v>21</v>
      </c>
      <c r="B3473" t="s">
        <v>52</v>
      </c>
      <c r="C3473">
        <v>63.812902036733483</v>
      </c>
      <c r="D3473">
        <v>3.346206173278234</v>
      </c>
      <c r="E3473">
        <v>3.7803593624287628</v>
      </c>
      <c r="F3473">
        <v>10.259373287042729</v>
      </c>
      <c r="G3473">
        <v>6.4144994937810038</v>
      </c>
      <c r="H3473">
        <v>19.40155632939598</v>
      </c>
      <c r="I3473">
        <v>33.399955229895298</v>
      </c>
      <c r="J3473">
        <v>25.208079836005989</v>
      </c>
      <c r="K3473">
        <v>1218.285739139174</v>
      </c>
      <c r="L3473">
        <v>0</v>
      </c>
      <c r="M3473" t="s">
        <v>69</v>
      </c>
    </row>
    <row r="3474" spans="1:13" x14ac:dyDescent="0.3">
      <c r="A3474" t="s">
        <v>24</v>
      </c>
      <c r="B3474" t="s">
        <v>58</v>
      </c>
      <c r="C3474">
        <v>34.115869628369843</v>
      </c>
      <c r="D3474">
        <v>0.93137560007820586</v>
      </c>
      <c r="E3474">
        <v>1.976443664378813</v>
      </c>
      <c r="F3474">
        <v>4.8239834485078159</v>
      </c>
      <c r="G3474">
        <v>6.9652535971959324</v>
      </c>
      <c r="H3474">
        <v>58.682773843461973</v>
      </c>
      <c r="I3474">
        <v>24.706857745788099</v>
      </c>
      <c r="J3474">
        <v>23.909049657861541</v>
      </c>
      <c r="K3474">
        <v>722.63144678728111</v>
      </c>
      <c r="L3474">
        <v>0</v>
      </c>
      <c r="M3474" t="s">
        <v>69</v>
      </c>
    </row>
    <row r="3475" spans="1:13" x14ac:dyDescent="0.3">
      <c r="A3475" t="s">
        <v>25</v>
      </c>
      <c r="B3475" t="s">
        <v>62</v>
      </c>
      <c r="C3475">
        <v>30.890287166038771</v>
      </c>
      <c r="D3475">
        <v>1.144251863350036</v>
      </c>
      <c r="E3475">
        <v>1.8978053863773681</v>
      </c>
      <c r="F3475">
        <v>5.251067510596009</v>
      </c>
      <c r="G3475">
        <v>6.138229932725932</v>
      </c>
      <c r="H3475">
        <v>37.818544727413787</v>
      </c>
      <c r="I3475">
        <v>19.98888357929869</v>
      </c>
      <c r="J3475">
        <v>24.072442154432171</v>
      </c>
      <c r="K3475">
        <v>1091.087945242708</v>
      </c>
      <c r="L3475">
        <v>0</v>
      </c>
      <c r="M3475" t="s">
        <v>69</v>
      </c>
    </row>
    <row r="3476" spans="1:13" x14ac:dyDescent="0.3">
      <c r="A3476" t="s">
        <v>19</v>
      </c>
      <c r="B3476" t="s">
        <v>48</v>
      </c>
      <c r="C3476">
        <v>45.944427387064799</v>
      </c>
      <c r="D3476">
        <v>1.759357278673251</v>
      </c>
      <c r="E3476">
        <v>2.6148764530938169</v>
      </c>
      <c r="F3476">
        <v>7.64764660939269</v>
      </c>
      <c r="G3476">
        <v>6.256288782562156</v>
      </c>
      <c r="H3476">
        <v>17.307876383783</v>
      </c>
      <c r="I3476">
        <v>31.777899235633949</v>
      </c>
      <c r="J3476">
        <v>25.146438396251789</v>
      </c>
      <c r="K3476">
        <v>1181.110425315434</v>
      </c>
      <c r="L3476">
        <v>0</v>
      </c>
      <c r="M3476" t="s">
        <v>69</v>
      </c>
    </row>
    <row r="3477" spans="1:13" x14ac:dyDescent="0.3">
      <c r="A3477" t="s">
        <v>24</v>
      </c>
      <c r="B3477" t="s">
        <v>58</v>
      </c>
      <c r="C3477">
        <v>29.734297647681469</v>
      </c>
      <c r="D3477">
        <v>0.92296209809248042</v>
      </c>
      <c r="E3477">
        <v>1.9543483996877351</v>
      </c>
      <c r="F3477">
        <v>4.3104500825937428</v>
      </c>
      <c r="G3477">
        <v>6.8568962554269381</v>
      </c>
      <c r="H3477">
        <v>33.808969713913577</v>
      </c>
      <c r="I3477">
        <v>25.229064074650971</v>
      </c>
      <c r="J3477">
        <v>23.103362133325241</v>
      </c>
      <c r="K3477">
        <v>754.89436043016963</v>
      </c>
      <c r="L3477">
        <v>0</v>
      </c>
      <c r="M3477" t="s">
        <v>69</v>
      </c>
    </row>
    <row r="3478" spans="1:13" x14ac:dyDescent="0.3">
      <c r="A3478" t="s">
        <v>24</v>
      </c>
      <c r="B3478" t="s">
        <v>58</v>
      </c>
      <c r="C3478">
        <v>35.558918229581003</v>
      </c>
      <c r="D3478">
        <v>1.031349746919294</v>
      </c>
      <c r="E3478">
        <v>2.0208028939334328</v>
      </c>
      <c r="F3478">
        <v>5.1552180280299096</v>
      </c>
      <c r="G3478">
        <v>6.7698164897472317</v>
      </c>
      <c r="H3478">
        <v>55.494489496212317</v>
      </c>
      <c r="I3478">
        <v>23.64724033506565</v>
      </c>
      <c r="J3478">
        <v>22.00344141502535</v>
      </c>
      <c r="K3478">
        <v>735.32488708836718</v>
      </c>
      <c r="L3478">
        <v>0</v>
      </c>
      <c r="M3478" t="s">
        <v>69</v>
      </c>
    </row>
    <row r="3479" spans="1:13" x14ac:dyDescent="0.3">
      <c r="A3479" t="s">
        <v>19</v>
      </c>
      <c r="B3479" t="s">
        <v>46</v>
      </c>
      <c r="C3479">
        <v>17.631119347849779</v>
      </c>
      <c r="D3479">
        <v>0</v>
      </c>
      <c r="E3479">
        <v>1.117476676246278</v>
      </c>
      <c r="F3479">
        <v>3.439649800868386</v>
      </c>
      <c r="G3479">
        <v>5.2802641730831548</v>
      </c>
      <c r="H3479">
        <v>14.548799139948549</v>
      </c>
      <c r="I3479">
        <v>31.308711906630052</v>
      </c>
      <c r="J3479">
        <v>24.24332672245221</v>
      </c>
      <c r="K3479">
        <v>1354.5805765991561</v>
      </c>
      <c r="L3479">
        <v>0</v>
      </c>
      <c r="M3479" t="s">
        <v>69</v>
      </c>
    </row>
    <row r="3480" spans="1:13" x14ac:dyDescent="0.3">
      <c r="A3480" t="s">
        <v>25</v>
      </c>
      <c r="B3480" t="s">
        <v>62</v>
      </c>
      <c r="C3480">
        <v>25.176978154015771</v>
      </c>
      <c r="D3480">
        <v>1.26406157347832</v>
      </c>
      <c r="E3480">
        <v>0.95960139706043535</v>
      </c>
      <c r="F3480">
        <v>2.7604453944570828</v>
      </c>
      <c r="G3480">
        <v>6.2279510235304292</v>
      </c>
      <c r="H3480">
        <v>66.784201533280168</v>
      </c>
      <c r="I3480">
        <v>20.423084605019941</v>
      </c>
      <c r="J3480">
        <v>24.494910242368441</v>
      </c>
      <c r="K3480">
        <v>1201.8463631672521</v>
      </c>
      <c r="L3480">
        <v>0</v>
      </c>
      <c r="M3480" t="s">
        <v>69</v>
      </c>
    </row>
    <row r="3481" spans="1:13" x14ac:dyDescent="0.3">
      <c r="A3481" t="s">
        <v>19</v>
      </c>
      <c r="B3481" t="s">
        <v>45</v>
      </c>
      <c r="C3481">
        <v>19.162922813045281</v>
      </c>
      <c r="D3481">
        <v>0.89219278284233239</v>
      </c>
      <c r="E3481">
        <v>0.91249842531806102</v>
      </c>
      <c r="F3481">
        <v>3.200052073599013</v>
      </c>
      <c r="G3481">
        <v>6.4115570991243143</v>
      </c>
      <c r="H3481">
        <v>18.111438880694799</v>
      </c>
      <c r="I3481">
        <v>32.488780499467367</v>
      </c>
      <c r="J3481">
        <v>24.611614707161309</v>
      </c>
      <c r="K3481">
        <v>1315.2923107072879</v>
      </c>
      <c r="L3481">
        <v>0</v>
      </c>
      <c r="M3481" t="s">
        <v>69</v>
      </c>
    </row>
    <row r="3482" spans="1:13" x14ac:dyDescent="0.3">
      <c r="A3482" t="s">
        <v>24</v>
      </c>
      <c r="B3482" t="s">
        <v>57</v>
      </c>
      <c r="C3482">
        <v>7.296130863049072</v>
      </c>
      <c r="D3482">
        <v>0</v>
      </c>
      <c r="E3482">
        <v>0</v>
      </c>
      <c r="F3482">
        <v>0.95462997229558155</v>
      </c>
      <c r="G3482">
        <v>5.9944620988210549</v>
      </c>
      <c r="H3482">
        <v>41.187124455499848</v>
      </c>
      <c r="I3482">
        <v>23.652523619880821</v>
      </c>
      <c r="J3482">
        <v>23.86229864220704</v>
      </c>
      <c r="K3482">
        <v>757.62574423986666</v>
      </c>
      <c r="L3482">
        <v>0</v>
      </c>
      <c r="M3482" t="s">
        <v>69</v>
      </c>
    </row>
    <row r="3483" spans="1:13" x14ac:dyDescent="0.3">
      <c r="A3483" t="s">
        <v>25</v>
      </c>
      <c r="B3483" t="s">
        <v>62</v>
      </c>
      <c r="C3483">
        <v>278.02372160302951</v>
      </c>
      <c r="D3483">
        <v>21.161210937641531</v>
      </c>
      <c r="E3483">
        <v>29.617170552024799</v>
      </c>
      <c r="F3483">
        <v>60.495760928493262</v>
      </c>
      <c r="G3483">
        <v>4.399335069401678</v>
      </c>
      <c r="H3483">
        <v>73.322365125268519</v>
      </c>
      <c r="I3483">
        <v>28.567293239874338</v>
      </c>
      <c r="J3483">
        <v>24.914208813693811</v>
      </c>
      <c r="K3483">
        <v>708.76722960994459</v>
      </c>
      <c r="L3483">
        <v>0</v>
      </c>
      <c r="M3483" t="s">
        <v>69</v>
      </c>
    </row>
    <row r="3484" spans="1:13" x14ac:dyDescent="0.3">
      <c r="A3484" t="s">
        <v>25</v>
      </c>
      <c r="B3484" t="s">
        <v>62</v>
      </c>
      <c r="C3484">
        <v>23.40698006236903</v>
      </c>
      <c r="D3484">
        <v>1.0419515737403879</v>
      </c>
      <c r="E3484">
        <v>0.95756607887324208</v>
      </c>
      <c r="F3484">
        <v>2.885381288797177</v>
      </c>
      <c r="G3484">
        <v>6.3511537162844061</v>
      </c>
      <c r="H3484">
        <v>67.317516157684793</v>
      </c>
      <c r="I3484">
        <v>20.454986895229322</v>
      </c>
      <c r="J3484">
        <v>24.047868407083499</v>
      </c>
      <c r="K3484">
        <v>1208.2398760008689</v>
      </c>
      <c r="L3484">
        <v>0</v>
      </c>
      <c r="M3484" t="s">
        <v>69</v>
      </c>
    </row>
    <row r="3485" spans="1:13" x14ac:dyDescent="0.3">
      <c r="A3485" t="s">
        <v>19</v>
      </c>
      <c r="B3485" t="s">
        <v>44</v>
      </c>
      <c r="C3485">
        <v>22.866848186823059</v>
      </c>
      <c r="D3485">
        <v>1.028665221863855</v>
      </c>
      <c r="E3485">
        <v>0.9936152162694194</v>
      </c>
      <c r="F3485">
        <v>2.9649777670449571</v>
      </c>
      <c r="G3485">
        <v>6.4890382953447334</v>
      </c>
      <c r="H3485">
        <v>19.348017202198822</v>
      </c>
      <c r="I3485">
        <v>27.108923678935579</v>
      </c>
      <c r="J3485">
        <v>23.97583381311609</v>
      </c>
      <c r="K3485">
        <v>1323.828585701131</v>
      </c>
      <c r="L3485">
        <v>0</v>
      </c>
      <c r="M3485" t="s">
        <v>69</v>
      </c>
    </row>
    <row r="3486" spans="1:13" x14ac:dyDescent="0.3">
      <c r="A3486" t="s">
        <v>25</v>
      </c>
      <c r="B3486" t="s">
        <v>62</v>
      </c>
      <c r="C3486">
        <v>255.6472206065211</v>
      </c>
      <c r="D3486">
        <v>18.925205191711619</v>
      </c>
      <c r="E3486">
        <v>28.3835647321763</v>
      </c>
      <c r="F3486">
        <v>66.282217211856675</v>
      </c>
      <c r="G3486">
        <v>4.3492277856448034</v>
      </c>
      <c r="H3486">
        <v>73.081062294995036</v>
      </c>
      <c r="I3486">
        <v>30.224317636765932</v>
      </c>
      <c r="J3486">
        <v>24.023097723258271</v>
      </c>
      <c r="K3486">
        <v>705.80393516837307</v>
      </c>
      <c r="L3486">
        <v>0</v>
      </c>
      <c r="M3486" t="s">
        <v>69</v>
      </c>
    </row>
    <row r="3487" spans="1:13" x14ac:dyDescent="0.3">
      <c r="A3487" t="s">
        <v>20</v>
      </c>
      <c r="B3487" t="s">
        <v>49</v>
      </c>
      <c r="C3487">
        <v>35.570733134333963</v>
      </c>
      <c r="D3487">
        <v>1.2561361018537729</v>
      </c>
      <c r="E3487">
        <v>1.943648287093249</v>
      </c>
      <c r="F3487">
        <v>5.6522324180328276</v>
      </c>
      <c r="G3487">
        <v>6.2535853894639306</v>
      </c>
      <c r="H3487">
        <v>15.59471793867985</v>
      </c>
      <c r="I3487">
        <v>32.780951492954649</v>
      </c>
      <c r="J3487">
        <v>25.317324701493821</v>
      </c>
      <c r="K3487">
        <v>1121.8777029873711</v>
      </c>
      <c r="L3487">
        <v>0</v>
      </c>
      <c r="M3487" t="s">
        <v>69</v>
      </c>
    </row>
    <row r="3488" spans="1:13" x14ac:dyDescent="0.3">
      <c r="A3488" t="s">
        <v>19</v>
      </c>
      <c r="B3488" t="s">
        <v>48</v>
      </c>
      <c r="C3488">
        <v>65.733123737590404</v>
      </c>
      <c r="D3488">
        <v>2.7436978179252058</v>
      </c>
      <c r="E3488">
        <v>3.7613117132732778</v>
      </c>
      <c r="F3488">
        <v>8.7700412245750687</v>
      </c>
      <c r="G3488">
        <v>6.3935607429137464</v>
      </c>
      <c r="H3488">
        <v>18.684468945511771</v>
      </c>
      <c r="I3488">
        <v>32.562312201353961</v>
      </c>
      <c r="J3488">
        <v>25.986389407240541</v>
      </c>
      <c r="K3488">
        <v>1180.881201095782</v>
      </c>
      <c r="L3488">
        <v>0</v>
      </c>
      <c r="M3488" t="s">
        <v>69</v>
      </c>
    </row>
    <row r="3489" spans="1:13" x14ac:dyDescent="0.3">
      <c r="A3489" t="s">
        <v>25</v>
      </c>
      <c r="B3489" t="s">
        <v>62</v>
      </c>
      <c r="C3489">
        <v>25.406445938535189</v>
      </c>
      <c r="D3489">
        <v>1.110032145128468</v>
      </c>
      <c r="E3489">
        <v>1.058806322935504</v>
      </c>
      <c r="F3489">
        <v>3.1089323653377541</v>
      </c>
      <c r="G3489">
        <v>6.3045055231787002</v>
      </c>
      <c r="H3489">
        <v>67.810948846148449</v>
      </c>
      <c r="I3489">
        <v>20.365791564500281</v>
      </c>
      <c r="J3489">
        <v>23.40521431393109</v>
      </c>
      <c r="K3489">
        <v>1229.0479458069619</v>
      </c>
      <c r="L3489">
        <v>0</v>
      </c>
      <c r="M3489" t="s">
        <v>69</v>
      </c>
    </row>
    <row r="3490" spans="1:13" x14ac:dyDescent="0.3">
      <c r="A3490" t="s">
        <v>19</v>
      </c>
      <c r="B3490" t="s">
        <v>44</v>
      </c>
      <c r="C3490">
        <v>19.38971286877484</v>
      </c>
      <c r="D3490">
        <v>1.0071910245035509</v>
      </c>
      <c r="E3490">
        <v>1.0282388137697871</v>
      </c>
      <c r="F3490">
        <v>3.1914957747788839</v>
      </c>
      <c r="G3490">
        <v>6.1910726224971064</v>
      </c>
      <c r="H3490">
        <v>14.74804420064681</v>
      </c>
      <c r="I3490">
        <v>25.639749314558269</v>
      </c>
      <c r="J3490">
        <v>24.03993201618178</v>
      </c>
      <c r="K3490">
        <v>1327.658539680921</v>
      </c>
      <c r="L3490">
        <v>0</v>
      </c>
      <c r="M3490" t="s">
        <v>69</v>
      </c>
    </row>
    <row r="3491" spans="1:13" x14ac:dyDescent="0.3">
      <c r="A3491" t="s">
        <v>24</v>
      </c>
      <c r="B3491" t="s">
        <v>57</v>
      </c>
      <c r="C3491">
        <v>55.165075381446819</v>
      </c>
      <c r="D3491">
        <v>2.0780638647966412</v>
      </c>
      <c r="E3491">
        <v>2.62425715278204</v>
      </c>
      <c r="F3491">
        <v>6.8240531499165389</v>
      </c>
      <c r="G3491">
        <v>5.5291384420836609</v>
      </c>
      <c r="H3491">
        <v>51.837853409654279</v>
      </c>
      <c r="I3491">
        <v>23.716415815971668</v>
      </c>
      <c r="J3491">
        <v>21.93462633350974</v>
      </c>
      <c r="K3491">
        <v>721.16150763081714</v>
      </c>
      <c r="L3491">
        <v>0</v>
      </c>
      <c r="M3491" t="s">
        <v>69</v>
      </c>
    </row>
    <row r="3492" spans="1:13" x14ac:dyDescent="0.3">
      <c r="A3492" t="s">
        <v>19</v>
      </c>
      <c r="B3492" t="s">
        <v>48</v>
      </c>
      <c r="C3492">
        <v>38.344108553783968</v>
      </c>
      <c r="D3492">
        <v>1.0234282250295701</v>
      </c>
      <c r="E3492">
        <v>1.7976206564602799</v>
      </c>
      <c r="F3492">
        <v>6.5878521301013162</v>
      </c>
      <c r="G3492">
        <v>6.1035746458436959</v>
      </c>
      <c r="H3492">
        <v>16.884587934013741</v>
      </c>
      <c r="I3492">
        <v>30.167433289238971</v>
      </c>
      <c r="J3492">
        <v>26.182463915117989</v>
      </c>
      <c r="K3492">
        <v>1165.579821571047</v>
      </c>
      <c r="L3492">
        <v>0</v>
      </c>
      <c r="M3492" t="s">
        <v>69</v>
      </c>
    </row>
    <row r="3493" spans="1:13" x14ac:dyDescent="0.3">
      <c r="A3493" t="s">
        <v>19</v>
      </c>
      <c r="B3493" t="s">
        <v>44</v>
      </c>
      <c r="C3493">
        <v>19.706287850292611</v>
      </c>
      <c r="D3493">
        <v>1.044792558809464</v>
      </c>
      <c r="E3493">
        <v>0.96810231079245845</v>
      </c>
      <c r="F3493">
        <v>2.9461657611286198</v>
      </c>
      <c r="G3493">
        <v>6.1105936580911511</v>
      </c>
      <c r="H3493">
        <v>16.26922569359688</v>
      </c>
      <c r="I3493">
        <v>25.430676996028669</v>
      </c>
      <c r="J3493">
        <v>23.786369468428209</v>
      </c>
      <c r="K3493">
        <v>1325.097889401068</v>
      </c>
      <c r="L3493">
        <v>0</v>
      </c>
      <c r="M3493" t="s">
        <v>69</v>
      </c>
    </row>
    <row r="3494" spans="1:13" x14ac:dyDescent="0.3">
      <c r="A3494" t="s">
        <v>21</v>
      </c>
      <c r="B3494" t="s">
        <v>52</v>
      </c>
      <c r="C3494">
        <v>125.57435346838351</v>
      </c>
      <c r="D3494">
        <v>5.6381102145315483</v>
      </c>
      <c r="E3494">
        <v>8.167562760931748</v>
      </c>
      <c r="F3494">
        <v>20.308903658121039</v>
      </c>
      <c r="G3494">
        <v>5.5225698909593728</v>
      </c>
      <c r="H3494">
        <v>58.1595442185005</v>
      </c>
      <c r="I3494">
        <v>28.18549653246982</v>
      </c>
      <c r="J3494">
        <v>25.276647607445021</v>
      </c>
      <c r="K3494">
        <v>741.99778053822797</v>
      </c>
      <c r="L3494">
        <v>0</v>
      </c>
      <c r="M3494" t="s">
        <v>69</v>
      </c>
    </row>
    <row r="3495" spans="1:13" x14ac:dyDescent="0.3">
      <c r="A3495" t="s">
        <v>21</v>
      </c>
      <c r="B3495" t="s">
        <v>52</v>
      </c>
      <c r="C3495">
        <v>141.54759183003731</v>
      </c>
      <c r="D3495">
        <v>5.5033639264467027</v>
      </c>
      <c r="E3495">
        <v>9.1608626484577549</v>
      </c>
      <c r="F3495">
        <v>21.671645285519201</v>
      </c>
      <c r="G3495">
        <v>5.5226648339109952</v>
      </c>
      <c r="H3495">
        <v>56.007047987386279</v>
      </c>
      <c r="I3495">
        <v>28.01311472653305</v>
      </c>
      <c r="J3495">
        <v>24.869712475155719</v>
      </c>
      <c r="K3495">
        <v>738.45188604162024</v>
      </c>
      <c r="L3495">
        <v>0</v>
      </c>
      <c r="M3495" t="s">
        <v>69</v>
      </c>
    </row>
    <row r="3496" spans="1:13" x14ac:dyDescent="0.3">
      <c r="A3496" t="s">
        <v>24</v>
      </c>
      <c r="B3496" t="s">
        <v>58</v>
      </c>
      <c r="C3496">
        <v>40.542663342283767</v>
      </c>
      <c r="D3496">
        <v>1.370955447203958</v>
      </c>
      <c r="E3496">
        <v>2.4344250155673079</v>
      </c>
      <c r="F3496">
        <v>5.6099308737824707</v>
      </c>
      <c r="G3496">
        <v>6.5461220742989514</v>
      </c>
      <c r="H3496">
        <v>56.397360482738357</v>
      </c>
      <c r="I3496">
        <v>26.55265714602734</v>
      </c>
      <c r="J3496">
        <v>22.539678752257771</v>
      </c>
      <c r="K3496">
        <v>716.18690433195877</v>
      </c>
      <c r="L3496">
        <v>0</v>
      </c>
      <c r="M3496" t="s">
        <v>69</v>
      </c>
    </row>
    <row r="3497" spans="1:13" x14ac:dyDescent="0.3">
      <c r="A3497" t="s">
        <v>25</v>
      </c>
      <c r="B3497" t="s">
        <v>62</v>
      </c>
      <c r="C3497">
        <v>25.432248091932919</v>
      </c>
      <c r="D3497">
        <v>1.079687488301817</v>
      </c>
      <c r="E3497">
        <v>1.017919700713892</v>
      </c>
      <c r="F3497">
        <v>3.027632855013803</v>
      </c>
      <c r="G3497">
        <v>6.2710147544219632</v>
      </c>
      <c r="H3497">
        <v>66.409202619696316</v>
      </c>
      <c r="I3497">
        <v>20.50585339357135</v>
      </c>
      <c r="J3497">
        <v>25.066738821061609</v>
      </c>
      <c r="K3497">
        <v>1200.0429616281419</v>
      </c>
      <c r="L3497">
        <v>0</v>
      </c>
      <c r="M3497" t="s">
        <v>69</v>
      </c>
    </row>
    <row r="3498" spans="1:13" x14ac:dyDescent="0.3">
      <c r="A3498" t="s">
        <v>19</v>
      </c>
      <c r="B3498" t="s">
        <v>45</v>
      </c>
      <c r="C3498">
        <v>20.024790555266311</v>
      </c>
      <c r="D3498">
        <v>1.0030113500525131</v>
      </c>
      <c r="E3498">
        <v>1.045725795828925</v>
      </c>
      <c r="F3498">
        <v>3.136963413225319</v>
      </c>
      <c r="G3498">
        <v>6.3394868872190964</v>
      </c>
      <c r="H3498">
        <v>19.164140527747328</v>
      </c>
      <c r="I3498">
        <v>31.609118437742659</v>
      </c>
      <c r="J3498">
        <v>24.131893539596589</v>
      </c>
      <c r="K3498">
        <v>1334.8287147049959</v>
      </c>
      <c r="L3498">
        <v>0</v>
      </c>
      <c r="M3498" t="s">
        <v>69</v>
      </c>
    </row>
    <row r="3499" spans="1:13" x14ac:dyDescent="0.3">
      <c r="A3499" t="s">
        <v>24</v>
      </c>
      <c r="B3499" t="s">
        <v>58</v>
      </c>
      <c r="C3499">
        <v>35.843038170385789</v>
      </c>
      <c r="D3499">
        <v>1.091873677542051</v>
      </c>
      <c r="E3499">
        <v>2.314058298998027</v>
      </c>
      <c r="F3499">
        <v>5.5592213491784488</v>
      </c>
      <c r="G3499">
        <v>6.8368597760623553</v>
      </c>
      <c r="H3499">
        <v>54.954173960083381</v>
      </c>
      <c r="I3499">
        <v>24.696609516427031</v>
      </c>
      <c r="J3499">
        <v>23.525930133924351</v>
      </c>
      <c r="K3499">
        <v>748.44514775529285</v>
      </c>
      <c r="L3499">
        <v>0</v>
      </c>
      <c r="M3499" t="s">
        <v>69</v>
      </c>
    </row>
    <row r="3500" spans="1:13" x14ac:dyDescent="0.3">
      <c r="A3500" t="s">
        <v>19</v>
      </c>
      <c r="B3500" t="s">
        <v>48</v>
      </c>
      <c r="C3500">
        <v>38.245059593741793</v>
      </c>
      <c r="D3500">
        <v>0.92752246202397393</v>
      </c>
      <c r="E3500">
        <v>2.059735303281935</v>
      </c>
      <c r="F3500">
        <v>6.0041622198890936</v>
      </c>
      <c r="G3500">
        <v>6.3403860966608381</v>
      </c>
      <c r="H3500">
        <v>15.892434877165581</v>
      </c>
      <c r="I3500">
        <v>32.036477344696742</v>
      </c>
      <c r="J3500">
        <v>26.13986062504781</v>
      </c>
      <c r="K3500">
        <v>1174.8950538285951</v>
      </c>
      <c r="L3500">
        <v>0</v>
      </c>
      <c r="M3500" t="s">
        <v>69</v>
      </c>
    </row>
    <row r="3501" spans="1:13" x14ac:dyDescent="0.3">
      <c r="A3501" t="s">
        <v>19</v>
      </c>
      <c r="B3501" t="s">
        <v>48</v>
      </c>
      <c r="C3501">
        <v>35.121184598053738</v>
      </c>
      <c r="D3501">
        <v>0.79910327639827505</v>
      </c>
      <c r="E3501">
        <v>1.822768907955715</v>
      </c>
      <c r="F3501">
        <v>6.7060826975639944</v>
      </c>
      <c r="G3501">
        <v>6.037135191006664</v>
      </c>
      <c r="H3501">
        <v>16.170055452323151</v>
      </c>
      <c r="I3501">
        <v>30.900844126076642</v>
      </c>
      <c r="J3501">
        <v>25.896655810225209</v>
      </c>
      <c r="K3501">
        <v>1178.9606531715219</v>
      </c>
      <c r="L3501">
        <v>0</v>
      </c>
      <c r="M3501" t="s">
        <v>69</v>
      </c>
    </row>
    <row r="3502" spans="1:13" x14ac:dyDescent="0.3">
      <c r="A3502" t="s">
        <v>19</v>
      </c>
      <c r="B3502" t="s">
        <v>48</v>
      </c>
      <c r="C3502">
        <v>41.749896412730649</v>
      </c>
      <c r="D3502">
        <v>2.1465545346471311</v>
      </c>
      <c r="E3502">
        <v>2.0235518742899679</v>
      </c>
      <c r="F3502">
        <v>5.9333203939157801</v>
      </c>
      <c r="G3502">
        <v>6.2082554980597431</v>
      </c>
      <c r="H3502">
        <v>17.822985710605298</v>
      </c>
      <c r="I3502">
        <v>33.398182030955027</v>
      </c>
      <c r="J3502">
        <v>25.327155129804751</v>
      </c>
      <c r="K3502">
        <v>1153.66531667349</v>
      </c>
      <c r="L3502">
        <v>0</v>
      </c>
      <c r="M3502" t="s">
        <v>69</v>
      </c>
    </row>
    <row r="3503" spans="1:13" x14ac:dyDescent="0.3">
      <c r="A3503" t="s">
        <v>19</v>
      </c>
      <c r="B3503" t="s">
        <v>44</v>
      </c>
      <c r="C3503">
        <v>18.195568230798671</v>
      </c>
      <c r="D3503">
        <v>0</v>
      </c>
      <c r="E3503">
        <v>1.0901354475056411</v>
      </c>
      <c r="F3503">
        <v>2.4508139573549692</v>
      </c>
      <c r="G3503">
        <v>5.3600637259080761</v>
      </c>
      <c r="H3503">
        <v>14.94369775207808</v>
      </c>
      <c r="I3503">
        <v>30.791078806326819</v>
      </c>
      <c r="J3503">
        <v>23.022936011056832</v>
      </c>
      <c r="K3503">
        <v>1339.5130171390319</v>
      </c>
      <c r="L3503">
        <v>0</v>
      </c>
      <c r="M3503" t="s">
        <v>69</v>
      </c>
    </row>
    <row r="3504" spans="1:13" x14ac:dyDescent="0.3">
      <c r="A3504" t="s">
        <v>19</v>
      </c>
      <c r="B3504" t="s">
        <v>45</v>
      </c>
      <c r="C3504">
        <v>19.714562134153581</v>
      </c>
      <c r="D3504">
        <v>1.0455328814448259</v>
      </c>
      <c r="E3504">
        <v>1.106565266936594</v>
      </c>
      <c r="F3504">
        <v>3.3099831004567069</v>
      </c>
      <c r="G3504">
        <v>6.1382046316926422</v>
      </c>
      <c r="H3504">
        <v>17.880857329336571</v>
      </c>
      <c r="I3504">
        <v>31.568492831473801</v>
      </c>
      <c r="J3504">
        <v>24.543643896896349</v>
      </c>
      <c r="K3504">
        <v>1328.810520547336</v>
      </c>
      <c r="L3504">
        <v>0</v>
      </c>
      <c r="M3504" t="s">
        <v>69</v>
      </c>
    </row>
    <row r="3505" spans="1:13" x14ac:dyDescent="0.3">
      <c r="A3505" t="s">
        <v>24</v>
      </c>
      <c r="B3505" t="s">
        <v>58</v>
      </c>
      <c r="C3505">
        <v>33.82248817568442</v>
      </c>
      <c r="D3505">
        <v>0.8792559190273832</v>
      </c>
      <c r="E3505">
        <v>1.9474805526736809</v>
      </c>
      <c r="F3505">
        <v>4.8831435288314999</v>
      </c>
      <c r="G3505">
        <v>6.9518134220050589</v>
      </c>
      <c r="H3505">
        <v>59.04401244409754</v>
      </c>
      <c r="I3505">
        <v>24.586268265095541</v>
      </c>
      <c r="J3505">
        <v>24.089988581304809</v>
      </c>
      <c r="K3505">
        <v>722.80332319459592</v>
      </c>
      <c r="L3505">
        <v>0</v>
      </c>
      <c r="M3505" t="s">
        <v>69</v>
      </c>
    </row>
    <row r="3506" spans="1:13" x14ac:dyDescent="0.3">
      <c r="A3506" t="s">
        <v>24</v>
      </c>
      <c r="B3506" t="s">
        <v>58</v>
      </c>
      <c r="C3506">
        <v>27.644864304046461</v>
      </c>
      <c r="D3506">
        <v>1.087586651557217</v>
      </c>
      <c r="E3506">
        <v>2.08110346325478</v>
      </c>
      <c r="F3506">
        <v>3.801991908504835</v>
      </c>
      <c r="G3506">
        <v>6.2447844517987869</v>
      </c>
      <c r="H3506">
        <v>39.090362719828462</v>
      </c>
      <c r="I3506">
        <v>23.975915455149249</v>
      </c>
      <c r="J3506">
        <v>22.996013193078841</v>
      </c>
      <c r="K3506">
        <v>746.16901521063517</v>
      </c>
      <c r="L3506">
        <v>0</v>
      </c>
      <c r="M3506" t="s">
        <v>69</v>
      </c>
    </row>
    <row r="3507" spans="1:13" x14ac:dyDescent="0.3">
      <c r="A3507" t="s">
        <v>25</v>
      </c>
      <c r="B3507" t="s">
        <v>62</v>
      </c>
      <c r="C3507">
        <v>255.53933146255801</v>
      </c>
      <c r="D3507">
        <v>18.902330987638809</v>
      </c>
      <c r="E3507">
        <v>29.112521024093471</v>
      </c>
      <c r="F3507">
        <v>67.897657069594658</v>
      </c>
      <c r="G3507">
        <v>4.3337003176431281</v>
      </c>
      <c r="H3507">
        <v>73.258766307063439</v>
      </c>
      <c r="I3507">
        <v>30.506998089264211</v>
      </c>
      <c r="J3507">
        <v>24.030161609743409</v>
      </c>
      <c r="K3507">
        <v>704.2148429565724</v>
      </c>
      <c r="L3507">
        <v>0</v>
      </c>
      <c r="M3507" t="s">
        <v>69</v>
      </c>
    </row>
    <row r="3508" spans="1:13" x14ac:dyDescent="0.3">
      <c r="A3508" t="s">
        <v>25</v>
      </c>
      <c r="B3508" t="s">
        <v>62</v>
      </c>
      <c r="C3508">
        <v>23.297230572819799</v>
      </c>
      <c r="D3508">
        <v>1.0359545801327099</v>
      </c>
      <c r="E3508">
        <v>0.99719569472007574</v>
      </c>
      <c r="F3508">
        <v>2.848491793776287</v>
      </c>
      <c r="G3508">
        <v>6.351935285818632</v>
      </c>
      <c r="H3508">
        <v>67.295205166780335</v>
      </c>
      <c r="I3508">
        <v>20.191053281290522</v>
      </c>
      <c r="J3508">
        <v>24.15936861266869</v>
      </c>
      <c r="K3508">
        <v>1203.39493039436</v>
      </c>
      <c r="L3508">
        <v>0</v>
      </c>
      <c r="M3508" t="s">
        <v>69</v>
      </c>
    </row>
    <row r="3509" spans="1:13" x14ac:dyDescent="0.3">
      <c r="A3509" t="s">
        <v>19</v>
      </c>
      <c r="B3509" t="s">
        <v>48</v>
      </c>
      <c r="C3509">
        <v>29.248857775912629</v>
      </c>
      <c r="D3509">
        <v>0.96948587270515052</v>
      </c>
      <c r="E3509">
        <v>2.0948313063154358</v>
      </c>
      <c r="F3509">
        <v>5.5390522481151656</v>
      </c>
      <c r="G3509">
        <v>5.9762665187294139</v>
      </c>
      <c r="H3509">
        <v>22.439536737701449</v>
      </c>
      <c r="I3509">
        <v>32.266517403174753</v>
      </c>
      <c r="J3509">
        <v>26.00615940211782</v>
      </c>
      <c r="K3509">
        <v>1176.1815108287799</v>
      </c>
      <c r="L3509">
        <v>0</v>
      </c>
      <c r="M3509" t="s">
        <v>69</v>
      </c>
    </row>
    <row r="3510" spans="1:13" x14ac:dyDescent="0.3">
      <c r="A3510" t="s">
        <v>19</v>
      </c>
      <c r="B3510" t="s">
        <v>48</v>
      </c>
      <c r="C3510">
        <v>61.716865197669193</v>
      </c>
      <c r="D3510">
        <v>3.2118975866653812</v>
      </c>
      <c r="E3510">
        <v>3.710081875565689</v>
      </c>
      <c r="F3510">
        <v>8.9823904172396034</v>
      </c>
      <c r="G3510">
        <v>6.4061063446252113</v>
      </c>
      <c r="H3510">
        <v>18.930653235716839</v>
      </c>
      <c r="I3510">
        <v>32.246147561715063</v>
      </c>
      <c r="J3510">
        <v>25.234914791195191</v>
      </c>
      <c r="K3510">
        <v>1162.6011664366681</v>
      </c>
      <c r="L3510">
        <v>0</v>
      </c>
      <c r="M3510" t="s">
        <v>69</v>
      </c>
    </row>
    <row r="3511" spans="1:13" x14ac:dyDescent="0.3">
      <c r="A3511" t="s">
        <v>19</v>
      </c>
      <c r="B3511" t="s">
        <v>48</v>
      </c>
      <c r="C3511">
        <v>31.306522273963811</v>
      </c>
      <c r="D3511">
        <v>0.88245411643433425</v>
      </c>
      <c r="E3511">
        <v>1.250495079899234</v>
      </c>
      <c r="F3511">
        <v>5.050150040841455</v>
      </c>
      <c r="G3511">
        <v>6.0389125819006448</v>
      </c>
      <c r="H3511">
        <v>16.536745380693219</v>
      </c>
      <c r="I3511">
        <v>31.27325048239361</v>
      </c>
      <c r="J3511">
        <v>25.485014091668791</v>
      </c>
      <c r="K3511">
        <v>1166.4693256027169</v>
      </c>
      <c r="L3511">
        <v>0</v>
      </c>
      <c r="M3511" t="s">
        <v>69</v>
      </c>
    </row>
    <row r="3512" spans="1:13" x14ac:dyDescent="0.3">
      <c r="A3512" t="s">
        <v>25</v>
      </c>
      <c r="B3512" t="s">
        <v>62</v>
      </c>
      <c r="C3512">
        <v>29.61629186940738</v>
      </c>
      <c r="D3512">
        <v>0.97798476873827811</v>
      </c>
      <c r="E3512">
        <v>2.0949244224756982</v>
      </c>
      <c r="F3512">
        <v>4.7187883677639864</v>
      </c>
      <c r="G3512">
        <v>6.3404871924991388</v>
      </c>
      <c r="H3512">
        <v>39.72579094150116</v>
      </c>
      <c r="I3512">
        <v>20.0655186786976</v>
      </c>
      <c r="J3512">
        <v>24.621858900255489</v>
      </c>
      <c r="K3512">
        <v>1088.746997295071</v>
      </c>
      <c r="L3512">
        <v>0</v>
      </c>
      <c r="M3512" t="s">
        <v>69</v>
      </c>
    </row>
    <row r="3513" spans="1:13" x14ac:dyDescent="0.3">
      <c r="A3513" t="s">
        <v>19</v>
      </c>
      <c r="B3513" t="s">
        <v>48</v>
      </c>
      <c r="C3513">
        <v>27.430931867605391</v>
      </c>
      <c r="D3513">
        <v>1.0568493391259011</v>
      </c>
      <c r="E3513">
        <v>0.93710545288042368</v>
      </c>
      <c r="F3513">
        <v>4.2218060814247176</v>
      </c>
      <c r="G3513">
        <v>5.935570276678706</v>
      </c>
      <c r="H3513">
        <v>15.90269260576123</v>
      </c>
      <c r="I3513">
        <v>30.44421644116283</v>
      </c>
      <c r="J3513">
        <v>26.816070540569729</v>
      </c>
      <c r="K3513">
        <v>1181.8104404517039</v>
      </c>
      <c r="L3513">
        <v>0</v>
      </c>
      <c r="M3513" t="s">
        <v>69</v>
      </c>
    </row>
    <row r="3514" spans="1:13" x14ac:dyDescent="0.3">
      <c r="A3514" t="s">
        <v>25</v>
      </c>
      <c r="B3514" t="s">
        <v>62</v>
      </c>
      <c r="C3514">
        <v>574.88355559614638</v>
      </c>
      <c r="D3514">
        <v>32.414277609346406</v>
      </c>
      <c r="E3514">
        <v>36.66325325570886</v>
      </c>
      <c r="F3514">
        <v>87.030415394788179</v>
      </c>
      <c r="G3514">
        <v>4.6106609926774933</v>
      </c>
      <c r="H3514">
        <v>88.4</v>
      </c>
      <c r="I3514">
        <v>26.040018176846079</v>
      </c>
      <c r="J3514">
        <v>24.97405690216959</v>
      </c>
      <c r="K3514">
        <v>720.03721549386603</v>
      </c>
      <c r="L3514">
        <v>0</v>
      </c>
      <c r="M3514" t="s">
        <v>69</v>
      </c>
    </row>
    <row r="3515" spans="1:13" x14ac:dyDescent="0.3">
      <c r="A3515" t="s">
        <v>20</v>
      </c>
      <c r="B3515" t="s">
        <v>49</v>
      </c>
      <c r="C3515">
        <v>34.95888602705304</v>
      </c>
      <c r="D3515">
        <v>1.0061130573504291</v>
      </c>
      <c r="E3515">
        <v>1.9939351484589061</v>
      </c>
      <c r="F3515">
        <v>5.8470311928294798</v>
      </c>
      <c r="G3515">
        <v>6.2346157141761971</v>
      </c>
      <c r="H3515">
        <v>15.778016371686039</v>
      </c>
      <c r="I3515">
        <v>32.720178061567402</v>
      </c>
      <c r="J3515">
        <v>25.210789904907902</v>
      </c>
      <c r="K3515">
        <v>1120.279917756113</v>
      </c>
      <c r="L3515">
        <v>0</v>
      </c>
      <c r="M3515" t="s">
        <v>69</v>
      </c>
    </row>
    <row r="3516" spans="1:13" x14ac:dyDescent="0.3">
      <c r="A3516" t="s">
        <v>19</v>
      </c>
      <c r="B3516" t="s">
        <v>48</v>
      </c>
      <c r="C3516">
        <v>62.013286636636821</v>
      </c>
      <c r="D3516">
        <v>3.013885033763771</v>
      </c>
      <c r="E3516">
        <v>4.1330526197099164</v>
      </c>
      <c r="F3516">
        <v>8.9538642572847849</v>
      </c>
      <c r="G3516">
        <v>6.2214795889633496</v>
      </c>
      <c r="H3516">
        <v>18.278411076557681</v>
      </c>
      <c r="I3516">
        <v>33.997624623780837</v>
      </c>
      <c r="J3516">
        <v>26.015769569513321</v>
      </c>
      <c r="K3516">
        <v>1155.0419702217091</v>
      </c>
      <c r="L3516">
        <v>0</v>
      </c>
      <c r="M3516" t="s">
        <v>69</v>
      </c>
    </row>
    <row r="3517" spans="1:13" x14ac:dyDescent="0.3">
      <c r="A3517" t="s">
        <v>19</v>
      </c>
      <c r="B3517" t="s">
        <v>48</v>
      </c>
      <c r="C3517">
        <v>42.609576285956173</v>
      </c>
      <c r="D3517">
        <v>1.489366457439198</v>
      </c>
      <c r="E3517">
        <v>1.882480526736406</v>
      </c>
      <c r="F3517">
        <v>5.3247986423904274</v>
      </c>
      <c r="G3517">
        <v>6.3408637734063884</v>
      </c>
      <c r="H3517">
        <v>17.069899730407091</v>
      </c>
      <c r="I3517">
        <v>32.027809251385037</v>
      </c>
      <c r="J3517">
        <v>26.336545685379221</v>
      </c>
      <c r="K3517">
        <v>1157.871595543736</v>
      </c>
      <c r="L3517">
        <v>0</v>
      </c>
      <c r="M3517" t="s">
        <v>69</v>
      </c>
    </row>
    <row r="3518" spans="1:13" x14ac:dyDescent="0.3">
      <c r="A3518" t="s">
        <v>19</v>
      </c>
      <c r="B3518" t="s">
        <v>48</v>
      </c>
      <c r="C3518">
        <v>44.752905174631053</v>
      </c>
      <c r="D3518">
        <v>1.9705103116801981</v>
      </c>
      <c r="E3518">
        <v>3.209759163656797</v>
      </c>
      <c r="F3518">
        <v>5.8913482072659296</v>
      </c>
      <c r="G3518">
        <v>5.4880873389909812</v>
      </c>
      <c r="H3518">
        <v>18.922321370123051</v>
      </c>
      <c r="I3518">
        <v>32.265734601453048</v>
      </c>
      <c r="J3518">
        <v>26.020654832663912</v>
      </c>
      <c r="K3518">
        <v>1173.19755993128</v>
      </c>
      <c r="L3518">
        <v>0</v>
      </c>
      <c r="M3518" t="s">
        <v>69</v>
      </c>
    </row>
    <row r="3519" spans="1:13" x14ac:dyDescent="0.3">
      <c r="A3519" t="s">
        <v>19</v>
      </c>
      <c r="B3519" t="s">
        <v>48</v>
      </c>
      <c r="C3519">
        <v>39.84867845790221</v>
      </c>
      <c r="D3519">
        <v>1.9638835291083201</v>
      </c>
      <c r="E3519">
        <v>2.024644806570751</v>
      </c>
      <c r="F3519">
        <v>6.1379517386427462</v>
      </c>
      <c r="G3519">
        <v>6.2013895019291878</v>
      </c>
      <c r="H3519">
        <v>17.272872221083119</v>
      </c>
      <c r="I3519">
        <v>32.673823348340242</v>
      </c>
      <c r="J3519">
        <v>25.978177626075102</v>
      </c>
      <c r="K3519">
        <v>1153.114780696272</v>
      </c>
      <c r="L3519">
        <v>0</v>
      </c>
      <c r="M3519" t="s">
        <v>69</v>
      </c>
    </row>
    <row r="3520" spans="1:13" x14ac:dyDescent="0.3">
      <c r="A3520" t="s">
        <v>24</v>
      </c>
      <c r="B3520" t="s">
        <v>57</v>
      </c>
      <c r="C3520">
        <v>7.6175130639355899</v>
      </c>
      <c r="D3520">
        <v>0</v>
      </c>
      <c r="E3520">
        <v>0</v>
      </c>
      <c r="F3520">
        <v>1.037429645714008</v>
      </c>
      <c r="G3520">
        <v>6.0608251183924082</v>
      </c>
      <c r="H3520">
        <v>41.144908507637041</v>
      </c>
      <c r="I3520">
        <v>23.185797505202029</v>
      </c>
      <c r="J3520">
        <v>23.94448989206856</v>
      </c>
      <c r="K3520">
        <v>734.85765541216767</v>
      </c>
      <c r="L3520">
        <v>0</v>
      </c>
      <c r="M3520" t="s">
        <v>69</v>
      </c>
    </row>
    <row r="3521" spans="1:13" x14ac:dyDescent="0.3">
      <c r="A3521" t="s">
        <v>19</v>
      </c>
      <c r="B3521" t="s">
        <v>45</v>
      </c>
      <c r="C3521">
        <v>19.922898399592611</v>
      </c>
      <c r="D3521">
        <v>1.0235515889972671</v>
      </c>
      <c r="E3521">
        <v>1.0524711737797079</v>
      </c>
      <c r="F3521">
        <v>3.1422844994683281</v>
      </c>
      <c r="G3521">
        <v>6.1688769388387517</v>
      </c>
      <c r="H3521">
        <v>18.53758824011539</v>
      </c>
      <c r="I3521">
        <v>31.472742792781911</v>
      </c>
      <c r="J3521">
        <v>24.224340624141671</v>
      </c>
      <c r="K3521">
        <v>1323.409644992764</v>
      </c>
      <c r="L3521">
        <v>0</v>
      </c>
      <c r="M3521" t="s">
        <v>69</v>
      </c>
    </row>
    <row r="3522" spans="1:13" x14ac:dyDescent="0.3">
      <c r="A3522" t="s">
        <v>24</v>
      </c>
      <c r="B3522" t="s">
        <v>59</v>
      </c>
      <c r="C3522">
        <v>57.10333415741519</v>
      </c>
      <c r="D3522">
        <v>1.867565200429472</v>
      </c>
      <c r="E3522">
        <v>4.0771550087087487</v>
      </c>
      <c r="F3522">
        <v>9.157508329122809</v>
      </c>
      <c r="G3522">
        <v>6.6615860396030486</v>
      </c>
      <c r="H3522">
        <v>59.578408117631909</v>
      </c>
      <c r="I3522">
        <v>26.50137232137628</v>
      </c>
      <c r="J3522">
        <v>23.336934464938</v>
      </c>
      <c r="K3522">
        <v>721.30557844534974</v>
      </c>
      <c r="L3522">
        <v>0</v>
      </c>
      <c r="M3522" t="s">
        <v>69</v>
      </c>
    </row>
    <row r="3523" spans="1:13" x14ac:dyDescent="0.3">
      <c r="A3523" t="s">
        <v>19</v>
      </c>
      <c r="B3523" t="s">
        <v>48</v>
      </c>
      <c r="C3523">
        <v>32.511149946787611</v>
      </c>
      <c r="D3523">
        <v>0.94745927237905025</v>
      </c>
      <c r="E3523">
        <v>2.1565424134922631</v>
      </c>
      <c r="F3523">
        <v>6.4873107369961254</v>
      </c>
      <c r="G3523">
        <v>6.0072942243964134</v>
      </c>
      <c r="H3523">
        <v>24.01411664169887</v>
      </c>
      <c r="I3523">
        <v>32.008202330924448</v>
      </c>
      <c r="J3523">
        <v>25.644848069264832</v>
      </c>
      <c r="K3523">
        <v>1179.8975707584091</v>
      </c>
      <c r="L3523">
        <v>0</v>
      </c>
      <c r="M3523" t="s">
        <v>69</v>
      </c>
    </row>
    <row r="3524" spans="1:13" x14ac:dyDescent="0.3">
      <c r="A3524" t="s">
        <v>19</v>
      </c>
      <c r="B3524" t="s">
        <v>48</v>
      </c>
      <c r="C3524">
        <v>40.224733375552411</v>
      </c>
      <c r="D3524">
        <v>2.0013857716782821</v>
      </c>
      <c r="E3524">
        <v>2.15196089986549</v>
      </c>
      <c r="F3524">
        <v>6.1511229154991902</v>
      </c>
      <c r="G3524">
        <v>6.2075978470852924</v>
      </c>
      <c r="H3524">
        <v>17.680078462452979</v>
      </c>
      <c r="I3524">
        <v>32.723027605048692</v>
      </c>
      <c r="J3524">
        <v>26.020549463924581</v>
      </c>
      <c r="K3524">
        <v>1156.107468755624</v>
      </c>
      <c r="L3524">
        <v>0</v>
      </c>
      <c r="M3524" t="s">
        <v>69</v>
      </c>
    </row>
    <row r="3525" spans="1:13" x14ac:dyDescent="0.3">
      <c r="A3525" t="s">
        <v>24</v>
      </c>
      <c r="B3525" t="s">
        <v>58</v>
      </c>
      <c r="C3525">
        <v>24.340058247493769</v>
      </c>
      <c r="D3525">
        <v>0.7643274348201885</v>
      </c>
      <c r="E3525">
        <v>1.3048924815457481</v>
      </c>
      <c r="F3525">
        <v>3.3269128127961589</v>
      </c>
      <c r="G3525">
        <v>6.4020093262317896</v>
      </c>
      <c r="H3525">
        <v>41.554555631976449</v>
      </c>
      <c r="I3525">
        <v>24.24299120904346</v>
      </c>
      <c r="J3525">
        <v>23.569026691204961</v>
      </c>
      <c r="K3525">
        <v>734.97824749464758</v>
      </c>
      <c r="L3525">
        <v>0</v>
      </c>
      <c r="M3525" t="s">
        <v>69</v>
      </c>
    </row>
    <row r="3526" spans="1:13" x14ac:dyDescent="0.3">
      <c r="A3526" t="s">
        <v>19</v>
      </c>
      <c r="B3526" t="s">
        <v>48</v>
      </c>
      <c r="C3526">
        <v>39.575997784844247</v>
      </c>
      <c r="D3526">
        <v>0.9784487934862911</v>
      </c>
      <c r="E3526">
        <v>2.168183767540059</v>
      </c>
      <c r="F3526">
        <v>6.7588476472433818</v>
      </c>
      <c r="G3526">
        <v>6.0712923782768264</v>
      </c>
      <c r="H3526">
        <v>17.745207635724849</v>
      </c>
      <c r="I3526">
        <v>32.337511532820827</v>
      </c>
      <c r="J3526">
        <v>26.319149314300891</v>
      </c>
      <c r="K3526">
        <v>1160.2539246342139</v>
      </c>
      <c r="L3526">
        <v>0</v>
      </c>
      <c r="M3526" t="s">
        <v>69</v>
      </c>
    </row>
    <row r="3527" spans="1:13" x14ac:dyDescent="0.3">
      <c r="A3527" t="s">
        <v>19</v>
      </c>
      <c r="B3527" t="s">
        <v>48</v>
      </c>
      <c r="C3527">
        <v>53.293740615657278</v>
      </c>
      <c r="D3527">
        <v>2.3176079238654861</v>
      </c>
      <c r="E3527">
        <v>3.554624016212486</v>
      </c>
      <c r="F3527">
        <v>8.0053821359696453</v>
      </c>
      <c r="G3527">
        <v>6.3222497314293351</v>
      </c>
      <c r="H3527">
        <v>19.27612329294335</v>
      </c>
      <c r="I3527">
        <v>32.74947359888575</v>
      </c>
      <c r="J3527">
        <v>26.14649206897947</v>
      </c>
      <c r="K3527">
        <v>1168.724326225301</v>
      </c>
      <c r="L3527">
        <v>0</v>
      </c>
      <c r="M3527" t="s">
        <v>69</v>
      </c>
    </row>
    <row r="3528" spans="1:13" x14ac:dyDescent="0.3">
      <c r="A3528" t="s">
        <v>19</v>
      </c>
      <c r="B3528" t="s">
        <v>44</v>
      </c>
      <c r="C3528">
        <v>20.08727950962562</v>
      </c>
      <c r="D3528">
        <v>0.94693409540532381</v>
      </c>
      <c r="E3528">
        <v>0.94318292586140462</v>
      </c>
      <c r="F3528">
        <v>2.4773231012527628</v>
      </c>
      <c r="G3528">
        <v>6.161723628810936</v>
      </c>
      <c r="H3528">
        <v>16.541583886126389</v>
      </c>
      <c r="I3528">
        <v>25.89961211340583</v>
      </c>
      <c r="J3528">
        <v>24.508229778090371</v>
      </c>
      <c r="K3528">
        <v>1303.235716233861</v>
      </c>
      <c r="L3528">
        <v>0</v>
      </c>
      <c r="M3528" t="s">
        <v>69</v>
      </c>
    </row>
    <row r="3529" spans="1:13" x14ac:dyDescent="0.3">
      <c r="A3529" t="s">
        <v>25</v>
      </c>
      <c r="B3529" t="s">
        <v>62</v>
      </c>
      <c r="C3529">
        <v>23.885662953314959</v>
      </c>
      <c r="D3529">
        <v>1.2283962724797399</v>
      </c>
      <c r="E3529">
        <v>0.89323917794807084</v>
      </c>
      <c r="F3529">
        <v>4.4001480549491117</v>
      </c>
      <c r="G3529">
        <v>5.5074281506183027</v>
      </c>
      <c r="H3529">
        <v>47.969112831813177</v>
      </c>
      <c r="I3529">
        <v>19.972807043339099</v>
      </c>
      <c r="J3529">
        <v>23.53615341228311</v>
      </c>
      <c r="K3529">
        <v>1056.7468848487481</v>
      </c>
      <c r="L3529">
        <v>0</v>
      </c>
      <c r="M3529" t="s">
        <v>69</v>
      </c>
    </row>
    <row r="3530" spans="1:13" x14ac:dyDescent="0.3">
      <c r="A3530" t="s">
        <v>21</v>
      </c>
      <c r="B3530" t="s">
        <v>52</v>
      </c>
      <c r="C3530">
        <v>136.55670125956351</v>
      </c>
      <c r="D3530">
        <v>5.918292754977247</v>
      </c>
      <c r="E3530">
        <v>10.295193890970189</v>
      </c>
      <c r="F3530">
        <v>21.47698566146201</v>
      </c>
      <c r="G3530">
        <v>5.6664335134452406</v>
      </c>
      <c r="H3530">
        <v>55.988187167248157</v>
      </c>
      <c r="I3530">
        <v>27.926844990009968</v>
      </c>
      <c r="J3530">
        <v>24.405099258523361</v>
      </c>
      <c r="K3530">
        <v>747.46958799500237</v>
      </c>
      <c r="L3530">
        <v>0</v>
      </c>
      <c r="M3530" t="s">
        <v>69</v>
      </c>
    </row>
    <row r="3531" spans="1:13" x14ac:dyDescent="0.3">
      <c r="A3531" t="s">
        <v>25</v>
      </c>
      <c r="B3531" t="s">
        <v>62</v>
      </c>
      <c r="C3531">
        <v>259.79321156678247</v>
      </c>
      <c r="D3531">
        <v>19.202654133131819</v>
      </c>
      <c r="E3531">
        <v>25.583985414031972</v>
      </c>
      <c r="F3531">
        <v>57.835929385670099</v>
      </c>
      <c r="G3531">
        <v>4.4839113343613954</v>
      </c>
      <c r="H3531">
        <v>73.36332977437246</v>
      </c>
      <c r="I3531">
        <v>29.00376817733228</v>
      </c>
      <c r="J3531">
        <v>23.534144999615631</v>
      </c>
      <c r="K3531">
        <v>717.9437529237407</v>
      </c>
      <c r="L3531">
        <v>0</v>
      </c>
      <c r="M3531" t="s">
        <v>69</v>
      </c>
    </row>
    <row r="3532" spans="1:13" x14ac:dyDescent="0.3">
      <c r="A3532" t="s">
        <v>19</v>
      </c>
      <c r="B3532" t="s">
        <v>44</v>
      </c>
      <c r="C3532">
        <v>19.105783927563461</v>
      </c>
      <c r="D3532">
        <v>0</v>
      </c>
      <c r="E3532">
        <v>0.99927748609843903</v>
      </c>
      <c r="F3532">
        <v>3.0048098592992338</v>
      </c>
      <c r="G3532">
        <v>5.1939851755593587</v>
      </c>
      <c r="H3532">
        <v>14.586061736139539</v>
      </c>
      <c r="I3532">
        <v>31.405281247867649</v>
      </c>
      <c r="J3532">
        <v>24.014396124018319</v>
      </c>
      <c r="K3532">
        <v>1320.373079645401</v>
      </c>
      <c r="L3532">
        <v>0</v>
      </c>
      <c r="M3532" t="s">
        <v>69</v>
      </c>
    </row>
    <row r="3533" spans="1:13" x14ac:dyDescent="0.3">
      <c r="A3533" t="s">
        <v>20</v>
      </c>
      <c r="B3533" t="s">
        <v>49</v>
      </c>
      <c r="C3533">
        <v>42.819331592245923</v>
      </c>
      <c r="D3533">
        <v>1.4351500217957911</v>
      </c>
      <c r="E3533">
        <v>2.917047312413878</v>
      </c>
      <c r="F3533">
        <v>6.4881496131887531</v>
      </c>
      <c r="G3533">
        <v>6.1031128866917674</v>
      </c>
      <c r="H3533">
        <v>19.608776952997271</v>
      </c>
      <c r="I3533">
        <v>32.246881034828512</v>
      </c>
      <c r="J3533">
        <v>26.536857457269129</v>
      </c>
      <c r="K3533">
        <v>1150.837457617803</v>
      </c>
      <c r="L3533">
        <v>0</v>
      </c>
      <c r="M3533" t="s">
        <v>69</v>
      </c>
    </row>
    <row r="3534" spans="1:13" x14ac:dyDescent="0.3">
      <c r="A3534" t="s">
        <v>25</v>
      </c>
      <c r="B3534" t="s">
        <v>62</v>
      </c>
      <c r="C3534">
        <v>32.417157548092071</v>
      </c>
      <c r="D3534">
        <v>1.10735995154795</v>
      </c>
      <c r="E3534">
        <v>1.9966352177306841</v>
      </c>
      <c r="F3534">
        <v>4.6163863186885914</v>
      </c>
      <c r="G3534">
        <v>6.1846432885458604</v>
      </c>
      <c r="H3534">
        <v>38.523936801515319</v>
      </c>
      <c r="I3534">
        <v>20.444333931256701</v>
      </c>
      <c r="J3534">
        <v>24.19763055243784</v>
      </c>
      <c r="K3534">
        <v>1070.303848888472</v>
      </c>
      <c r="L3534">
        <v>0</v>
      </c>
      <c r="M3534" t="s">
        <v>69</v>
      </c>
    </row>
    <row r="3535" spans="1:13" x14ac:dyDescent="0.3">
      <c r="A3535" t="s">
        <v>19</v>
      </c>
      <c r="B3535" t="s">
        <v>48</v>
      </c>
      <c r="C3535">
        <v>58.95901615964555</v>
      </c>
      <c r="D3535">
        <v>3.055445529824119</v>
      </c>
      <c r="E3535">
        <v>3.6816136428090802</v>
      </c>
      <c r="F3535">
        <v>11.443750184946911</v>
      </c>
      <c r="G3535">
        <v>6.1778149006353011</v>
      </c>
      <c r="H3535">
        <v>17.71222940553444</v>
      </c>
      <c r="I3535">
        <v>33.304430119708307</v>
      </c>
      <c r="J3535">
        <v>27.415260361437799</v>
      </c>
      <c r="K3535">
        <v>1159.822508566715</v>
      </c>
      <c r="L3535">
        <v>0</v>
      </c>
      <c r="M3535" t="s">
        <v>69</v>
      </c>
    </row>
    <row r="3536" spans="1:13" x14ac:dyDescent="0.3">
      <c r="A3536" t="s">
        <v>25</v>
      </c>
      <c r="B3536" t="s">
        <v>62</v>
      </c>
      <c r="C3536">
        <v>38.974553925262221</v>
      </c>
      <c r="D3536">
        <v>1.030642720094946</v>
      </c>
      <c r="E3536">
        <v>1.8893356071852989</v>
      </c>
      <c r="F3536">
        <v>6.6198230855672282</v>
      </c>
      <c r="G3536">
        <v>6.2582257557154204</v>
      </c>
      <c r="H3536">
        <v>17.093776829747888</v>
      </c>
      <c r="I3536">
        <v>32.058437560639348</v>
      </c>
      <c r="J3536">
        <v>25.042591364040511</v>
      </c>
      <c r="K3536">
        <v>1196.775842600458</v>
      </c>
      <c r="L3536">
        <v>0</v>
      </c>
      <c r="M3536" t="s">
        <v>69</v>
      </c>
    </row>
    <row r="3537" spans="1:13" x14ac:dyDescent="0.3">
      <c r="A3537" t="s">
        <v>25</v>
      </c>
      <c r="B3537" t="s">
        <v>62</v>
      </c>
      <c r="C3537">
        <v>280.84135861633371</v>
      </c>
      <c r="D3537">
        <v>18.87937968097944</v>
      </c>
      <c r="E3537">
        <v>25.545202016116338</v>
      </c>
      <c r="F3537">
        <v>62.749010140680348</v>
      </c>
      <c r="G3537">
        <v>4.3847821448899156</v>
      </c>
      <c r="H3537">
        <v>75.378788744349805</v>
      </c>
      <c r="I3537">
        <v>28.887726655624949</v>
      </c>
      <c r="J3537">
        <v>24.635594205342841</v>
      </c>
      <c r="K3537">
        <v>700.28786995646908</v>
      </c>
      <c r="L3537">
        <v>0</v>
      </c>
      <c r="M3537" t="s">
        <v>69</v>
      </c>
    </row>
    <row r="3538" spans="1:13" x14ac:dyDescent="0.3">
      <c r="A3538" t="s">
        <v>19</v>
      </c>
      <c r="B3538" t="s">
        <v>48</v>
      </c>
      <c r="C3538">
        <v>25.39162461790697</v>
      </c>
      <c r="D3538">
        <v>1.033943982624876</v>
      </c>
      <c r="E3538">
        <v>0.98122816798099066</v>
      </c>
      <c r="F3538">
        <v>3.3483238579508039</v>
      </c>
      <c r="G3538">
        <v>6.0206579501915618</v>
      </c>
      <c r="H3538">
        <v>17.301462764932872</v>
      </c>
      <c r="I3538">
        <v>31.528833598122009</v>
      </c>
      <c r="J3538">
        <v>26.509908715472161</v>
      </c>
      <c r="K3538">
        <v>1168.778943370666</v>
      </c>
      <c r="L3538">
        <v>0</v>
      </c>
      <c r="M3538" t="s">
        <v>69</v>
      </c>
    </row>
    <row r="3539" spans="1:13" x14ac:dyDescent="0.3">
      <c r="A3539" t="s">
        <v>24</v>
      </c>
      <c r="B3539" t="s">
        <v>57</v>
      </c>
      <c r="C3539">
        <v>7.8730265067248411</v>
      </c>
      <c r="D3539">
        <v>4.9399809344095047E-3</v>
      </c>
      <c r="E3539">
        <v>9.8799618688190094E-3</v>
      </c>
      <c r="F3539">
        <v>1.096374415727102</v>
      </c>
      <c r="G3539">
        <v>5.9716811467116537</v>
      </c>
      <c r="H3539">
        <v>37.360764879809317</v>
      </c>
      <c r="I3539">
        <v>23.596436783502948</v>
      </c>
      <c r="J3539">
        <v>21.431313858365151</v>
      </c>
      <c r="K3539">
        <v>726.47549725710314</v>
      </c>
      <c r="L3539">
        <v>0</v>
      </c>
      <c r="M3539" t="s">
        <v>69</v>
      </c>
    </row>
    <row r="3540" spans="1:13" x14ac:dyDescent="0.3">
      <c r="A3540" t="s">
        <v>25</v>
      </c>
      <c r="B3540" t="s">
        <v>62</v>
      </c>
      <c r="C3540">
        <v>576.40329818214695</v>
      </c>
      <c r="D3540">
        <v>26.195172889754911</v>
      </c>
      <c r="E3540">
        <v>44.074964354127133</v>
      </c>
      <c r="F3540">
        <v>84.104800698594516</v>
      </c>
      <c r="G3540">
        <v>4.4989536549943221</v>
      </c>
      <c r="H3540">
        <v>85.170350986240521</v>
      </c>
      <c r="I3540">
        <v>27.56070393706225</v>
      </c>
      <c r="J3540">
        <v>24.592652318050721</v>
      </c>
      <c r="K3540">
        <v>724.01354365043539</v>
      </c>
      <c r="L3540">
        <v>0</v>
      </c>
      <c r="M3540" t="s">
        <v>69</v>
      </c>
    </row>
    <row r="3541" spans="1:13" x14ac:dyDescent="0.3">
      <c r="A3541" t="s">
        <v>24</v>
      </c>
      <c r="B3541" t="s">
        <v>58</v>
      </c>
      <c r="C3541">
        <v>12.78280149955876</v>
      </c>
      <c r="D3541">
        <v>0</v>
      </c>
      <c r="E3541">
        <v>0</v>
      </c>
      <c r="F3541">
        <v>2.1291404741576989</v>
      </c>
      <c r="G3541">
        <v>6.5780661892621977</v>
      </c>
      <c r="H3541">
        <v>44.849066109674887</v>
      </c>
      <c r="I3541">
        <v>24.642035085716859</v>
      </c>
      <c r="J3541">
        <v>23.1880676907968</v>
      </c>
      <c r="K3541">
        <v>769.99393763324235</v>
      </c>
      <c r="L3541">
        <v>0</v>
      </c>
      <c r="M3541" t="s">
        <v>69</v>
      </c>
    </row>
    <row r="3542" spans="1:13" x14ac:dyDescent="0.3">
      <c r="A3542" t="s">
        <v>21</v>
      </c>
      <c r="B3542" t="s">
        <v>52</v>
      </c>
      <c r="C3542">
        <v>128.98097149983491</v>
      </c>
      <c r="D3542">
        <v>6.1354317868638963</v>
      </c>
      <c r="E3542">
        <v>9.4506207103080886</v>
      </c>
      <c r="F3542">
        <v>20.64414868862119</v>
      </c>
      <c r="G3542">
        <v>5.4909028415539316</v>
      </c>
      <c r="H3542">
        <v>58.412075873245762</v>
      </c>
      <c r="I3542">
        <v>27.59496483925113</v>
      </c>
      <c r="J3542">
        <v>24.6501558064104</v>
      </c>
      <c r="K3542">
        <v>751.97486546848063</v>
      </c>
      <c r="L3542">
        <v>0</v>
      </c>
      <c r="M3542" t="s">
        <v>69</v>
      </c>
    </row>
    <row r="3543" spans="1:13" x14ac:dyDescent="0.3">
      <c r="A3543" t="s">
        <v>25</v>
      </c>
      <c r="B3543" t="s">
        <v>62</v>
      </c>
      <c r="C3543">
        <v>278.27769475757219</v>
      </c>
      <c r="D3543">
        <v>18.75969585159736</v>
      </c>
      <c r="E3543">
        <v>24.859903920699079</v>
      </c>
      <c r="F3543">
        <v>63.684170494200259</v>
      </c>
      <c r="G3543">
        <v>4.3662888477330224</v>
      </c>
      <c r="H3543">
        <v>74.473527346299704</v>
      </c>
      <c r="I3543">
        <v>29.05803486100945</v>
      </c>
      <c r="J3543">
        <v>23.868373917104201</v>
      </c>
      <c r="K3543">
        <v>707.77556944827893</v>
      </c>
      <c r="L3543">
        <v>0</v>
      </c>
      <c r="M3543" t="s">
        <v>69</v>
      </c>
    </row>
    <row r="3544" spans="1:13" x14ac:dyDescent="0.3">
      <c r="A3544" t="s">
        <v>24</v>
      </c>
      <c r="B3544" t="s">
        <v>58</v>
      </c>
      <c r="C3544">
        <v>12.677389230283771</v>
      </c>
      <c r="D3544">
        <v>0</v>
      </c>
      <c r="E3544">
        <v>0</v>
      </c>
      <c r="F3544">
        <v>1.95011649565342</v>
      </c>
      <c r="G3544">
        <v>6.5234146686546266</v>
      </c>
      <c r="H3544">
        <v>44.730279194138397</v>
      </c>
      <c r="I3544">
        <v>24.391704294316671</v>
      </c>
      <c r="J3544">
        <v>23.002698091271839</v>
      </c>
      <c r="K3544">
        <v>770.38777654282671</v>
      </c>
      <c r="L3544">
        <v>0</v>
      </c>
      <c r="M3544" t="s">
        <v>69</v>
      </c>
    </row>
    <row r="3545" spans="1:13" x14ac:dyDescent="0.3">
      <c r="A3545" t="s">
        <v>20</v>
      </c>
      <c r="B3545" t="s">
        <v>49</v>
      </c>
      <c r="C3545">
        <v>43.206371523687856</v>
      </c>
      <c r="D3545">
        <v>2.037361372046548</v>
      </c>
      <c r="E3545">
        <v>2.9300424228000419</v>
      </c>
      <c r="F3545">
        <v>6.2757760358280974</v>
      </c>
      <c r="G3545">
        <v>5.5438481166149867</v>
      </c>
      <c r="H3545">
        <v>19.1438003478318</v>
      </c>
      <c r="I3545">
        <v>32.674959941732993</v>
      </c>
      <c r="J3545">
        <v>25.70690036892481</v>
      </c>
      <c r="K3545">
        <v>1154.0055501136151</v>
      </c>
      <c r="L3545">
        <v>0</v>
      </c>
      <c r="M3545" t="s">
        <v>69</v>
      </c>
    </row>
    <row r="3546" spans="1:13" x14ac:dyDescent="0.3">
      <c r="A3546" t="s">
        <v>21</v>
      </c>
      <c r="B3546" t="s">
        <v>52</v>
      </c>
      <c r="C3546">
        <v>129.33480123427691</v>
      </c>
      <c r="D3546">
        <v>6.0698206810469424</v>
      </c>
      <c r="E3546">
        <v>8.1494092965219256</v>
      </c>
      <c r="F3546">
        <v>20.926213952961628</v>
      </c>
      <c r="G3546">
        <v>5.4970449987042356</v>
      </c>
      <c r="H3546">
        <v>57.659077944079137</v>
      </c>
      <c r="I3546">
        <v>28.339835872777819</v>
      </c>
      <c r="J3546">
        <v>25.115095817576972</v>
      </c>
      <c r="K3546">
        <v>741.83341973242284</v>
      </c>
      <c r="L3546">
        <v>0</v>
      </c>
      <c r="M3546" t="s">
        <v>69</v>
      </c>
    </row>
    <row r="3547" spans="1:13" x14ac:dyDescent="0.3">
      <c r="A3547" t="s">
        <v>19</v>
      </c>
      <c r="B3547" t="s">
        <v>48</v>
      </c>
      <c r="C3547">
        <v>62.094893438152617</v>
      </c>
      <c r="D3547">
        <v>2.7974219397987912</v>
      </c>
      <c r="E3547">
        <v>3.8927008766658728</v>
      </c>
      <c r="F3547">
        <v>9.1536879879572677</v>
      </c>
      <c r="G3547">
        <v>6.3310272061722301</v>
      </c>
      <c r="H3547">
        <v>20.10031656529355</v>
      </c>
      <c r="I3547">
        <v>33.613021468389221</v>
      </c>
      <c r="J3547">
        <v>26.27898114539629</v>
      </c>
      <c r="K3547">
        <v>1179.992341318723</v>
      </c>
      <c r="L3547">
        <v>0</v>
      </c>
      <c r="M3547" t="s">
        <v>69</v>
      </c>
    </row>
    <row r="3548" spans="1:13" x14ac:dyDescent="0.3">
      <c r="A3548" t="s">
        <v>19</v>
      </c>
      <c r="B3548" t="s">
        <v>48</v>
      </c>
      <c r="C3548">
        <v>29.173331542033651</v>
      </c>
      <c r="D3548">
        <v>0.9014337454063277</v>
      </c>
      <c r="E3548">
        <v>2.176503655227775</v>
      </c>
      <c r="F3548">
        <v>6.7310884890576714</v>
      </c>
      <c r="G3548">
        <v>5.9995564710213252</v>
      </c>
      <c r="H3548">
        <v>22.86194887295396</v>
      </c>
      <c r="I3548">
        <v>34.414361431192489</v>
      </c>
      <c r="J3548">
        <v>24.90964258422833</v>
      </c>
      <c r="K3548">
        <v>1187.5491376260661</v>
      </c>
      <c r="L3548">
        <v>0</v>
      </c>
      <c r="M3548" t="s">
        <v>69</v>
      </c>
    </row>
    <row r="3549" spans="1:13" x14ac:dyDescent="0.3">
      <c r="A3549" t="s">
        <v>19</v>
      </c>
      <c r="B3549" t="s">
        <v>48</v>
      </c>
      <c r="C3549">
        <v>40.752914633531127</v>
      </c>
      <c r="D3549">
        <v>1.2502119545949411</v>
      </c>
      <c r="E3549">
        <v>2.389471753255699</v>
      </c>
      <c r="F3549">
        <v>6.823001382539319</v>
      </c>
      <c r="G3549">
        <v>6.0789294638949087</v>
      </c>
      <c r="H3549">
        <v>18.345049813632201</v>
      </c>
      <c r="I3549">
        <v>32.24772337488497</v>
      </c>
      <c r="J3549">
        <v>26.234246055446089</v>
      </c>
      <c r="K3549">
        <v>1162.846672049048</v>
      </c>
      <c r="L3549">
        <v>0</v>
      </c>
      <c r="M3549" t="s">
        <v>69</v>
      </c>
    </row>
    <row r="3550" spans="1:13" x14ac:dyDescent="0.3">
      <c r="A3550" t="s">
        <v>25</v>
      </c>
      <c r="B3550" t="s">
        <v>62</v>
      </c>
      <c r="C3550">
        <v>266.02777554449398</v>
      </c>
      <c r="D3550">
        <v>18.834901548542359</v>
      </c>
      <c r="E3550">
        <v>25.853158238326341</v>
      </c>
      <c r="F3550">
        <v>58.110548453539103</v>
      </c>
      <c r="G3550">
        <v>4.4300985549889047</v>
      </c>
      <c r="H3550">
        <v>72.258708413063999</v>
      </c>
      <c r="I3550">
        <v>29.074997763779219</v>
      </c>
      <c r="J3550">
        <v>24.8313980293672</v>
      </c>
      <c r="K3550">
        <v>697.70304818384966</v>
      </c>
      <c r="L3550">
        <v>0</v>
      </c>
      <c r="M3550" t="s">
        <v>69</v>
      </c>
    </row>
    <row r="3551" spans="1:13" x14ac:dyDescent="0.3">
      <c r="A3551" t="s">
        <v>19</v>
      </c>
      <c r="B3551" t="s">
        <v>48</v>
      </c>
      <c r="C3551">
        <v>53.090403080908743</v>
      </c>
      <c r="D3551">
        <v>2.7453735657560312</v>
      </c>
      <c r="E3551">
        <v>3.5387642838624132</v>
      </c>
      <c r="F3551">
        <v>8.7063874513602642</v>
      </c>
      <c r="G3551">
        <v>6.2386832641867187</v>
      </c>
      <c r="H3551">
        <v>17.133849414321482</v>
      </c>
      <c r="I3551">
        <v>31.70570785682958</v>
      </c>
      <c r="J3551">
        <v>25.466736151125719</v>
      </c>
      <c r="K3551">
        <v>1132.4864653354739</v>
      </c>
      <c r="L3551">
        <v>0</v>
      </c>
      <c r="M3551" t="s">
        <v>69</v>
      </c>
    </row>
    <row r="3552" spans="1:13" x14ac:dyDescent="0.3">
      <c r="A3552" t="s">
        <v>24</v>
      </c>
      <c r="B3552" t="s">
        <v>58</v>
      </c>
      <c r="C3552">
        <v>34.041042298283173</v>
      </c>
      <c r="D3552">
        <v>0.91951909163150614</v>
      </c>
      <c r="E3552">
        <v>1.999922698626037</v>
      </c>
      <c r="F3552">
        <v>4.9685437016378469</v>
      </c>
      <c r="G3552">
        <v>6.9452787405709673</v>
      </c>
      <c r="H3552">
        <v>58.672626000767693</v>
      </c>
      <c r="I3552">
        <v>24.61256827299583</v>
      </c>
      <c r="J3552">
        <v>23.809244862177959</v>
      </c>
      <c r="K3552">
        <v>728.84581872892795</v>
      </c>
      <c r="L3552">
        <v>0</v>
      </c>
      <c r="M3552" t="s">
        <v>69</v>
      </c>
    </row>
    <row r="3553" spans="1:13" x14ac:dyDescent="0.3">
      <c r="A3553" t="s">
        <v>21</v>
      </c>
      <c r="B3553" t="s">
        <v>52</v>
      </c>
      <c r="C3553">
        <v>28.78463971984937</v>
      </c>
      <c r="D3553">
        <v>1.0846703113777241</v>
      </c>
      <c r="E3553">
        <v>2.0857961181737532</v>
      </c>
      <c r="F3553">
        <v>3.828302859858892</v>
      </c>
      <c r="G3553">
        <v>6.200481891880024</v>
      </c>
      <c r="H3553">
        <v>25.266324728542621</v>
      </c>
      <c r="I3553">
        <v>22.536025922174961</v>
      </c>
      <c r="J3553">
        <v>25.227033845916552</v>
      </c>
      <c r="K3553">
        <v>1217.012007168159</v>
      </c>
      <c r="L3553">
        <v>0</v>
      </c>
      <c r="M3553" t="s">
        <v>69</v>
      </c>
    </row>
    <row r="3554" spans="1:13" x14ac:dyDescent="0.3">
      <c r="A3554" t="s">
        <v>25</v>
      </c>
      <c r="B3554" t="s">
        <v>62</v>
      </c>
      <c r="C3554">
        <v>25.417502756465151</v>
      </c>
      <c r="D3554">
        <v>1.1749602785653119</v>
      </c>
      <c r="E3554">
        <v>1.0851373106640549</v>
      </c>
      <c r="F3554">
        <v>3.1888379818312078</v>
      </c>
      <c r="G3554">
        <v>6.3166954773744646</v>
      </c>
      <c r="H3554">
        <v>68.813954680856213</v>
      </c>
      <c r="I3554">
        <v>20.227994746534119</v>
      </c>
      <c r="J3554">
        <v>22.94038674999879</v>
      </c>
      <c r="K3554">
        <v>1236.147554941648</v>
      </c>
      <c r="L3554">
        <v>0</v>
      </c>
      <c r="M3554" t="s">
        <v>69</v>
      </c>
    </row>
    <row r="3555" spans="1:13" x14ac:dyDescent="0.3">
      <c r="A3555" t="s">
        <v>25</v>
      </c>
      <c r="B3555" t="s">
        <v>62</v>
      </c>
      <c r="C3555">
        <v>579.7666109653801</v>
      </c>
      <c r="D3555">
        <v>27.125259061149571</v>
      </c>
      <c r="E3555">
        <v>39.456752107409201</v>
      </c>
      <c r="F3555">
        <v>85.992849035111618</v>
      </c>
      <c r="G3555">
        <v>4.4812087111342374</v>
      </c>
      <c r="H3555">
        <v>87.202549023504872</v>
      </c>
      <c r="I3555">
        <v>26.827174021113692</v>
      </c>
      <c r="J3555">
        <v>23.6818680315384</v>
      </c>
      <c r="K3555">
        <v>722.16179756805639</v>
      </c>
      <c r="L3555">
        <v>0</v>
      </c>
      <c r="M3555" t="s">
        <v>69</v>
      </c>
    </row>
    <row r="3556" spans="1:13" x14ac:dyDescent="0.3">
      <c r="A3556" t="s">
        <v>19</v>
      </c>
      <c r="B3556" t="s">
        <v>48</v>
      </c>
      <c r="C3556">
        <v>42.448587694288342</v>
      </c>
      <c r="D3556">
        <v>1.8046777790490049</v>
      </c>
      <c r="E3556">
        <v>3.2609391528960732</v>
      </c>
      <c r="F3556">
        <v>7.3621025845202439</v>
      </c>
      <c r="G3556">
        <v>6.1421165623089351</v>
      </c>
      <c r="H3556">
        <v>20.620303978526621</v>
      </c>
      <c r="I3556">
        <v>31.592904092601419</v>
      </c>
      <c r="J3556">
        <v>25.694378671140509</v>
      </c>
      <c r="K3556">
        <v>1187.808992619897</v>
      </c>
      <c r="L3556">
        <v>0</v>
      </c>
      <c r="M3556" t="s">
        <v>69</v>
      </c>
    </row>
    <row r="3557" spans="1:13" x14ac:dyDescent="0.3">
      <c r="A3557" t="s">
        <v>20</v>
      </c>
      <c r="B3557" t="s">
        <v>49</v>
      </c>
      <c r="C3557">
        <v>37.770385514437983</v>
      </c>
      <c r="D3557">
        <v>0.72749257304785697</v>
      </c>
      <c r="E3557">
        <v>1.494354522354967</v>
      </c>
      <c r="F3557">
        <v>5.3819612051502617</v>
      </c>
      <c r="G3557">
        <v>6.0800732350683759</v>
      </c>
      <c r="H3557">
        <v>16.717117371028021</v>
      </c>
      <c r="I3557">
        <v>32.230478687335143</v>
      </c>
      <c r="J3557">
        <v>24.865445173751649</v>
      </c>
      <c r="K3557">
        <v>1161.701490942158</v>
      </c>
      <c r="L3557">
        <v>0</v>
      </c>
      <c r="M3557" t="s">
        <v>69</v>
      </c>
    </row>
    <row r="3558" spans="1:13" x14ac:dyDescent="0.3">
      <c r="A3558" t="s">
        <v>20</v>
      </c>
      <c r="B3558" t="s">
        <v>49</v>
      </c>
      <c r="C3558">
        <v>30.45714739587471</v>
      </c>
      <c r="D3558">
        <v>0.95331015018404575</v>
      </c>
      <c r="E3558">
        <v>1.1313698241707879</v>
      </c>
      <c r="F3558">
        <v>4.3220661825687214</v>
      </c>
      <c r="G3558">
        <v>6.0531285288678696</v>
      </c>
      <c r="H3558">
        <v>16.694054791147369</v>
      </c>
      <c r="I3558">
        <v>31.548968533016382</v>
      </c>
      <c r="J3558">
        <v>25.149740435451751</v>
      </c>
      <c r="K3558">
        <v>1157.703589270337</v>
      </c>
      <c r="L3558">
        <v>0</v>
      </c>
      <c r="M3558" t="s">
        <v>69</v>
      </c>
    </row>
    <row r="3559" spans="1:13" x14ac:dyDescent="0.3">
      <c r="A3559" t="s">
        <v>19</v>
      </c>
      <c r="B3559" t="s">
        <v>48</v>
      </c>
      <c r="C3559">
        <v>37.314390694269569</v>
      </c>
      <c r="D3559">
        <v>1.0873092521597421</v>
      </c>
      <c r="E3559">
        <v>1.7689617258839609</v>
      </c>
      <c r="F3559">
        <v>6.9065188618910316</v>
      </c>
      <c r="G3559">
        <v>6.1266766279279246</v>
      </c>
      <c r="H3559">
        <v>16.476004234615932</v>
      </c>
      <c r="I3559">
        <v>30.76231169340214</v>
      </c>
      <c r="J3559">
        <v>25.970353980818128</v>
      </c>
      <c r="K3559">
        <v>1176.6668431770379</v>
      </c>
      <c r="L3559">
        <v>0</v>
      </c>
      <c r="M3559" t="s">
        <v>69</v>
      </c>
    </row>
    <row r="3560" spans="1:13" x14ac:dyDescent="0.3">
      <c r="A3560" t="s">
        <v>24</v>
      </c>
      <c r="B3560" t="s">
        <v>57</v>
      </c>
      <c r="C3560">
        <v>8.0910393108546117</v>
      </c>
      <c r="D3560">
        <v>0</v>
      </c>
      <c r="E3560">
        <v>0</v>
      </c>
      <c r="F3560">
        <v>1.111372558518527</v>
      </c>
      <c r="G3560">
        <v>6.142534006805529</v>
      </c>
      <c r="H3560">
        <v>36.198960510445048</v>
      </c>
      <c r="I3560">
        <v>23.73451511789278</v>
      </c>
      <c r="J3560">
        <v>24.587002995948868</v>
      </c>
      <c r="K3560">
        <v>733.91645393684166</v>
      </c>
      <c r="L3560">
        <v>0</v>
      </c>
      <c r="M3560" t="s">
        <v>69</v>
      </c>
    </row>
    <row r="3561" spans="1:13" x14ac:dyDescent="0.3">
      <c r="A3561" t="s">
        <v>24</v>
      </c>
      <c r="B3561" t="s">
        <v>58</v>
      </c>
      <c r="C3561">
        <v>28.950249599938129</v>
      </c>
      <c r="D3561">
        <v>0.99566512804973861</v>
      </c>
      <c r="E3561">
        <v>2.0135483807277632</v>
      </c>
      <c r="F3561">
        <v>3.9929380280134978</v>
      </c>
      <c r="G3561">
        <v>6.8976144758557787</v>
      </c>
      <c r="H3561">
        <v>33.437426050981458</v>
      </c>
      <c r="I3561">
        <v>25.25461466729616</v>
      </c>
      <c r="J3561">
        <v>22.943834842513169</v>
      </c>
      <c r="K3561">
        <v>738.64794266903255</v>
      </c>
      <c r="L3561">
        <v>0</v>
      </c>
      <c r="M3561" t="s">
        <v>69</v>
      </c>
    </row>
    <row r="3562" spans="1:13" x14ac:dyDescent="0.3">
      <c r="A3562" t="s">
        <v>24</v>
      </c>
      <c r="B3562" t="s">
        <v>58</v>
      </c>
      <c r="C3562">
        <v>35.395960915512937</v>
      </c>
      <c r="D3562">
        <v>0.8848508879064374</v>
      </c>
      <c r="E3562">
        <v>1.806825125042343</v>
      </c>
      <c r="F3562">
        <v>4.522716552922331</v>
      </c>
      <c r="G3562">
        <v>6.8759578649798208</v>
      </c>
      <c r="H3562">
        <v>57.258980685066668</v>
      </c>
      <c r="I3562">
        <v>24.550669304331642</v>
      </c>
      <c r="J3562">
        <v>23.280829301778532</v>
      </c>
      <c r="K3562">
        <v>725.42100361040366</v>
      </c>
      <c r="L3562">
        <v>0</v>
      </c>
      <c r="M3562" t="s">
        <v>69</v>
      </c>
    </row>
    <row r="3563" spans="1:13" x14ac:dyDescent="0.3">
      <c r="A3563" t="s">
        <v>19</v>
      </c>
      <c r="B3563" t="s">
        <v>48</v>
      </c>
      <c r="C3563">
        <v>36.168505893666982</v>
      </c>
      <c r="D3563">
        <v>0.96137242185100646</v>
      </c>
      <c r="E3563">
        <v>1.7587871080092401</v>
      </c>
      <c r="F3563">
        <v>7.0514809224537371</v>
      </c>
      <c r="G3563">
        <v>6.0657517695170737</v>
      </c>
      <c r="H3563">
        <v>16.309166260277571</v>
      </c>
      <c r="I3563">
        <v>30.701684952518448</v>
      </c>
      <c r="J3563">
        <v>25.937620292767591</v>
      </c>
      <c r="K3563">
        <v>1182.7382600751721</v>
      </c>
      <c r="L3563">
        <v>0</v>
      </c>
      <c r="M3563" t="s">
        <v>69</v>
      </c>
    </row>
    <row r="3564" spans="1:13" x14ac:dyDescent="0.3">
      <c r="A3564" t="s">
        <v>25</v>
      </c>
      <c r="B3564" t="s">
        <v>62</v>
      </c>
      <c r="C3564">
        <v>257.30117404548321</v>
      </c>
      <c r="D3564">
        <v>18.806633915790101</v>
      </c>
      <c r="E3564">
        <v>24.22220532244728</v>
      </c>
      <c r="F3564">
        <v>56.52065422990097</v>
      </c>
      <c r="G3564">
        <v>4.3916728292733263</v>
      </c>
      <c r="H3564">
        <v>69.705868908030567</v>
      </c>
      <c r="I3564">
        <v>29.09413762265504</v>
      </c>
      <c r="J3564">
        <v>24.730982740421179</v>
      </c>
      <c r="K3564">
        <v>704.49609120875641</v>
      </c>
      <c r="L3564">
        <v>0</v>
      </c>
      <c r="M3564" t="s">
        <v>69</v>
      </c>
    </row>
    <row r="3565" spans="1:13" x14ac:dyDescent="0.3">
      <c r="A3565" t="s">
        <v>19</v>
      </c>
      <c r="B3565" t="s">
        <v>48</v>
      </c>
      <c r="C3565">
        <v>40.834166121703319</v>
      </c>
      <c r="D3565">
        <v>1.160950548368058</v>
      </c>
      <c r="E3565">
        <v>2.0057106855891171</v>
      </c>
      <c r="F3565">
        <v>7.2502735120108381</v>
      </c>
      <c r="G3565">
        <v>6.3735522073323274</v>
      </c>
      <c r="H3565">
        <v>18.18839928516207</v>
      </c>
      <c r="I3565">
        <v>30.974306312692779</v>
      </c>
      <c r="J3565">
        <v>27.3983124424329</v>
      </c>
      <c r="K3565">
        <v>1161.680636158781</v>
      </c>
      <c r="L3565">
        <v>0</v>
      </c>
      <c r="M3565" t="s">
        <v>69</v>
      </c>
    </row>
    <row r="3566" spans="1:13" x14ac:dyDescent="0.3">
      <c r="A3566" t="s">
        <v>19</v>
      </c>
      <c r="B3566" t="s">
        <v>48</v>
      </c>
      <c r="C3566">
        <v>63.82290999399158</v>
      </c>
      <c r="D3566">
        <v>3.326198938950192</v>
      </c>
      <c r="E3566">
        <v>3.6946617225472891</v>
      </c>
      <c r="F3566">
        <v>9.5267072686242216</v>
      </c>
      <c r="G3566">
        <v>6.4426829683441484</v>
      </c>
      <c r="H3566">
        <v>19.448198949857861</v>
      </c>
      <c r="I3566">
        <v>32.835197391534322</v>
      </c>
      <c r="J3566">
        <v>25.16872266273613</v>
      </c>
      <c r="K3566">
        <v>1192.95532979219</v>
      </c>
      <c r="L3566">
        <v>0</v>
      </c>
      <c r="M3566" t="s">
        <v>69</v>
      </c>
    </row>
    <row r="3567" spans="1:13" x14ac:dyDescent="0.3">
      <c r="A3567" t="s">
        <v>20</v>
      </c>
      <c r="B3567" t="s">
        <v>49</v>
      </c>
      <c r="C3567">
        <v>41.646513473660413</v>
      </c>
      <c r="D3567">
        <v>2.0436872339842589</v>
      </c>
      <c r="E3567">
        <v>2.737272614446209</v>
      </c>
      <c r="F3567">
        <v>7.7581166418792069</v>
      </c>
      <c r="G3567">
        <v>6.1157961631918267</v>
      </c>
      <c r="H3567">
        <v>20.985225935272581</v>
      </c>
      <c r="I3567">
        <v>32.889196221581606</v>
      </c>
      <c r="J3567">
        <v>26.346644279498229</v>
      </c>
      <c r="K3567">
        <v>1149.7798376182641</v>
      </c>
      <c r="L3567">
        <v>0</v>
      </c>
      <c r="M3567" t="s">
        <v>69</v>
      </c>
    </row>
    <row r="3568" spans="1:13" x14ac:dyDescent="0.3">
      <c r="A3568" t="s">
        <v>19</v>
      </c>
      <c r="B3568" t="s">
        <v>48</v>
      </c>
      <c r="C3568">
        <v>42.79899526200888</v>
      </c>
      <c r="D3568">
        <v>1.6642012882806021</v>
      </c>
      <c r="E3568">
        <v>3.434509929330642</v>
      </c>
      <c r="F3568">
        <v>7.9412867638982556</v>
      </c>
      <c r="G3568">
        <v>6.1862071245735324</v>
      </c>
      <c r="H3568">
        <v>20.918582184389191</v>
      </c>
      <c r="I3568">
        <v>31.39882072500243</v>
      </c>
      <c r="J3568">
        <v>25.935769125404029</v>
      </c>
      <c r="K3568">
        <v>1178.925783702088</v>
      </c>
      <c r="L3568">
        <v>0</v>
      </c>
      <c r="M3568" t="s">
        <v>69</v>
      </c>
    </row>
    <row r="3569" spans="1:13" x14ac:dyDescent="0.3">
      <c r="A3569" t="s">
        <v>25</v>
      </c>
      <c r="B3569" t="s">
        <v>62</v>
      </c>
      <c r="C3569">
        <v>31.22881578245152</v>
      </c>
      <c r="D3569">
        <v>0.92169606052134112</v>
      </c>
      <c r="E3569">
        <v>1.7223286900107599</v>
      </c>
      <c r="F3569">
        <v>4.330951262715347</v>
      </c>
      <c r="G3569">
        <v>6.297423068440561</v>
      </c>
      <c r="H3569">
        <v>38.458403054496287</v>
      </c>
      <c r="I3569">
        <v>19.817615688355041</v>
      </c>
      <c r="J3569">
        <v>24.006439979023249</v>
      </c>
      <c r="K3569">
        <v>1060.5032881988041</v>
      </c>
      <c r="L3569">
        <v>0</v>
      </c>
      <c r="M3569" t="s">
        <v>69</v>
      </c>
    </row>
    <row r="3570" spans="1:13" x14ac:dyDescent="0.3">
      <c r="A3570" t="s">
        <v>19</v>
      </c>
      <c r="B3570" t="s">
        <v>48</v>
      </c>
      <c r="C3570">
        <v>29.812176220005089</v>
      </c>
      <c r="D3570">
        <v>0.98436561921985533</v>
      </c>
      <c r="E3570">
        <v>1.2692495789940601</v>
      </c>
      <c r="F3570">
        <v>4.0689626533600833</v>
      </c>
      <c r="G3570">
        <v>6.0674062645108124</v>
      </c>
      <c r="H3570">
        <v>16.672151033680521</v>
      </c>
      <c r="I3570">
        <v>31.386832150001791</v>
      </c>
      <c r="J3570">
        <v>26.79048891836235</v>
      </c>
      <c r="K3570">
        <v>1166.131345950778</v>
      </c>
      <c r="L3570">
        <v>0</v>
      </c>
      <c r="M3570" t="s">
        <v>69</v>
      </c>
    </row>
    <row r="3571" spans="1:13" x14ac:dyDescent="0.3">
      <c r="A3571" t="s">
        <v>19</v>
      </c>
      <c r="B3571" t="s">
        <v>48</v>
      </c>
      <c r="C3571">
        <v>40.274476921892912</v>
      </c>
      <c r="D3571">
        <v>1.9355531551730201</v>
      </c>
      <c r="E3571">
        <v>1.95493380692104</v>
      </c>
      <c r="F3571">
        <v>5.0140773164103631</v>
      </c>
      <c r="G3571">
        <v>6.3654913235144974</v>
      </c>
      <c r="H3571">
        <v>17.00974806963665</v>
      </c>
      <c r="I3571">
        <v>31.65577682048362</v>
      </c>
      <c r="J3571">
        <v>27.295519766770919</v>
      </c>
      <c r="K3571">
        <v>1159.6028372763431</v>
      </c>
      <c r="L3571">
        <v>0</v>
      </c>
      <c r="M3571" t="s">
        <v>69</v>
      </c>
    </row>
    <row r="3572" spans="1:13" x14ac:dyDescent="0.3">
      <c r="A3572" t="s">
        <v>19</v>
      </c>
      <c r="B3572" t="s">
        <v>44</v>
      </c>
      <c r="C3572">
        <v>19.59328962703287</v>
      </c>
      <c r="D3572">
        <v>1.04354954112191</v>
      </c>
      <c r="E3572">
        <v>0.98300261910960618</v>
      </c>
      <c r="F3572">
        <v>2.863498982461294</v>
      </c>
      <c r="G3572">
        <v>6.1320962049457393</v>
      </c>
      <c r="H3572">
        <v>15.99570275073984</v>
      </c>
      <c r="I3572">
        <v>25.19388617806845</v>
      </c>
      <c r="J3572">
        <v>23.80600426521444</v>
      </c>
      <c r="K3572">
        <v>1321.8545654023189</v>
      </c>
      <c r="L3572">
        <v>0</v>
      </c>
      <c r="M3572" t="s">
        <v>69</v>
      </c>
    </row>
    <row r="3573" spans="1:13" x14ac:dyDescent="0.3">
      <c r="A3573" t="s">
        <v>24</v>
      </c>
      <c r="B3573" t="s">
        <v>58</v>
      </c>
      <c r="C3573">
        <v>13.33702938423232</v>
      </c>
      <c r="D3573">
        <v>0</v>
      </c>
      <c r="E3573">
        <v>0</v>
      </c>
      <c r="F3573">
        <v>1.986607906542982</v>
      </c>
      <c r="G3573">
        <v>6.4758146915599086</v>
      </c>
      <c r="H3573">
        <v>44.458025487830469</v>
      </c>
      <c r="I3573">
        <v>25.950630684673168</v>
      </c>
      <c r="J3573">
        <v>22.724940529239309</v>
      </c>
      <c r="K3573">
        <v>736.91559681998228</v>
      </c>
      <c r="L3573">
        <v>0</v>
      </c>
      <c r="M3573" t="s">
        <v>69</v>
      </c>
    </row>
    <row r="3574" spans="1:13" x14ac:dyDescent="0.3">
      <c r="A3574" t="s">
        <v>21</v>
      </c>
      <c r="B3574" t="s">
        <v>52</v>
      </c>
      <c r="C3574">
        <v>130.7361401295847</v>
      </c>
      <c r="D3574">
        <v>5.811644905402245</v>
      </c>
      <c r="E3574">
        <v>8.0800849715391703</v>
      </c>
      <c r="F3574">
        <v>20.10769851693934</v>
      </c>
      <c r="G3574">
        <v>5.4160967427151432</v>
      </c>
      <c r="H3574">
        <v>57.746826131486173</v>
      </c>
      <c r="I3574">
        <v>28.50053036618263</v>
      </c>
      <c r="J3574">
        <v>25.357112879261319</v>
      </c>
      <c r="K3574">
        <v>744.12228835755889</v>
      </c>
      <c r="L3574">
        <v>0</v>
      </c>
      <c r="M3574" t="s">
        <v>69</v>
      </c>
    </row>
    <row r="3575" spans="1:13" x14ac:dyDescent="0.3">
      <c r="A3575" t="s">
        <v>24</v>
      </c>
      <c r="B3575" t="s">
        <v>58</v>
      </c>
      <c r="C3575">
        <v>28.56804187360088</v>
      </c>
      <c r="D3575">
        <v>1.0361911898216269</v>
      </c>
      <c r="E3575">
        <v>1.789284393928829</v>
      </c>
      <c r="F3575">
        <v>3.9313059737415021</v>
      </c>
      <c r="G3575">
        <v>6.3635607412057773</v>
      </c>
      <c r="H3575">
        <v>41.141106509035559</v>
      </c>
      <c r="I3575">
        <v>24.222603643770761</v>
      </c>
      <c r="J3575">
        <v>23.773617018040571</v>
      </c>
      <c r="K3575">
        <v>726.84930183282995</v>
      </c>
      <c r="L3575">
        <v>0</v>
      </c>
      <c r="M3575" t="s">
        <v>69</v>
      </c>
    </row>
    <row r="3576" spans="1:13" x14ac:dyDescent="0.3">
      <c r="A3576" t="s">
        <v>24</v>
      </c>
      <c r="B3576" t="s">
        <v>58</v>
      </c>
      <c r="C3576">
        <v>29.85325573907814</v>
      </c>
      <c r="D3576">
        <v>0.96792252249549593</v>
      </c>
      <c r="E3576">
        <v>2.2397453988498852</v>
      </c>
      <c r="F3576">
        <v>3.593071847797694</v>
      </c>
      <c r="G3576">
        <v>7.1828334385137511</v>
      </c>
      <c r="H3576">
        <v>33.173173463825812</v>
      </c>
      <c r="I3576">
        <v>26.332581472568219</v>
      </c>
      <c r="J3576">
        <v>23.293689685658698</v>
      </c>
      <c r="K3576">
        <v>740.50119196413198</v>
      </c>
      <c r="L3576">
        <v>0</v>
      </c>
      <c r="M3576" t="s">
        <v>69</v>
      </c>
    </row>
    <row r="3577" spans="1:13" x14ac:dyDescent="0.3">
      <c r="A3577" t="s">
        <v>24</v>
      </c>
      <c r="B3577" t="s">
        <v>58</v>
      </c>
      <c r="C3577">
        <v>12.37436020312281</v>
      </c>
      <c r="D3577">
        <v>0</v>
      </c>
      <c r="E3577">
        <v>0</v>
      </c>
      <c r="F3577">
        <v>2.123722964656229</v>
      </c>
      <c r="G3577">
        <v>6.3522080867022694</v>
      </c>
      <c r="H3577">
        <v>44.55641435133321</v>
      </c>
      <c r="I3577">
        <v>25.312152613344431</v>
      </c>
      <c r="J3577">
        <v>22.701797805266381</v>
      </c>
      <c r="K3577">
        <v>747.19803553822476</v>
      </c>
      <c r="L3577">
        <v>0</v>
      </c>
      <c r="M3577" t="s">
        <v>69</v>
      </c>
    </row>
    <row r="3578" spans="1:13" x14ac:dyDescent="0.3">
      <c r="A3578" t="s">
        <v>19</v>
      </c>
      <c r="B3578" t="s">
        <v>45</v>
      </c>
      <c r="C3578">
        <v>21.376975014907231</v>
      </c>
      <c r="D3578">
        <v>1.1561403085004589</v>
      </c>
      <c r="E3578">
        <v>1.0968065610183599</v>
      </c>
      <c r="F3578">
        <v>3.0179474349370352</v>
      </c>
      <c r="G3578">
        <v>6.0685284501508754</v>
      </c>
      <c r="H3578">
        <v>19.760900787384319</v>
      </c>
      <c r="I3578">
        <v>31.73310179073291</v>
      </c>
      <c r="J3578">
        <v>22.546891826494551</v>
      </c>
      <c r="K3578">
        <v>1342.4618470989681</v>
      </c>
      <c r="L3578">
        <v>0</v>
      </c>
      <c r="M3578" t="s">
        <v>69</v>
      </c>
    </row>
    <row r="3579" spans="1:13" x14ac:dyDescent="0.3">
      <c r="A3579" t="s">
        <v>19</v>
      </c>
      <c r="B3579" t="s">
        <v>48</v>
      </c>
      <c r="C3579">
        <v>45.098291701071901</v>
      </c>
      <c r="D3579">
        <v>2.099933746275604</v>
      </c>
      <c r="E3579">
        <v>2.6583453061398599</v>
      </c>
      <c r="F3579">
        <v>6.093536380484343</v>
      </c>
      <c r="G3579">
        <v>5.4626198489734001</v>
      </c>
      <c r="H3579">
        <v>19.427940382981959</v>
      </c>
      <c r="I3579">
        <v>32.327367903006397</v>
      </c>
      <c r="J3579">
        <v>25.33300238774941</v>
      </c>
      <c r="K3579">
        <v>1166.5244132846581</v>
      </c>
      <c r="L3579">
        <v>0</v>
      </c>
      <c r="M3579" t="s">
        <v>69</v>
      </c>
    </row>
    <row r="3580" spans="1:13" x14ac:dyDescent="0.3">
      <c r="A3580" t="s">
        <v>24</v>
      </c>
      <c r="B3580" t="s">
        <v>59</v>
      </c>
      <c r="C3580">
        <v>59.75913175581163</v>
      </c>
      <c r="D3580">
        <v>1.9737287887824559</v>
      </c>
      <c r="E3580">
        <v>4.1189824732922347</v>
      </c>
      <c r="F3580">
        <v>10.044310416368081</v>
      </c>
      <c r="G3580">
        <v>6.8410688113129119</v>
      </c>
      <c r="H3580">
        <v>60.454252045176119</v>
      </c>
      <c r="I3580">
        <v>25.942711270875979</v>
      </c>
      <c r="J3580">
        <v>22.788373266158452</v>
      </c>
      <c r="K3580">
        <v>732.86211667260943</v>
      </c>
      <c r="L3580">
        <v>0</v>
      </c>
      <c r="M3580" t="s">
        <v>69</v>
      </c>
    </row>
    <row r="3581" spans="1:13" x14ac:dyDescent="0.3">
      <c r="A3581" t="s">
        <v>19</v>
      </c>
      <c r="B3581" t="s">
        <v>44</v>
      </c>
      <c r="C3581">
        <v>20.227985623144701</v>
      </c>
      <c r="D3581">
        <v>0.94596721451119414</v>
      </c>
      <c r="E3581">
        <v>0.96422293081090338</v>
      </c>
      <c r="F3581">
        <v>2.503131075628549</v>
      </c>
      <c r="G3581">
        <v>6.1656771553848078</v>
      </c>
      <c r="H3581">
        <v>16.434969703091269</v>
      </c>
      <c r="I3581">
        <v>25.912610787305301</v>
      </c>
      <c r="J3581">
        <v>24.51123321945645</v>
      </c>
      <c r="K3581">
        <v>1305.084690614895</v>
      </c>
      <c r="L3581">
        <v>0</v>
      </c>
      <c r="M3581" t="s">
        <v>69</v>
      </c>
    </row>
    <row r="3582" spans="1:13" x14ac:dyDescent="0.3">
      <c r="A3582" t="s">
        <v>25</v>
      </c>
      <c r="B3582" t="s">
        <v>62</v>
      </c>
      <c r="C3582">
        <v>31.340936696458911</v>
      </c>
      <c r="D3582">
        <v>0.99859200343656918</v>
      </c>
      <c r="E3582">
        <v>1.962252687606975</v>
      </c>
      <c r="F3582">
        <v>4.4958170812817571</v>
      </c>
      <c r="G3582">
        <v>6.3092146219432106</v>
      </c>
      <c r="H3582">
        <v>39.155993821834613</v>
      </c>
      <c r="I3582">
        <v>20.525907943569461</v>
      </c>
      <c r="J3582">
        <v>24.067671313647189</v>
      </c>
      <c r="K3582">
        <v>1069.249886242324</v>
      </c>
      <c r="L3582">
        <v>0</v>
      </c>
      <c r="M3582" t="s">
        <v>69</v>
      </c>
    </row>
    <row r="3583" spans="1:13" x14ac:dyDescent="0.3">
      <c r="A3583" t="s">
        <v>19</v>
      </c>
      <c r="B3583" t="s">
        <v>48</v>
      </c>
      <c r="C3583">
        <v>60.235457564764623</v>
      </c>
      <c r="D3583">
        <v>2.9467612756390009</v>
      </c>
      <c r="E3583">
        <v>3.9341489059730979</v>
      </c>
      <c r="F3583">
        <v>9.0252413616156808</v>
      </c>
      <c r="G3583">
        <v>6.2224089636930602</v>
      </c>
      <c r="H3583">
        <v>18.70047604542906</v>
      </c>
      <c r="I3583">
        <v>33.673092016955891</v>
      </c>
      <c r="J3583">
        <v>25.951435890783831</v>
      </c>
      <c r="K3583">
        <v>1173.481764184864</v>
      </c>
      <c r="L3583">
        <v>0</v>
      </c>
      <c r="M3583" t="s">
        <v>69</v>
      </c>
    </row>
    <row r="3584" spans="1:13" x14ac:dyDescent="0.3">
      <c r="A3584" t="s">
        <v>19</v>
      </c>
      <c r="B3584" t="s">
        <v>48</v>
      </c>
      <c r="C3584">
        <v>40.580340442950707</v>
      </c>
      <c r="D3584">
        <v>2.0515438947103508</v>
      </c>
      <c r="E3584">
        <v>2.3348541757207788</v>
      </c>
      <c r="F3584">
        <v>5.9030743704262019</v>
      </c>
      <c r="G3584">
        <v>6.1376675740185398</v>
      </c>
      <c r="H3584">
        <v>18.047685445979599</v>
      </c>
      <c r="I3584">
        <v>32.914761959366643</v>
      </c>
      <c r="J3584">
        <v>26.283835946746791</v>
      </c>
      <c r="K3584">
        <v>1152.884611825509</v>
      </c>
      <c r="L3584">
        <v>0</v>
      </c>
      <c r="M3584" t="s">
        <v>69</v>
      </c>
    </row>
    <row r="3585" spans="1:13" x14ac:dyDescent="0.3">
      <c r="A3585" t="s">
        <v>24</v>
      </c>
      <c r="B3585" t="s">
        <v>57</v>
      </c>
      <c r="C3585">
        <v>7.1738118507835793</v>
      </c>
      <c r="D3585">
        <v>0</v>
      </c>
      <c r="E3585">
        <v>0</v>
      </c>
      <c r="F3585">
        <v>1.0445440813570139</v>
      </c>
      <c r="G3585">
        <v>5.9553311779508498</v>
      </c>
      <c r="H3585">
        <v>38.499732533467039</v>
      </c>
      <c r="I3585">
        <v>23.195000563951659</v>
      </c>
      <c r="J3585">
        <v>22.702639852130041</v>
      </c>
      <c r="K3585">
        <v>741.95905662917005</v>
      </c>
      <c r="L3585">
        <v>0</v>
      </c>
      <c r="M3585" t="s">
        <v>69</v>
      </c>
    </row>
    <row r="3586" spans="1:13" x14ac:dyDescent="0.3">
      <c r="A3586" t="s">
        <v>24</v>
      </c>
      <c r="B3586" t="s">
        <v>59</v>
      </c>
      <c r="C3586">
        <v>59.877592170101323</v>
      </c>
      <c r="D3586">
        <v>2.0706523173767111</v>
      </c>
      <c r="E3586">
        <v>3.8077850544309539</v>
      </c>
      <c r="F3586">
        <v>8.8953037462208648</v>
      </c>
      <c r="G3586">
        <v>6.6409223888900542</v>
      </c>
      <c r="H3586">
        <v>57.029173200834862</v>
      </c>
      <c r="I3586">
        <v>27.023164162210179</v>
      </c>
      <c r="J3586">
        <v>23.277445400465599</v>
      </c>
      <c r="K3586">
        <v>737.61405348596816</v>
      </c>
      <c r="L3586">
        <v>0</v>
      </c>
      <c r="M3586" t="s">
        <v>69</v>
      </c>
    </row>
    <row r="3587" spans="1:13" x14ac:dyDescent="0.3">
      <c r="A3587" t="s">
        <v>24</v>
      </c>
      <c r="B3587" t="s">
        <v>58</v>
      </c>
      <c r="C3587">
        <v>28.349693750468258</v>
      </c>
      <c r="D3587">
        <v>0.95642728065158256</v>
      </c>
      <c r="E3587">
        <v>2.156825662207285</v>
      </c>
      <c r="F3587">
        <v>3.88278963494712</v>
      </c>
      <c r="G3587">
        <v>6.9058328012661461</v>
      </c>
      <c r="H3587">
        <v>34.10502347366193</v>
      </c>
      <c r="I3587">
        <v>26.3605660101422</v>
      </c>
      <c r="J3587">
        <v>22.550786040528809</v>
      </c>
      <c r="K3587">
        <v>746.98874879240861</v>
      </c>
      <c r="L3587">
        <v>0</v>
      </c>
      <c r="M3587" t="s">
        <v>69</v>
      </c>
    </row>
    <row r="3588" spans="1:13" x14ac:dyDescent="0.3">
      <c r="A3588" t="s">
        <v>25</v>
      </c>
      <c r="B3588" t="s">
        <v>62</v>
      </c>
      <c r="C3588">
        <v>30.432757263574981</v>
      </c>
      <c r="D3588">
        <v>1.0737810843918001</v>
      </c>
      <c r="E3588">
        <v>1.966217350482514</v>
      </c>
      <c r="F3588">
        <v>4.653279202455268</v>
      </c>
      <c r="G3588">
        <v>6.1962358238610573</v>
      </c>
      <c r="H3588">
        <v>24.657173028590961</v>
      </c>
      <c r="I3588">
        <v>24.00711475358267</v>
      </c>
      <c r="J3588">
        <v>23.8776940123606</v>
      </c>
      <c r="K3588">
        <v>1201.816448173116</v>
      </c>
      <c r="L3588">
        <v>0</v>
      </c>
      <c r="M3588" t="s">
        <v>69</v>
      </c>
    </row>
    <row r="3589" spans="1:13" x14ac:dyDescent="0.3">
      <c r="A3589" t="s">
        <v>21</v>
      </c>
      <c r="B3589" t="s">
        <v>52</v>
      </c>
      <c r="C3589">
        <v>128.5910858000413</v>
      </c>
      <c r="D3589">
        <v>6.0507268323388939</v>
      </c>
      <c r="E3589">
        <v>9.4095633689765243</v>
      </c>
      <c r="F3589">
        <v>20.5583913139317</v>
      </c>
      <c r="G3589">
        <v>5.4960044916719584</v>
      </c>
      <c r="H3589">
        <v>58.359213210574573</v>
      </c>
      <c r="I3589">
        <v>27.600909969480512</v>
      </c>
      <c r="J3589">
        <v>24.70473174086063</v>
      </c>
      <c r="K3589">
        <v>751.68784011895536</v>
      </c>
      <c r="L3589">
        <v>0</v>
      </c>
      <c r="M3589" t="s">
        <v>69</v>
      </c>
    </row>
    <row r="3590" spans="1:13" x14ac:dyDescent="0.3">
      <c r="A3590" t="s">
        <v>25</v>
      </c>
      <c r="B3590" t="s">
        <v>62</v>
      </c>
      <c r="C3590">
        <v>558.88435343082938</v>
      </c>
      <c r="D3590">
        <v>31.933106768642251</v>
      </c>
      <c r="E3590">
        <v>43.537416658038033</v>
      </c>
      <c r="F3590">
        <v>101.8267085753651</v>
      </c>
      <c r="G3590">
        <v>4.5922995666473669</v>
      </c>
      <c r="H3590">
        <v>88.4</v>
      </c>
      <c r="I3590">
        <v>28.253666441688491</v>
      </c>
      <c r="J3590">
        <v>24.41396257735164</v>
      </c>
      <c r="K3590">
        <v>703.78573327447441</v>
      </c>
      <c r="L3590">
        <v>0</v>
      </c>
      <c r="M3590" t="s">
        <v>69</v>
      </c>
    </row>
    <row r="3591" spans="1:13" x14ac:dyDescent="0.3">
      <c r="A3591" t="s">
        <v>19</v>
      </c>
      <c r="B3591" t="s">
        <v>44</v>
      </c>
      <c r="C3591">
        <v>20.283954469825151</v>
      </c>
      <c r="D3591">
        <v>0.94957581787606982</v>
      </c>
      <c r="E3591">
        <v>0.97602547537293205</v>
      </c>
      <c r="F3591">
        <v>2.5359841076920042</v>
      </c>
      <c r="G3591">
        <v>6.1655548338584634</v>
      </c>
      <c r="H3591">
        <v>16.369038649903619</v>
      </c>
      <c r="I3591">
        <v>25.899595682012698</v>
      </c>
      <c r="J3591">
        <v>24.482503019499681</v>
      </c>
      <c r="K3591">
        <v>1306.946697542475</v>
      </c>
      <c r="L3591">
        <v>0</v>
      </c>
      <c r="M3591" t="s">
        <v>69</v>
      </c>
    </row>
    <row r="3592" spans="1:13" x14ac:dyDescent="0.3">
      <c r="A3592" t="s">
        <v>19</v>
      </c>
      <c r="B3592" t="s">
        <v>44</v>
      </c>
      <c r="C3592">
        <v>19.626413958869961</v>
      </c>
      <c r="D3592">
        <v>1.040187230725008</v>
      </c>
      <c r="E3592">
        <v>0.99454730386302259</v>
      </c>
      <c r="F3592">
        <v>2.837852869594697</v>
      </c>
      <c r="G3592">
        <v>6.1409542980684213</v>
      </c>
      <c r="H3592">
        <v>15.886313776451439</v>
      </c>
      <c r="I3592">
        <v>25.1459888078567</v>
      </c>
      <c r="J3592">
        <v>23.83211700163297</v>
      </c>
      <c r="K3592">
        <v>1321.0762948351869</v>
      </c>
      <c r="L3592">
        <v>0</v>
      </c>
      <c r="M3592" t="s">
        <v>69</v>
      </c>
    </row>
    <row r="3593" spans="1:13" x14ac:dyDescent="0.3">
      <c r="A3593" t="s">
        <v>24</v>
      </c>
      <c r="B3593" t="s">
        <v>58</v>
      </c>
      <c r="C3593">
        <v>13.19122058055329</v>
      </c>
      <c r="D3593">
        <v>0</v>
      </c>
      <c r="E3593">
        <v>0</v>
      </c>
      <c r="F3593">
        <v>1.9651183345959939</v>
      </c>
      <c r="G3593">
        <v>6.4735254369523929</v>
      </c>
      <c r="H3593">
        <v>42.273978071819172</v>
      </c>
      <c r="I3593">
        <v>24.135373337669439</v>
      </c>
      <c r="J3593">
        <v>22.565206353193471</v>
      </c>
      <c r="K3593">
        <v>741.30225821983538</v>
      </c>
      <c r="L3593">
        <v>0</v>
      </c>
      <c r="M3593" t="s">
        <v>69</v>
      </c>
    </row>
    <row r="3594" spans="1:13" x14ac:dyDescent="0.3">
      <c r="A3594" t="s">
        <v>24</v>
      </c>
      <c r="B3594" t="s">
        <v>58</v>
      </c>
      <c r="C3594">
        <v>28.018250836059689</v>
      </c>
      <c r="D3594">
        <v>0.96358981593273008</v>
      </c>
      <c r="E3594">
        <v>1.844683075151383</v>
      </c>
      <c r="F3594">
        <v>3.9062890556733181</v>
      </c>
      <c r="G3594">
        <v>6.2702032466660196</v>
      </c>
      <c r="H3594">
        <v>42.342518371647238</v>
      </c>
      <c r="I3594">
        <v>24.49042007141859</v>
      </c>
      <c r="J3594">
        <v>23.87775954107288</v>
      </c>
      <c r="K3594">
        <v>739.7999849337117</v>
      </c>
      <c r="L3594">
        <v>0</v>
      </c>
      <c r="M3594" t="s">
        <v>69</v>
      </c>
    </row>
    <row r="3595" spans="1:13" x14ac:dyDescent="0.3">
      <c r="A3595" t="s">
        <v>20</v>
      </c>
      <c r="B3595" t="s">
        <v>49</v>
      </c>
      <c r="C3595">
        <v>36.551573111515928</v>
      </c>
      <c r="D3595">
        <v>0.92937061787861808</v>
      </c>
      <c r="E3595">
        <v>2.1725453506767409</v>
      </c>
      <c r="F3595">
        <v>6.420145266112776</v>
      </c>
      <c r="G3595">
        <v>6.3358670672379152</v>
      </c>
      <c r="H3595">
        <v>16.271492360207841</v>
      </c>
      <c r="I3595">
        <v>32.300762196686783</v>
      </c>
      <c r="J3595">
        <v>26.33914138960235</v>
      </c>
      <c r="K3595">
        <v>1149.257348014627</v>
      </c>
      <c r="L3595">
        <v>0</v>
      </c>
      <c r="M3595" t="s">
        <v>69</v>
      </c>
    </row>
    <row r="3596" spans="1:13" x14ac:dyDescent="0.3">
      <c r="A3596" t="s">
        <v>25</v>
      </c>
      <c r="B3596" t="s">
        <v>62</v>
      </c>
      <c r="C3596">
        <v>39.695699128815107</v>
      </c>
      <c r="D3596">
        <v>1.0393177764545971</v>
      </c>
      <c r="E3596">
        <v>1.873079496706715</v>
      </c>
      <c r="F3596">
        <v>6.7561955225065802</v>
      </c>
      <c r="G3596">
        <v>6.2626264639216664</v>
      </c>
      <c r="H3596">
        <v>17.319344556697061</v>
      </c>
      <c r="I3596">
        <v>31.941989639664481</v>
      </c>
      <c r="J3596">
        <v>25.02369825698992</v>
      </c>
      <c r="K3596">
        <v>1210.0574521527719</v>
      </c>
      <c r="L3596">
        <v>0</v>
      </c>
      <c r="M3596" t="s">
        <v>69</v>
      </c>
    </row>
    <row r="3597" spans="1:13" x14ac:dyDescent="0.3">
      <c r="A3597" t="s">
        <v>24</v>
      </c>
      <c r="B3597" t="s">
        <v>58</v>
      </c>
      <c r="C3597">
        <v>33.18254164325873</v>
      </c>
      <c r="D3597">
        <v>0.98380513137490544</v>
      </c>
      <c r="E3597">
        <v>2.1017414080238752</v>
      </c>
      <c r="F3597">
        <v>5.0072308497754614</v>
      </c>
      <c r="G3597">
        <v>6.9979766434247486</v>
      </c>
      <c r="H3597">
        <v>55.290112253396899</v>
      </c>
      <c r="I3597">
        <v>23.92936483431102</v>
      </c>
      <c r="J3597">
        <v>22.723582747908011</v>
      </c>
      <c r="K3597">
        <v>722.48376063519311</v>
      </c>
      <c r="L3597">
        <v>0</v>
      </c>
      <c r="M3597" t="s">
        <v>69</v>
      </c>
    </row>
    <row r="3598" spans="1:13" x14ac:dyDescent="0.3">
      <c r="A3598" t="s">
        <v>25</v>
      </c>
      <c r="B3598" t="s">
        <v>62</v>
      </c>
      <c r="C3598">
        <v>29.22592628597846</v>
      </c>
      <c r="D3598">
        <v>1.085969946940208</v>
      </c>
      <c r="E3598">
        <v>2.099736428782689</v>
      </c>
      <c r="F3598">
        <v>4.0870336645615772</v>
      </c>
      <c r="G3598">
        <v>6.1823755634784421</v>
      </c>
      <c r="H3598">
        <v>24.761700731222462</v>
      </c>
      <c r="I3598">
        <v>22.815328421221508</v>
      </c>
      <c r="J3598">
        <v>25.153153976341041</v>
      </c>
      <c r="K3598">
        <v>1213.438970605815</v>
      </c>
      <c r="L3598">
        <v>0</v>
      </c>
      <c r="M3598" t="s">
        <v>69</v>
      </c>
    </row>
    <row r="3599" spans="1:13" x14ac:dyDescent="0.3">
      <c r="A3599" t="s">
        <v>19</v>
      </c>
      <c r="B3599" t="s">
        <v>46</v>
      </c>
      <c r="C3599">
        <v>18.053663063967459</v>
      </c>
      <c r="D3599">
        <v>0</v>
      </c>
      <c r="E3599">
        <v>1.1004834343886101</v>
      </c>
      <c r="F3599">
        <v>3.3325975548150768</v>
      </c>
      <c r="G3599">
        <v>5.1761672482083902</v>
      </c>
      <c r="H3599">
        <v>14.830655762027719</v>
      </c>
      <c r="I3599">
        <v>32.099188225657272</v>
      </c>
      <c r="J3599">
        <v>23.93339849629529</v>
      </c>
      <c r="K3599">
        <v>1358.116821793094</v>
      </c>
      <c r="L3599">
        <v>0</v>
      </c>
      <c r="M3599" t="s">
        <v>69</v>
      </c>
    </row>
    <row r="3600" spans="1:13" x14ac:dyDescent="0.3">
      <c r="A3600" t="s">
        <v>24</v>
      </c>
      <c r="B3600" t="s">
        <v>57</v>
      </c>
      <c r="C3600">
        <v>8.4584511275811423</v>
      </c>
      <c r="D3600">
        <v>0</v>
      </c>
      <c r="E3600">
        <v>0</v>
      </c>
      <c r="F3600">
        <v>1.137856035013558</v>
      </c>
      <c r="G3600">
        <v>6.0944341347938424</v>
      </c>
      <c r="H3600">
        <v>37.966876766675483</v>
      </c>
      <c r="I3600">
        <v>23.410789914875931</v>
      </c>
      <c r="J3600">
        <v>24.15743472674437</v>
      </c>
      <c r="K3600">
        <v>741.25853620840348</v>
      </c>
      <c r="L3600">
        <v>0</v>
      </c>
      <c r="M3600" t="s">
        <v>69</v>
      </c>
    </row>
    <row r="3601" spans="1:13" x14ac:dyDescent="0.3">
      <c r="A3601" t="s">
        <v>19</v>
      </c>
      <c r="B3601" t="s">
        <v>44</v>
      </c>
      <c r="C3601">
        <v>23.007430884946359</v>
      </c>
      <c r="D3601">
        <v>1.0028790844909261</v>
      </c>
      <c r="E3601">
        <v>1.003465037288193</v>
      </c>
      <c r="F3601">
        <v>3.1895915700174311</v>
      </c>
      <c r="G3601">
        <v>6.5559197751832654</v>
      </c>
      <c r="H3601">
        <v>19.282317319724051</v>
      </c>
      <c r="I3601">
        <v>27.08574968203612</v>
      </c>
      <c r="J3601">
        <v>24.146923888942009</v>
      </c>
      <c r="K3601">
        <v>1320.322134231744</v>
      </c>
      <c r="L3601">
        <v>0</v>
      </c>
      <c r="M3601" t="s">
        <v>69</v>
      </c>
    </row>
    <row r="3602" spans="1:13" x14ac:dyDescent="0.3">
      <c r="A3602" t="s">
        <v>24</v>
      </c>
      <c r="B3602" t="s">
        <v>58</v>
      </c>
      <c r="C3602">
        <v>12.91452346003749</v>
      </c>
      <c r="D3602">
        <v>0</v>
      </c>
      <c r="E3602">
        <v>0</v>
      </c>
      <c r="F3602">
        <v>2.067072038728142</v>
      </c>
      <c r="G3602">
        <v>6.5818076052493586</v>
      </c>
      <c r="H3602">
        <v>44.065839215319592</v>
      </c>
      <c r="I3602">
        <v>24.780814619456859</v>
      </c>
      <c r="J3602">
        <v>23.332687362462</v>
      </c>
      <c r="K3602">
        <v>764.74521381799775</v>
      </c>
      <c r="L3602">
        <v>0</v>
      </c>
      <c r="M3602" t="s">
        <v>69</v>
      </c>
    </row>
    <row r="3603" spans="1:13" x14ac:dyDescent="0.3">
      <c r="A3603" t="s">
        <v>24</v>
      </c>
      <c r="B3603" t="s">
        <v>58</v>
      </c>
      <c r="C3603">
        <v>30.097134428305921</v>
      </c>
      <c r="D3603">
        <v>0.95088466315094777</v>
      </c>
      <c r="E3603">
        <v>2.036617428290378</v>
      </c>
      <c r="F3603">
        <v>4.0579728426798241</v>
      </c>
      <c r="G3603">
        <v>6.8916037702085706</v>
      </c>
      <c r="H3603">
        <v>33.230122157600512</v>
      </c>
      <c r="I3603">
        <v>25.519021955871711</v>
      </c>
      <c r="J3603">
        <v>23.261277141172169</v>
      </c>
      <c r="K3603">
        <v>745.19891035886485</v>
      </c>
      <c r="L3603">
        <v>0</v>
      </c>
      <c r="M3603" t="s">
        <v>69</v>
      </c>
    </row>
    <row r="3604" spans="1:13" x14ac:dyDescent="0.3">
      <c r="A3604" t="s">
        <v>19</v>
      </c>
      <c r="B3604" t="s">
        <v>44</v>
      </c>
      <c r="C3604">
        <v>23.390310063426899</v>
      </c>
      <c r="D3604">
        <v>0.99167459623348941</v>
      </c>
      <c r="E3604">
        <v>0.98461340686609411</v>
      </c>
      <c r="F3604">
        <v>2.9848045253631601</v>
      </c>
      <c r="G3604">
        <v>6.6254431000396172</v>
      </c>
      <c r="H3604">
        <v>19.79719342726175</v>
      </c>
      <c r="I3604">
        <v>26.501236266506812</v>
      </c>
      <c r="J3604">
        <v>23.795047600793531</v>
      </c>
      <c r="K3604">
        <v>1325.964928512127</v>
      </c>
      <c r="L3604">
        <v>0</v>
      </c>
      <c r="M3604" t="s">
        <v>69</v>
      </c>
    </row>
    <row r="3605" spans="1:13" x14ac:dyDescent="0.3">
      <c r="A3605" t="s">
        <v>25</v>
      </c>
      <c r="B3605" t="s">
        <v>62</v>
      </c>
      <c r="C3605">
        <v>576.66625688868419</v>
      </c>
      <c r="D3605">
        <v>32.53284812291691</v>
      </c>
      <c r="E3605">
        <v>41.009125941339512</v>
      </c>
      <c r="F3605">
        <v>86.222485695597214</v>
      </c>
      <c r="G3605">
        <v>4.4476258967148272</v>
      </c>
      <c r="H3605">
        <v>88.4</v>
      </c>
      <c r="I3605">
        <v>26.729942922212771</v>
      </c>
      <c r="J3605">
        <v>23.786861148031289</v>
      </c>
      <c r="K3605">
        <v>730.36978507992796</v>
      </c>
      <c r="L3605">
        <v>0</v>
      </c>
      <c r="M3605" t="s">
        <v>69</v>
      </c>
    </row>
    <row r="3606" spans="1:13" x14ac:dyDescent="0.3">
      <c r="A3606" t="s">
        <v>19</v>
      </c>
      <c r="B3606" t="s">
        <v>48</v>
      </c>
      <c r="C3606">
        <v>39.224832600733521</v>
      </c>
      <c r="D3606">
        <v>1.780515899743496</v>
      </c>
      <c r="E3606">
        <v>2.137705883153727</v>
      </c>
      <c r="F3606">
        <v>6.8210508615665617</v>
      </c>
      <c r="G3606">
        <v>6.2078152183393271</v>
      </c>
      <c r="H3606">
        <v>16.630970486848671</v>
      </c>
      <c r="I3606">
        <v>32.547963818618207</v>
      </c>
      <c r="J3606">
        <v>25.909972752521309</v>
      </c>
      <c r="K3606">
        <v>1138.0127223213831</v>
      </c>
      <c r="L3606">
        <v>0</v>
      </c>
      <c r="M3606" t="s">
        <v>69</v>
      </c>
    </row>
    <row r="3607" spans="1:13" x14ac:dyDescent="0.3">
      <c r="A3607" t="s">
        <v>19</v>
      </c>
      <c r="B3607" t="s">
        <v>48</v>
      </c>
      <c r="C3607">
        <v>43.890770947066443</v>
      </c>
      <c r="D3607">
        <v>2.0059801576810412</v>
      </c>
      <c r="E3607">
        <v>2.9333640965768479</v>
      </c>
      <c r="F3607">
        <v>6.0459184894745004</v>
      </c>
      <c r="G3607">
        <v>5.5205724691118387</v>
      </c>
      <c r="H3607">
        <v>19.20571015595419</v>
      </c>
      <c r="I3607">
        <v>32.497515466882852</v>
      </c>
      <c r="J3607">
        <v>25.729829295524869</v>
      </c>
      <c r="K3607">
        <v>1169.1719528081969</v>
      </c>
      <c r="L3607">
        <v>0</v>
      </c>
      <c r="M3607" t="s">
        <v>69</v>
      </c>
    </row>
    <row r="3608" spans="1:13" x14ac:dyDescent="0.3">
      <c r="A3608" t="s">
        <v>24</v>
      </c>
      <c r="B3608" t="s">
        <v>58</v>
      </c>
      <c r="C3608">
        <v>12.845112786651301</v>
      </c>
      <c r="D3608">
        <v>0</v>
      </c>
      <c r="E3608">
        <v>0</v>
      </c>
      <c r="F3608">
        <v>2.081874262931485</v>
      </c>
      <c r="G3608">
        <v>6.5235488520624072</v>
      </c>
      <c r="H3608">
        <v>43.571400048677198</v>
      </c>
      <c r="I3608">
        <v>24.860791943424982</v>
      </c>
      <c r="J3608">
        <v>22.97146515834293</v>
      </c>
      <c r="K3608">
        <v>751.91544754021822</v>
      </c>
      <c r="L3608">
        <v>0</v>
      </c>
      <c r="M3608" t="s">
        <v>69</v>
      </c>
    </row>
    <row r="3609" spans="1:13" x14ac:dyDescent="0.3">
      <c r="A3609" t="s">
        <v>25</v>
      </c>
      <c r="B3609" t="s">
        <v>62</v>
      </c>
      <c r="C3609">
        <v>24.00276793751684</v>
      </c>
      <c r="D3609">
        <v>1.0747840778183579</v>
      </c>
      <c r="E3609">
        <v>0.99308611231655775</v>
      </c>
      <c r="F3609">
        <v>2.991961886423244</v>
      </c>
      <c r="G3609">
        <v>6.3729970281519384</v>
      </c>
      <c r="H3609">
        <v>67.516298869421163</v>
      </c>
      <c r="I3609">
        <v>20.50193781471754</v>
      </c>
      <c r="J3609">
        <v>24.070384772259789</v>
      </c>
      <c r="K3609">
        <v>1198.1188166882191</v>
      </c>
      <c r="L3609">
        <v>0</v>
      </c>
      <c r="M3609" t="s">
        <v>69</v>
      </c>
    </row>
    <row r="3610" spans="1:13" x14ac:dyDescent="0.3">
      <c r="A3610" t="s">
        <v>24</v>
      </c>
      <c r="B3610" t="s">
        <v>58</v>
      </c>
      <c r="C3610">
        <v>13.30017980856285</v>
      </c>
      <c r="D3610">
        <v>0</v>
      </c>
      <c r="E3610">
        <v>0</v>
      </c>
      <c r="F3610">
        <v>2.059364014055145</v>
      </c>
      <c r="G3610">
        <v>6.5630431637486426</v>
      </c>
      <c r="H3610">
        <v>45.292455430307207</v>
      </c>
      <c r="I3610">
        <v>25.444746339695261</v>
      </c>
      <c r="J3610">
        <v>22.820695857825061</v>
      </c>
      <c r="K3610">
        <v>753.2710215752295</v>
      </c>
      <c r="L3610">
        <v>0</v>
      </c>
      <c r="M3610" t="s">
        <v>69</v>
      </c>
    </row>
    <row r="3611" spans="1:13" x14ac:dyDescent="0.3">
      <c r="A3611" t="s">
        <v>25</v>
      </c>
      <c r="B3611" t="s">
        <v>62</v>
      </c>
      <c r="C3611">
        <v>31.514890380768041</v>
      </c>
      <c r="D3611">
        <v>1.0614776140163951</v>
      </c>
      <c r="E3611">
        <v>2.3183666293847809</v>
      </c>
      <c r="F3611">
        <v>4.2320901457600719</v>
      </c>
      <c r="G3611">
        <v>6.2803188566502897</v>
      </c>
      <c r="H3611">
        <v>23.468211217367479</v>
      </c>
      <c r="I3611">
        <v>22.756291432486542</v>
      </c>
      <c r="J3611">
        <v>24.275904285008998</v>
      </c>
      <c r="K3611">
        <v>1207.484894543531</v>
      </c>
      <c r="L3611">
        <v>0</v>
      </c>
      <c r="M3611" t="s">
        <v>69</v>
      </c>
    </row>
    <row r="3612" spans="1:13" x14ac:dyDescent="0.3">
      <c r="A3612" t="s">
        <v>19</v>
      </c>
      <c r="B3612" t="s">
        <v>45</v>
      </c>
      <c r="C3612">
        <v>20.197149402586131</v>
      </c>
      <c r="D3612">
        <v>0.99843822531787119</v>
      </c>
      <c r="E3612">
        <v>1.0002709971482351</v>
      </c>
      <c r="F3612">
        <v>3.005013671177446</v>
      </c>
      <c r="G3612">
        <v>6.2002517620130826</v>
      </c>
      <c r="H3612">
        <v>19.156037316136771</v>
      </c>
      <c r="I3612">
        <v>31.37459202292797</v>
      </c>
      <c r="J3612">
        <v>23.92194778215012</v>
      </c>
      <c r="K3612">
        <v>1319.5509326636879</v>
      </c>
      <c r="L3612">
        <v>0</v>
      </c>
      <c r="M3612" t="s">
        <v>69</v>
      </c>
    </row>
    <row r="3613" spans="1:13" x14ac:dyDescent="0.3">
      <c r="A3613" t="s">
        <v>25</v>
      </c>
      <c r="B3613" t="s">
        <v>62</v>
      </c>
      <c r="C3613">
        <v>554.56474568458646</v>
      </c>
      <c r="D3613">
        <v>26.46361057105555</v>
      </c>
      <c r="E3613">
        <v>43.31770154264791</v>
      </c>
      <c r="F3613">
        <v>95.460614787800409</v>
      </c>
      <c r="G3613">
        <v>4.533942284837055</v>
      </c>
      <c r="H3613">
        <v>85.542088945326313</v>
      </c>
      <c r="I3613">
        <v>27.06994360534015</v>
      </c>
      <c r="J3613">
        <v>23.561913852037801</v>
      </c>
      <c r="K3613">
        <v>708.71136221185259</v>
      </c>
      <c r="L3613">
        <v>0</v>
      </c>
      <c r="M3613" t="s">
        <v>69</v>
      </c>
    </row>
    <row r="3614" spans="1:13" x14ac:dyDescent="0.3">
      <c r="A3614" t="s">
        <v>24</v>
      </c>
      <c r="B3614" t="s">
        <v>57</v>
      </c>
      <c r="C3614">
        <v>55.98125454697071</v>
      </c>
      <c r="D3614">
        <v>2.037244508838612</v>
      </c>
      <c r="E3614">
        <v>2.7761169558983432</v>
      </c>
      <c r="F3614">
        <v>8.6952811085014332</v>
      </c>
      <c r="G3614">
        <v>5.507236036799684</v>
      </c>
      <c r="H3614">
        <v>50.274781784974678</v>
      </c>
      <c r="I3614">
        <v>23.378658047849989</v>
      </c>
      <c r="J3614">
        <v>22.919147044223681</v>
      </c>
      <c r="K3614">
        <v>731.84093421788793</v>
      </c>
      <c r="L3614">
        <v>0</v>
      </c>
      <c r="M3614" t="s">
        <v>69</v>
      </c>
    </row>
    <row r="3615" spans="1:13" x14ac:dyDescent="0.3">
      <c r="A3615" t="s">
        <v>24</v>
      </c>
      <c r="B3615" t="s">
        <v>58</v>
      </c>
      <c r="C3615">
        <v>30.32940350016446</v>
      </c>
      <c r="D3615">
        <v>0.9279490745987502</v>
      </c>
      <c r="E3615">
        <v>1.849610721457978</v>
      </c>
      <c r="F3615">
        <v>4.4557836510595354</v>
      </c>
      <c r="G3615">
        <v>6.859063068758207</v>
      </c>
      <c r="H3615">
        <v>33.696262674792571</v>
      </c>
      <c r="I3615">
        <v>24.87939385607033</v>
      </c>
      <c r="J3615">
        <v>23.5165484664026</v>
      </c>
      <c r="K3615">
        <v>755.77630990242983</v>
      </c>
      <c r="L3615">
        <v>0</v>
      </c>
      <c r="M3615" t="s">
        <v>69</v>
      </c>
    </row>
    <row r="3616" spans="1:13" x14ac:dyDescent="0.3">
      <c r="A3616" t="s">
        <v>19</v>
      </c>
      <c r="B3616" t="s">
        <v>48</v>
      </c>
      <c r="C3616">
        <v>40.792030773311303</v>
      </c>
      <c r="D3616">
        <v>1.8787938272989391</v>
      </c>
      <c r="E3616">
        <v>1.9741374210377729</v>
      </c>
      <c r="F3616">
        <v>6.307281244519336</v>
      </c>
      <c r="G3616">
        <v>6.1990026819818871</v>
      </c>
      <c r="H3616">
        <v>17.005231537786369</v>
      </c>
      <c r="I3616">
        <v>32.675532664335229</v>
      </c>
      <c r="J3616">
        <v>26.310067344723191</v>
      </c>
      <c r="K3616">
        <v>1142.2362259079921</v>
      </c>
      <c r="L3616">
        <v>0</v>
      </c>
      <c r="M3616" t="s">
        <v>69</v>
      </c>
    </row>
    <row r="3617" spans="1:13" x14ac:dyDescent="0.3">
      <c r="A3617" t="s">
        <v>24</v>
      </c>
      <c r="B3617" t="s">
        <v>57</v>
      </c>
      <c r="C3617">
        <v>54.828909184262344</v>
      </c>
      <c r="D3617">
        <v>1.913089674558865</v>
      </c>
      <c r="E3617">
        <v>2.9114802369603789</v>
      </c>
      <c r="F3617">
        <v>8.8982582454571517</v>
      </c>
      <c r="G3617">
        <v>5.5947297075613873</v>
      </c>
      <c r="H3617">
        <v>49.91502384722564</v>
      </c>
      <c r="I3617">
        <v>23.202164822167859</v>
      </c>
      <c r="J3617">
        <v>22.999606306826081</v>
      </c>
      <c r="K3617">
        <v>742.11455033458265</v>
      </c>
      <c r="L3617">
        <v>0</v>
      </c>
      <c r="M3617" t="s">
        <v>69</v>
      </c>
    </row>
    <row r="3618" spans="1:13" x14ac:dyDescent="0.3">
      <c r="A3618" t="s">
        <v>24</v>
      </c>
      <c r="B3618" t="s">
        <v>57</v>
      </c>
      <c r="C3618">
        <v>7.6374458417381987</v>
      </c>
      <c r="D3618">
        <v>0</v>
      </c>
      <c r="E3618">
        <v>0</v>
      </c>
      <c r="F3618">
        <v>1.015701715537038</v>
      </c>
      <c r="G3618">
        <v>6.0414635784032198</v>
      </c>
      <c r="H3618">
        <v>38.863745634765607</v>
      </c>
      <c r="I3618">
        <v>23.416338479560689</v>
      </c>
      <c r="J3618">
        <v>22.95195003697221</v>
      </c>
      <c r="K3618">
        <v>740.43604671365392</v>
      </c>
      <c r="L3618">
        <v>0</v>
      </c>
      <c r="M3618" t="s">
        <v>69</v>
      </c>
    </row>
    <row r="3619" spans="1:13" x14ac:dyDescent="0.3">
      <c r="A3619" t="s">
        <v>25</v>
      </c>
      <c r="B3619" t="s">
        <v>62</v>
      </c>
      <c r="C3619">
        <v>22.859448242398269</v>
      </c>
      <c r="D3619">
        <v>1.0851431514336931</v>
      </c>
      <c r="E3619">
        <v>0.92146494281153579</v>
      </c>
      <c r="F3619">
        <v>4.1103946339800341</v>
      </c>
      <c r="G3619">
        <v>5.5013506199412543</v>
      </c>
      <c r="H3619">
        <v>48.082032297971757</v>
      </c>
      <c r="I3619">
        <v>20.513037341526442</v>
      </c>
      <c r="J3619">
        <v>23.811924722127952</v>
      </c>
      <c r="K3619">
        <v>1077.1860258284451</v>
      </c>
      <c r="L3619">
        <v>0</v>
      </c>
      <c r="M3619" t="s">
        <v>69</v>
      </c>
    </row>
    <row r="3620" spans="1:13" x14ac:dyDescent="0.3">
      <c r="A3620" t="s">
        <v>20</v>
      </c>
      <c r="B3620" t="s">
        <v>49</v>
      </c>
      <c r="C3620">
        <v>42.903854433981472</v>
      </c>
      <c r="D3620">
        <v>1.877846964552714</v>
      </c>
      <c r="E3620">
        <v>2.9842670859711742</v>
      </c>
      <c r="F3620">
        <v>7.1338032624000887</v>
      </c>
      <c r="G3620">
        <v>6.1170694546407693</v>
      </c>
      <c r="H3620">
        <v>20.782077624658861</v>
      </c>
      <c r="I3620">
        <v>32.577273645263197</v>
      </c>
      <c r="J3620">
        <v>26.47342166384626</v>
      </c>
      <c r="K3620">
        <v>1148.4204603688311</v>
      </c>
      <c r="L3620">
        <v>0</v>
      </c>
      <c r="M3620" t="s">
        <v>69</v>
      </c>
    </row>
    <row r="3621" spans="1:13" x14ac:dyDescent="0.3">
      <c r="A3621" t="s">
        <v>24</v>
      </c>
      <c r="B3621" t="s">
        <v>58</v>
      </c>
      <c r="C3621">
        <v>27.55141724927535</v>
      </c>
      <c r="D3621">
        <v>1.096692323956558</v>
      </c>
      <c r="E3621">
        <v>2.0173595378796252</v>
      </c>
      <c r="F3621">
        <v>3.7155081793154099</v>
      </c>
      <c r="G3621">
        <v>6.2445256607668913</v>
      </c>
      <c r="H3621">
        <v>39.330889422274431</v>
      </c>
      <c r="I3621">
        <v>24.121800160638859</v>
      </c>
      <c r="J3621">
        <v>23.033679445533011</v>
      </c>
      <c r="K3621">
        <v>748.79282712523673</v>
      </c>
      <c r="L3621">
        <v>0</v>
      </c>
      <c r="M3621" t="s">
        <v>69</v>
      </c>
    </row>
    <row r="3622" spans="1:13" x14ac:dyDescent="0.3">
      <c r="A3622" t="s">
        <v>19</v>
      </c>
      <c r="B3622" t="s">
        <v>44</v>
      </c>
      <c r="C3622">
        <v>23.004496432905999</v>
      </c>
      <c r="D3622">
        <v>1.001742135739901</v>
      </c>
      <c r="E3622">
        <v>1.002096696126451</v>
      </c>
      <c r="F3622">
        <v>3.114721971915833</v>
      </c>
      <c r="G3622">
        <v>6.5338370892625894</v>
      </c>
      <c r="H3622">
        <v>19.249810259183469</v>
      </c>
      <c r="I3622">
        <v>27.051887183662409</v>
      </c>
      <c r="J3622">
        <v>24.088903732689271</v>
      </c>
      <c r="K3622">
        <v>1320.194923615453</v>
      </c>
      <c r="L3622">
        <v>0</v>
      </c>
      <c r="M3622" t="s">
        <v>69</v>
      </c>
    </row>
    <row r="3623" spans="1:13" x14ac:dyDescent="0.3">
      <c r="A3623" t="s">
        <v>25</v>
      </c>
      <c r="B3623" t="s">
        <v>62</v>
      </c>
      <c r="C3623">
        <v>30.12837709635598</v>
      </c>
      <c r="D3623">
        <v>1.089479362035378</v>
      </c>
      <c r="E3623">
        <v>1.8623493801106581</v>
      </c>
      <c r="F3623">
        <v>5.4160867369820114</v>
      </c>
      <c r="G3623">
        <v>6.2147249452487037</v>
      </c>
      <c r="H3623">
        <v>38.467001098996647</v>
      </c>
      <c r="I3623">
        <v>19.925236084178831</v>
      </c>
      <c r="J3623">
        <v>24.015662735131599</v>
      </c>
      <c r="K3623">
        <v>1096.1935945765481</v>
      </c>
      <c r="L3623">
        <v>0</v>
      </c>
      <c r="M3623" t="s">
        <v>69</v>
      </c>
    </row>
    <row r="3624" spans="1:13" x14ac:dyDescent="0.3">
      <c r="A3624" t="s">
        <v>20</v>
      </c>
      <c r="B3624" t="s">
        <v>49</v>
      </c>
      <c r="C3624">
        <v>28.21629337323164</v>
      </c>
      <c r="D3624">
        <v>0.94686819701373626</v>
      </c>
      <c r="E3624">
        <v>0.89886735471644563</v>
      </c>
      <c r="F3624">
        <v>4.04653527580499</v>
      </c>
      <c r="G3624">
        <v>6.0314951474699487</v>
      </c>
      <c r="H3624">
        <v>16.44167583071761</v>
      </c>
      <c r="I3624">
        <v>31.02581945597419</v>
      </c>
      <c r="J3624">
        <v>24.762922027948068</v>
      </c>
      <c r="K3624">
        <v>1155.141800773451</v>
      </c>
      <c r="L3624">
        <v>0</v>
      </c>
      <c r="M3624" t="s">
        <v>69</v>
      </c>
    </row>
    <row r="3625" spans="1:13" x14ac:dyDescent="0.3">
      <c r="A3625" t="s">
        <v>19</v>
      </c>
      <c r="B3625" t="s">
        <v>48</v>
      </c>
      <c r="C3625">
        <v>27.023009869221649</v>
      </c>
      <c r="D3625">
        <v>1.003035505046062</v>
      </c>
      <c r="E3625">
        <v>0.99664170739560465</v>
      </c>
      <c r="F3625">
        <v>4.0118434706500423</v>
      </c>
      <c r="G3625">
        <v>5.9965597357284137</v>
      </c>
      <c r="H3625">
        <v>16.184125090822171</v>
      </c>
      <c r="I3625">
        <v>30.686342281273831</v>
      </c>
      <c r="J3625">
        <v>26.04357458295787</v>
      </c>
      <c r="K3625">
        <v>1170.6306256526209</v>
      </c>
      <c r="L3625">
        <v>0</v>
      </c>
      <c r="M3625" t="s">
        <v>69</v>
      </c>
    </row>
    <row r="3626" spans="1:13" x14ac:dyDescent="0.3">
      <c r="A3626" t="s">
        <v>20</v>
      </c>
      <c r="B3626" t="s">
        <v>49</v>
      </c>
      <c r="C3626">
        <v>41.953673139876692</v>
      </c>
      <c r="D3626">
        <v>2.0079303457845108</v>
      </c>
      <c r="E3626">
        <v>3.3358961017602198</v>
      </c>
      <c r="F3626">
        <v>7.3418025320773248</v>
      </c>
      <c r="G3626">
        <v>6.2668114691614401</v>
      </c>
      <c r="H3626">
        <v>19.841995205212129</v>
      </c>
      <c r="I3626">
        <v>32.898937147188533</v>
      </c>
      <c r="J3626">
        <v>26.177708169856679</v>
      </c>
      <c r="K3626">
        <v>1156.6051437187989</v>
      </c>
      <c r="L3626">
        <v>0</v>
      </c>
      <c r="M3626" t="s">
        <v>69</v>
      </c>
    </row>
    <row r="3627" spans="1:13" x14ac:dyDescent="0.3">
      <c r="A3627" t="s">
        <v>21</v>
      </c>
      <c r="B3627" t="s">
        <v>52</v>
      </c>
      <c r="C3627">
        <v>141.33459966156519</v>
      </c>
      <c r="D3627">
        <v>5.6822667870518044</v>
      </c>
      <c r="E3627">
        <v>8.9176902013783277</v>
      </c>
      <c r="F3627">
        <v>21.674435009049379</v>
      </c>
      <c r="G3627">
        <v>5.5309461265200861</v>
      </c>
      <c r="H3627">
        <v>55.789338602107946</v>
      </c>
      <c r="I3627">
        <v>28.080338481404869</v>
      </c>
      <c r="J3627">
        <v>24.69523054506659</v>
      </c>
      <c r="K3627">
        <v>742.24808009228366</v>
      </c>
      <c r="L3627">
        <v>0</v>
      </c>
      <c r="M3627" t="s">
        <v>69</v>
      </c>
    </row>
    <row r="3628" spans="1:13" x14ac:dyDescent="0.3">
      <c r="A3628" t="s">
        <v>24</v>
      </c>
      <c r="B3628" t="s">
        <v>58</v>
      </c>
      <c r="C3628">
        <v>13.221778440294839</v>
      </c>
      <c r="D3628">
        <v>0</v>
      </c>
      <c r="E3628">
        <v>0</v>
      </c>
      <c r="F3628">
        <v>1.9189364989991231</v>
      </c>
      <c r="G3628">
        <v>6.5897771196637036</v>
      </c>
      <c r="H3628">
        <v>42.227945914932818</v>
      </c>
      <c r="I3628">
        <v>25.10248926147289</v>
      </c>
      <c r="J3628">
        <v>23.669006144094649</v>
      </c>
      <c r="K3628">
        <v>752.44619238057794</v>
      </c>
      <c r="L3628">
        <v>0</v>
      </c>
      <c r="M3628" t="s">
        <v>69</v>
      </c>
    </row>
    <row r="3629" spans="1:13" x14ac:dyDescent="0.3">
      <c r="A3629" t="s">
        <v>20</v>
      </c>
      <c r="B3629" t="s">
        <v>49</v>
      </c>
      <c r="C3629">
        <v>37.932831788596012</v>
      </c>
      <c r="D3629">
        <v>1.056275469708942</v>
      </c>
      <c r="E3629">
        <v>2.089050420685179</v>
      </c>
      <c r="F3629">
        <v>5.9399845029727167</v>
      </c>
      <c r="G3629">
        <v>6.2531549289330739</v>
      </c>
      <c r="H3629">
        <v>16.34367937010796</v>
      </c>
      <c r="I3629">
        <v>31.184587835810749</v>
      </c>
      <c r="J3629">
        <v>25.89689322708945</v>
      </c>
      <c r="K3629">
        <v>1148.509889307265</v>
      </c>
      <c r="L3629">
        <v>0</v>
      </c>
      <c r="M3629" t="s">
        <v>69</v>
      </c>
    </row>
    <row r="3630" spans="1:13" x14ac:dyDescent="0.3">
      <c r="A3630" t="s">
        <v>25</v>
      </c>
      <c r="B3630" t="s">
        <v>62</v>
      </c>
      <c r="C3630">
        <v>256.70608071389393</v>
      </c>
      <c r="D3630">
        <v>19.037722698161179</v>
      </c>
      <c r="E3630">
        <v>25.922561694574888</v>
      </c>
      <c r="F3630">
        <v>60.411029625201841</v>
      </c>
      <c r="G3630">
        <v>4.4156195281561734</v>
      </c>
      <c r="H3630">
        <v>72.660703006590211</v>
      </c>
      <c r="I3630">
        <v>29.244858446953241</v>
      </c>
      <c r="J3630">
        <v>23.913284238052292</v>
      </c>
      <c r="K3630">
        <v>712.29253270880861</v>
      </c>
      <c r="L3630">
        <v>0</v>
      </c>
      <c r="M3630" t="s">
        <v>69</v>
      </c>
    </row>
    <row r="3631" spans="1:13" x14ac:dyDescent="0.3">
      <c r="A3631" t="s">
        <v>19</v>
      </c>
      <c r="B3631" t="s">
        <v>46</v>
      </c>
      <c r="C3631">
        <v>18.255617188050049</v>
      </c>
      <c r="D3631">
        <v>0</v>
      </c>
      <c r="E3631">
        <v>1.0874352339146669</v>
      </c>
      <c r="F3631">
        <v>3.2712431541783409</v>
      </c>
      <c r="G3631">
        <v>5.157837442292065</v>
      </c>
      <c r="H3631">
        <v>14.90745303719871</v>
      </c>
      <c r="I3631">
        <v>32.403965780812257</v>
      </c>
      <c r="J3631">
        <v>23.77797634675705</v>
      </c>
      <c r="K3631">
        <v>1356.3638982450091</v>
      </c>
      <c r="L3631">
        <v>0</v>
      </c>
      <c r="M3631" t="s">
        <v>69</v>
      </c>
    </row>
    <row r="3632" spans="1:13" x14ac:dyDescent="0.3">
      <c r="A3632" t="s">
        <v>19</v>
      </c>
      <c r="B3632" t="s">
        <v>48</v>
      </c>
      <c r="C3632">
        <v>33.201962819232413</v>
      </c>
      <c r="D3632">
        <v>0.9529690564888873</v>
      </c>
      <c r="E3632">
        <v>2.2171196299970939</v>
      </c>
      <c r="F3632">
        <v>6.5740489799008301</v>
      </c>
      <c r="G3632">
        <v>5.9960410131077007</v>
      </c>
      <c r="H3632">
        <v>23.49147184415602</v>
      </c>
      <c r="I3632">
        <v>31.99862197625448</v>
      </c>
      <c r="J3632">
        <v>25.59837520081572</v>
      </c>
      <c r="K3632">
        <v>1177.0288757332639</v>
      </c>
      <c r="L3632">
        <v>0</v>
      </c>
      <c r="M3632" t="s">
        <v>69</v>
      </c>
    </row>
    <row r="3633" spans="1:13" x14ac:dyDescent="0.3">
      <c r="A3633" t="s">
        <v>25</v>
      </c>
      <c r="B3633" t="s">
        <v>62</v>
      </c>
      <c r="C3633">
        <v>57.860011086668152</v>
      </c>
      <c r="D3633">
        <v>2.9736983547839979</v>
      </c>
      <c r="E3633">
        <v>4.0600505325663034</v>
      </c>
      <c r="F3633">
        <v>9.4831088515115525</v>
      </c>
      <c r="G3633">
        <v>6.3408800776425238</v>
      </c>
      <c r="H3633">
        <v>19.314134059953531</v>
      </c>
      <c r="I3633">
        <v>34.526077809471623</v>
      </c>
      <c r="J3633">
        <v>25.926512771446419</v>
      </c>
      <c r="K3633">
        <v>1204.627483523564</v>
      </c>
      <c r="L3633">
        <v>0</v>
      </c>
      <c r="M3633" t="s">
        <v>69</v>
      </c>
    </row>
    <row r="3634" spans="1:13" x14ac:dyDescent="0.3">
      <c r="A3634" t="s">
        <v>25</v>
      </c>
      <c r="B3634" t="s">
        <v>62</v>
      </c>
      <c r="C3634">
        <v>257.81540957804418</v>
      </c>
      <c r="D3634">
        <v>18.995174569750901</v>
      </c>
      <c r="E3634">
        <v>26.16068225195599</v>
      </c>
      <c r="F3634">
        <v>60.777105681382281</v>
      </c>
      <c r="G3634">
        <v>4.3971834740437501</v>
      </c>
      <c r="H3634">
        <v>72.639715841861573</v>
      </c>
      <c r="I3634">
        <v>29.357818889854531</v>
      </c>
      <c r="J3634">
        <v>23.99381758911025</v>
      </c>
      <c r="K3634">
        <v>711.28281605342079</v>
      </c>
      <c r="L3634">
        <v>0</v>
      </c>
      <c r="M3634" t="s">
        <v>69</v>
      </c>
    </row>
    <row r="3635" spans="1:13" x14ac:dyDescent="0.3">
      <c r="A3635" t="s">
        <v>24</v>
      </c>
      <c r="B3635" t="s">
        <v>58</v>
      </c>
      <c r="C3635">
        <v>28.420456692037181</v>
      </c>
      <c r="D3635">
        <v>1.0538189968586369</v>
      </c>
      <c r="E3635">
        <v>2.1336707139309499</v>
      </c>
      <c r="F3635">
        <v>4.1559112387557624</v>
      </c>
      <c r="G3635">
        <v>7.2391310630960666</v>
      </c>
      <c r="H3635">
        <v>32.908350554030747</v>
      </c>
      <c r="I3635">
        <v>25.755175646504689</v>
      </c>
      <c r="J3635">
        <v>23.24714085711949</v>
      </c>
      <c r="K3635">
        <v>735.29336806797971</v>
      </c>
      <c r="L3635">
        <v>0</v>
      </c>
      <c r="M3635" t="s">
        <v>69</v>
      </c>
    </row>
    <row r="3636" spans="1:13" x14ac:dyDescent="0.3">
      <c r="A3636" t="s">
        <v>19</v>
      </c>
      <c r="B3636" t="s">
        <v>48</v>
      </c>
      <c r="C3636">
        <v>32.957348938014768</v>
      </c>
      <c r="D3636">
        <v>0.94246318010855878</v>
      </c>
      <c r="E3636">
        <v>2.2031372646355991</v>
      </c>
      <c r="F3636">
        <v>6.5878498279633231</v>
      </c>
      <c r="G3636">
        <v>6.0023087362149532</v>
      </c>
      <c r="H3636">
        <v>23.730863171632969</v>
      </c>
      <c r="I3636">
        <v>32.006447591452527</v>
      </c>
      <c r="J3636">
        <v>25.624673344742732</v>
      </c>
      <c r="K3636">
        <v>1181.1557359330361</v>
      </c>
      <c r="L3636">
        <v>0</v>
      </c>
      <c r="M3636" t="s">
        <v>69</v>
      </c>
    </row>
    <row r="3637" spans="1:13" x14ac:dyDescent="0.3">
      <c r="A3637" t="s">
        <v>24</v>
      </c>
      <c r="B3637" t="s">
        <v>58</v>
      </c>
      <c r="C3637">
        <v>29.660363655066231</v>
      </c>
      <c r="D3637">
        <v>1.048803724833536</v>
      </c>
      <c r="E3637">
        <v>1.944173895700289</v>
      </c>
      <c r="F3637">
        <v>3.9610897928569759</v>
      </c>
      <c r="G3637">
        <v>6.9203340789962517</v>
      </c>
      <c r="H3637">
        <v>33.256070372232791</v>
      </c>
      <c r="I3637">
        <v>25.020720422053891</v>
      </c>
      <c r="J3637">
        <v>23.368928804275662</v>
      </c>
      <c r="K3637">
        <v>727.9991842060158</v>
      </c>
      <c r="L3637">
        <v>0</v>
      </c>
      <c r="M3637" t="s">
        <v>69</v>
      </c>
    </row>
    <row r="3638" spans="1:13" x14ac:dyDescent="0.3">
      <c r="A3638" t="s">
        <v>24</v>
      </c>
      <c r="B3638" t="s">
        <v>58</v>
      </c>
      <c r="C3638">
        <v>28.296427473314111</v>
      </c>
      <c r="D3638">
        <v>0.94897392889729115</v>
      </c>
      <c r="E3638">
        <v>2.175686190991529</v>
      </c>
      <c r="F3638">
        <v>3.8805780054531449</v>
      </c>
      <c r="G3638">
        <v>6.8953267763281767</v>
      </c>
      <c r="H3638">
        <v>34.098731195027689</v>
      </c>
      <c r="I3638">
        <v>26.32308059339984</v>
      </c>
      <c r="J3638">
        <v>22.42943753003841</v>
      </c>
      <c r="K3638">
        <v>747.57093213311998</v>
      </c>
      <c r="L3638">
        <v>0</v>
      </c>
      <c r="M3638" t="s">
        <v>69</v>
      </c>
    </row>
    <row r="3639" spans="1:13" x14ac:dyDescent="0.3">
      <c r="A3639" t="s">
        <v>25</v>
      </c>
      <c r="B3639" t="s">
        <v>62</v>
      </c>
      <c r="C3639">
        <v>25.791920176775349</v>
      </c>
      <c r="D3639">
        <v>1.028731862527545</v>
      </c>
      <c r="E3639">
        <v>1.001395454622537</v>
      </c>
      <c r="F3639">
        <v>2.8246504817469482</v>
      </c>
      <c r="G3639">
        <v>6.2781435407199666</v>
      </c>
      <c r="H3639">
        <v>66.579938866924948</v>
      </c>
      <c r="I3639">
        <v>20.83217778922354</v>
      </c>
      <c r="J3639">
        <v>22.936018517875588</v>
      </c>
      <c r="K3639">
        <v>1215.8393756515241</v>
      </c>
      <c r="L3639">
        <v>0</v>
      </c>
      <c r="M3639" t="s">
        <v>69</v>
      </c>
    </row>
    <row r="3640" spans="1:13" x14ac:dyDescent="0.3">
      <c r="A3640" t="s">
        <v>25</v>
      </c>
      <c r="B3640" t="s">
        <v>62</v>
      </c>
      <c r="C3640">
        <v>269.51911309442238</v>
      </c>
      <c r="D3640">
        <v>19.895843602359879</v>
      </c>
      <c r="E3640">
        <v>29.12410322303786</v>
      </c>
      <c r="F3640">
        <v>56.381861584855912</v>
      </c>
      <c r="G3640">
        <v>4.5548664521197093</v>
      </c>
      <c r="H3640">
        <v>79.274577235952705</v>
      </c>
      <c r="I3640">
        <v>30.786499480663299</v>
      </c>
      <c r="J3640">
        <v>23.920697105505869</v>
      </c>
      <c r="K3640">
        <v>712.96711357958759</v>
      </c>
      <c r="L3640">
        <v>0</v>
      </c>
      <c r="M3640" t="s">
        <v>69</v>
      </c>
    </row>
    <row r="3641" spans="1:13" x14ac:dyDescent="0.3">
      <c r="A3641" t="s">
        <v>19</v>
      </c>
      <c r="B3641" t="s">
        <v>46</v>
      </c>
      <c r="C3641">
        <v>17.913845112588451</v>
      </c>
      <c r="D3641">
        <v>0</v>
      </c>
      <c r="E3641">
        <v>1.1199748871719239</v>
      </c>
      <c r="F3641">
        <v>3.47625131561372</v>
      </c>
      <c r="G3641">
        <v>5.2211534063614904</v>
      </c>
      <c r="H3641">
        <v>14.77800703012737</v>
      </c>
      <c r="I3641">
        <v>31.0093358350268</v>
      </c>
      <c r="J3641">
        <v>24.482964682323779</v>
      </c>
      <c r="K3641">
        <v>1357.2867757729371</v>
      </c>
      <c r="L3641">
        <v>0</v>
      </c>
      <c r="M3641" t="s">
        <v>69</v>
      </c>
    </row>
    <row r="3642" spans="1:13" x14ac:dyDescent="0.3">
      <c r="A3642" t="s">
        <v>19</v>
      </c>
      <c r="B3642" t="s">
        <v>44</v>
      </c>
      <c r="C3642">
        <v>20.483164125103091</v>
      </c>
      <c r="D3642">
        <v>0.9940943656963781</v>
      </c>
      <c r="E3642">
        <v>1.056677388443154</v>
      </c>
      <c r="F3642">
        <v>2.9435658364508188</v>
      </c>
      <c r="G3642">
        <v>6.1807071295960156</v>
      </c>
      <c r="H3642">
        <v>15.533650805751339</v>
      </c>
      <c r="I3642">
        <v>25.915195355113351</v>
      </c>
      <c r="J3642">
        <v>24.09071541636882</v>
      </c>
      <c r="K3642">
        <v>1323.943037823838</v>
      </c>
      <c r="L3642">
        <v>0</v>
      </c>
      <c r="M3642" t="s">
        <v>69</v>
      </c>
    </row>
    <row r="3643" spans="1:13" x14ac:dyDescent="0.3">
      <c r="A3643" t="s">
        <v>20</v>
      </c>
      <c r="B3643" t="s">
        <v>49</v>
      </c>
      <c r="C3643">
        <v>44.377193840518252</v>
      </c>
      <c r="D3643">
        <v>2.0307505934198349</v>
      </c>
      <c r="E3643">
        <v>2.8881497493719999</v>
      </c>
      <c r="F3643">
        <v>6.0192578359634261</v>
      </c>
      <c r="G3643">
        <v>5.4871738388761182</v>
      </c>
      <c r="H3643">
        <v>19.814595163577859</v>
      </c>
      <c r="I3643">
        <v>32.320467221043231</v>
      </c>
      <c r="J3643">
        <v>25.801550569286341</v>
      </c>
      <c r="K3643">
        <v>1159.266898824952</v>
      </c>
      <c r="L3643">
        <v>0</v>
      </c>
      <c r="M3643" t="s">
        <v>69</v>
      </c>
    </row>
    <row r="3644" spans="1:13" x14ac:dyDescent="0.3">
      <c r="A3644" t="s">
        <v>19</v>
      </c>
      <c r="B3644" t="s">
        <v>48</v>
      </c>
      <c r="C3644">
        <v>51.105681240031593</v>
      </c>
      <c r="D3644">
        <v>2.36793952627254</v>
      </c>
      <c r="E3644">
        <v>3.600048080284874</v>
      </c>
      <c r="F3644">
        <v>8.167073838367207</v>
      </c>
      <c r="G3644">
        <v>6.296484050537285</v>
      </c>
      <c r="H3644">
        <v>19.992092521069502</v>
      </c>
      <c r="I3644">
        <v>33.226085679780127</v>
      </c>
      <c r="J3644">
        <v>26.226804697525811</v>
      </c>
      <c r="K3644">
        <v>1167.391856110223</v>
      </c>
      <c r="L3644">
        <v>0</v>
      </c>
      <c r="M3644" t="s">
        <v>69</v>
      </c>
    </row>
    <row r="3645" spans="1:13" x14ac:dyDescent="0.3">
      <c r="A3645" t="s">
        <v>24</v>
      </c>
      <c r="B3645" t="s">
        <v>59</v>
      </c>
      <c r="C3645">
        <v>59.989821582140181</v>
      </c>
      <c r="D3645">
        <v>2.2113911176523091</v>
      </c>
      <c r="E3645">
        <v>3.7532424882640631</v>
      </c>
      <c r="F3645">
        <v>8.5316072796382016</v>
      </c>
      <c r="G3645">
        <v>6.6200082274844458</v>
      </c>
      <c r="H3645">
        <v>55.628721071646751</v>
      </c>
      <c r="I3645">
        <v>26.953062965445671</v>
      </c>
      <c r="J3645">
        <v>23.53267053662249</v>
      </c>
      <c r="K3645">
        <v>736.95422453810011</v>
      </c>
      <c r="L3645">
        <v>0</v>
      </c>
      <c r="M3645" t="s">
        <v>69</v>
      </c>
    </row>
    <row r="3646" spans="1:13" x14ac:dyDescent="0.3">
      <c r="A3646" t="s">
        <v>24</v>
      </c>
      <c r="B3646" t="s">
        <v>57</v>
      </c>
      <c r="C3646">
        <v>7.7087769844817444</v>
      </c>
      <c r="D3646">
        <v>0</v>
      </c>
      <c r="E3646">
        <v>0</v>
      </c>
      <c r="F3646">
        <v>1.1148163821485999</v>
      </c>
      <c r="G3646">
        <v>6.0508633925866571</v>
      </c>
      <c r="H3646">
        <v>37.873085718355107</v>
      </c>
      <c r="I3646">
        <v>23.157156862887</v>
      </c>
      <c r="J3646">
        <v>23.559515751359012</v>
      </c>
      <c r="K3646">
        <v>726.27585434341108</v>
      </c>
      <c r="L3646">
        <v>0</v>
      </c>
      <c r="M3646" t="s">
        <v>69</v>
      </c>
    </row>
    <row r="3647" spans="1:13" x14ac:dyDescent="0.3">
      <c r="A3647" t="s">
        <v>24</v>
      </c>
      <c r="B3647" t="s">
        <v>58</v>
      </c>
      <c r="C3647">
        <v>33.630515357392063</v>
      </c>
      <c r="D3647">
        <v>1.066584469178222</v>
      </c>
      <c r="E3647">
        <v>2.1919269777082619</v>
      </c>
      <c r="F3647">
        <v>5.0394488017509724</v>
      </c>
      <c r="G3647">
        <v>7.0859570149994431</v>
      </c>
      <c r="H3647">
        <v>56.068198075342323</v>
      </c>
      <c r="I3647">
        <v>23.79383942481909</v>
      </c>
      <c r="J3647">
        <v>22.712311546807118</v>
      </c>
      <c r="K3647">
        <v>721.70558519768269</v>
      </c>
      <c r="L3647">
        <v>0</v>
      </c>
      <c r="M3647" t="s">
        <v>69</v>
      </c>
    </row>
    <row r="3648" spans="1:13" x14ac:dyDescent="0.3">
      <c r="A3648" t="s">
        <v>19</v>
      </c>
      <c r="B3648" t="s">
        <v>48</v>
      </c>
      <c r="C3648">
        <v>29.880011386488309</v>
      </c>
      <c r="D3648">
        <v>1.056269839088035</v>
      </c>
      <c r="E3648">
        <v>1.9615584297123869</v>
      </c>
      <c r="F3648">
        <v>6.0985383299773659</v>
      </c>
      <c r="G3648">
        <v>5.942797491864475</v>
      </c>
      <c r="H3648">
        <v>21.633567915930922</v>
      </c>
      <c r="I3648">
        <v>32.637661689847313</v>
      </c>
      <c r="J3648">
        <v>27.378426763809099</v>
      </c>
      <c r="K3648">
        <v>1175.023405379447</v>
      </c>
      <c r="L3648">
        <v>0</v>
      </c>
      <c r="M3648" t="s">
        <v>69</v>
      </c>
    </row>
    <row r="3649" spans="1:13" x14ac:dyDescent="0.3">
      <c r="A3649" t="s">
        <v>19</v>
      </c>
      <c r="B3649" t="s">
        <v>48</v>
      </c>
      <c r="C3649">
        <v>28.81332862864571</v>
      </c>
      <c r="D3649">
        <v>1.022834856514202</v>
      </c>
      <c r="E3649">
        <v>1.1207236133357721</v>
      </c>
      <c r="F3649">
        <v>4.5993895872243247</v>
      </c>
      <c r="G3649">
        <v>6.0170528796225629</v>
      </c>
      <c r="H3649">
        <v>16.24806895383729</v>
      </c>
      <c r="I3649">
        <v>30.668062642626161</v>
      </c>
      <c r="J3649">
        <v>25.992246381941321</v>
      </c>
      <c r="K3649">
        <v>1172.8691140175099</v>
      </c>
      <c r="L3649">
        <v>0</v>
      </c>
      <c r="M3649" t="s">
        <v>69</v>
      </c>
    </row>
    <row r="3650" spans="1:13" x14ac:dyDescent="0.3">
      <c r="A3650" t="s">
        <v>24</v>
      </c>
      <c r="B3650" t="s">
        <v>59</v>
      </c>
      <c r="C3650">
        <v>59.450326096190913</v>
      </c>
      <c r="D3650">
        <v>1.93511632131808</v>
      </c>
      <c r="E3650">
        <v>3.9996986753361918</v>
      </c>
      <c r="F3650">
        <v>9.8469804144347872</v>
      </c>
      <c r="G3650">
        <v>6.6466060826176978</v>
      </c>
      <c r="H3650">
        <v>57.752425556744598</v>
      </c>
      <c r="I3650">
        <v>26.911201127324681</v>
      </c>
      <c r="J3650">
        <v>23.587063128478121</v>
      </c>
      <c r="K3650">
        <v>727.50612893955406</v>
      </c>
      <c r="L3650">
        <v>0</v>
      </c>
      <c r="M3650" t="s">
        <v>69</v>
      </c>
    </row>
    <row r="3651" spans="1:13" x14ac:dyDescent="0.3">
      <c r="A3651" t="s">
        <v>24</v>
      </c>
      <c r="B3651" t="s">
        <v>58</v>
      </c>
      <c r="C3651">
        <v>37.658800962594391</v>
      </c>
      <c r="D3651">
        <v>1.2936276515853751</v>
      </c>
      <c r="E3651">
        <v>2.291608178582726</v>
      </c>
      <c r="F3651">
        <v>5.2220067714129339</v>
      </c>
      <c r="G3651">
        <v>6.5650515893860799</v>
      </c>
      <c r="H3651">
        <v>56.631362664890887</v>
      </c>
      <c r="I3651">
        <v>26.354184708101371</v>
      </c>
      <c r="J3651">
        <v>22.254485362348088</v>
      </c>
      <c r="K3651">
        <v>713.23302985402654</v>
      </c>
      <c r="L3651">
        <v>0</v>
      </c>
      <c r="M3651" t="s">
        <v>69</v>
      </c>
    </row>
    <row r="3652" spans="1:13" x14ac:dyDescent="0.3">
      <c r="A3652" t="s">
        <v>19</v>
      </c>
      <c r="B3652" t="s">
        <v>48</v>
      </c>
      <c r="C3652">
        <v>29.35916061871318</v>
      </c>
      <c r="D3652">
        <v>0.95590378573429868</v>
      </c>
      <c r="E3652">
        <v>2.021642919291343</v>
      </c>
      <c r="F3652">
        <v>5.3065132736519747</v>
      </c>
      <c r="G3652">
        <v>5.9925415318091453</v>
      </c>
      <c r="H3652">
        <v>23.960095990621578</v>
      </c>
      <c r="I3652">
        <v>31.780156700097869</v>
      </c>
      <c r="J3652">
        <v>25.91172534135562</v>
      </c>
      <c r="K3652">
        <v>1177.690080784454</v>
      </c>
      <c r="L3652">
        <v>0</v>
      </c>
      <c r="M3652" t="s">
        <v>69</v>
      </c>
    </row>
    <row r="3653" spans="1:13" x14ac:dyDescent="0.3">
      <c r="A3653" t="s">
        <v>19</v>
      </c>
      <c r="B3653" t="s">
        <v>48</v>
      </c>
      <c r="C3653">
        <v>28.737136729374601</v>
      </c>
      <c r="D3653">
        <v>0.99852160751729224</v>
      </c>
      <c r="E3653">
        <v>0.99149558364734869</v>
      </c>
      <c r="F3653">
        <v>3.7630461939177908</v>
      </c>
      <c r="G3653">
        <v>6.0522184336454554</v>
      </c>
      <c r="H3653">
        <v>15.72452322417625</v>
      </c>
      <c r="I3653">
        <v>29.690757184698668</v>
      </c>
      <c r="J3653">
        <v>25.531415516599441</v>
      </c>
      <c r="K3653">
        <v>1169.7631111432611</v>
      </c>
      <c r="L3653">
        <v>0</v>
      </c>
      <c r="M3653" t="s">
        <v>69</v>
      </c>
    </row>
    <row r="3654" spans="1:13" x14ac:dyDescent="0.3">
      <c r="A3654" t="s">
        <v>19</v>
      </c>
      <c r="B3654" t="s">
        <v>48</v>
      </c>
      <c r="C3654">
        <v>30.655793674963508</v>
      </c>
      <c r="D3654">
        <v>1.0424724631576641</v>
      </c>
      <c r="E3654">
        <v>2.1630803273570001</v>
      </c>
      <c r="F3654">
        <v>6.6633378997962591</v>
      </c>
      <c r="G3654">
        <v>6.0220495937478544</v>
      </c>
      <c r="H3654">
        <v>22.411729175646411</v>
      </c>
      <c r="I3654">
        <v>34.411420718780867</v>
      </c>
      <c r="J3654">
        <v>24.886995954731351</v>
      </c>
      <c r="K3654">
        <v>1183.653366207395</v>
      </c>
      <c r="L3654">
        <v>0</v>
      </c>
      <c r="M3654" t="s">
        <v>69</v>
      </c>
    </row>
    <row r="3655" spans="1:13" x14ac:dyDescent="0.3">
      <c r="A3655" t="s">
        <v>19</v>
      </c>
      <c r="B3655" t="s">
        <v>48</v>
      </c>
      <c r="C3655">
        <v>44.258152666167859</v>
      </c>
      <c r="D3655">
        <v>2.1436199593483249</v>
      </c>
      <c r="E3655">
        <v>2.83616746737184</v>
      </c>
      <c r="F3655">
        <v>5.6138170263786797</v>
      </c>
      <c r="G3655">
        <v>5.5504582883143252</v>
      </c>
      <c r="H3655">
        <v>20.252135009476419</v>
      </c>
      <c r="I3655">
        <v>31.4072389376948</v>
      </c>
      <c r="J3655">
        <v>25.76440716851334</v>
      </c>
      <c r="K3655">
        <v>1168.0742202811141</v>
      </c>
      <c r="L3655">
        <v>0</v>
      </c>
      <c r="M3655" t="s">
        <v>69</v>
      </c>
    </row>
    <row r="3656" spans="1:13" x14ac:dyDescent="0.3">
      <c r="A3656" t="s">
        <v>25</v>
      </c>
      <c r="B3656" t="s">
        <v>62</v>
      </c>
      <c r="C3656">
        <v>572.98218220538695</v>
      </c>
      <c r="D3656">
        <v>29.331025482622081</v>
      </c>
      <c r="E3656">
        <v>41.504279876935243</v>
      </c>
      <c r="F3656">
        <v>94.970663997267536</v>
      </c>
      <c r="G3656">
        <v>4.5344004733707317</v>
      </c>
      <c r="H3656">
        <v>88.4</v>
      </c>
      <c r="I3656">
        <v>27.602664190810231</v>
      </c>
      <c r="J3656">
        <v>24.079467712373621</v>
      </c>
      <c r="K3656">
        <v>709.03540836143623</v>
      </c>
      <c r="L3656">
        <v>0</v>
      </c>
      <c r="M3656" t="s">
        <v>69</v>
      </c>
    </row>
    <row r="3657" spans="1:13" x14ac:dyDescent="0.3">
      <c r="A3657" t="s">
        <v>19</v>
      </c>
      <c r="B3657" t="s">
        <v>48</v>
      </c>
      <c r="C3657">
        <v>33.294819268618227</v>
      </c>
      <c r="D3657">
        <v>0.94541410271920423</v>
      </c>
      <c r="E3657">
        <v>2.232503584532084</v>
      </c>
      <c r="F3657">
        <v>6.6288731107566967</v>
      </c>
      <c r="G3657">
        <v>5.9967422025513839</v>
      </c>
      <c r="H3657">
        <v>23.47389817748785</v>
      </c>
      <c r="I3657">
        <v>32.001633087099798</v>
      </c>
      <c r="J3657">
        <v>25.601672440814859</v>
      </c>
      <c r="K3657">
        <v>1179.660037269912</v>
      </c>
      <c r="L3657">
        <v>0</v>
      </c>
      <c r="M3657" t="s">
        <v>69</v>
      </c>
    </row>
    <row r="3658" spans="1:13" x14ac:dyDescent="0.3">
      <c r="A3658" t="s">
        <v>24</v>
      </c>
      <c r="B3658" t="s">
        <v>59</v>
      </c>
      <c r="C3658">
        <v>57.028511092455247</v>
      </c>
      <c r="D3658">
        <v>2.2765831242836159</v>
      </c>
      <c r="E3658">
        <v>3.7658421968889328</v>
      </c>
      <c r="F3658">
        <v>8.167376498187096</v>
      </c>
      <c r="G3658">
        <v>6.7034718799903814</v>
      </c>
      <c r="H3658">
        <v>56.070278874814512</v>
      </c>
      <c r="I3658">
        <v>26.387555589218358</v>
      </c>
      <c r="J3658">
        <v>23.04053015631548</v>
      </c>
      <c r="K3658">
        <v>734.49445091273719</v>
      </c>
      <c r="L3658">
        <v>0</v>
      </c>
      <c r="M3658" t="s">
        <v>69</v>
      </c>
    </row>
    <row r="3659" spans="1:13" x14ac:dyDescent="0.3">
      <c r="A3659" t="s">
        <v>19</v>
      </c>
      <c r="B3659" t="s">
        <v>44</v>
      </c>
      <c r="C3659">
        <v>23.487134387299609</v>
      </c>
      <c r="D3659">
        <v>1.006466885382326</v>
      </c>
      <c r="E3659">
        <v>1.0254719351080179</v>
      </c>
      <c r="F3659">
        <v>3.019099543007977</v>
      </c>
      <c r="G3659">
        <v>6.5247636681255718</v>
      </c>
      <c r="H3659">
        <v>19.612618672281641</v>
      </c>
      <c r="I3659">
        <v>26.879660544365599</v>
      </c>
      <c r="J3659">
        <v>24.015815749767569</v>
      </c>
      <c r="K3659">
        <v>1322.8254857502491</v>
      </c>
      <c r="L3659">
        <v>0</v>
      </c>
      <c r="M3659" t="s">
        <v>69</v>
      </c>
    </row>
    <row r="3660" spans="1:13" x14ac:dyDescent="0.3">
      <c r="A3660" t="s">
        <v>24</v>
      </c>
      <c r="B3660" t="s">
        <v>59</v>
      </c>
      <c r="C3660">
        <v>58.975950298590831</v>
      </c>
      <c r="D3660">
        <v>1.8833724919552539</v>
      </c>
      <c r="E3660">
        <v>3.8605478568783069</v>
      </c>
      <c r="F3660">
        <v>9.434588446821639</v>
      </c>
      <c r="G3660">
        <v>6.6968217068554532</v>
      </c>
      <c r="H3660">
        <v>59.937382709106423</v>
      </c>
      <c r="I3660">
        <v>26.996042103897022</v>
      </c>
      <c r="J3660">
        <v>22.856066083036559</v>
      </c>
      <c r="K3660">
        <v>737.58850068176412</v>
      </c>
      <c r="L3660">
        <v>0</v>
      </c>
      <c r="M3660" t="s">
        <v>69</v>
      </c>
    </row>
    <row r="3661" spans="1:13" x14ac:dyDescent="0.3">
      <c r="A3661" t="s">
        <v>25</v>
      </c>
      <c r="B3661" t="s">
        <v>62</v>
      </c>
      <c r="C3661">
        <v>39.671821448331897</v>
      </c>
      <c r="D3661">
        <v>1.0715843921136581</v>
      </c>
      <c r="E3661">
        <v>1.8846188198597991</v>
      </c>
      <c r="F3661">
        <v>6.7666950725241772</v>
      </c>
      <c r="G3661">
        <v>6.2598560366908149</v>
      </c>
      <c r="H3661">
        <v>17.295999925255899</v>
      </c>
      <c r="I3661">
        <v>31.967544045137281</v>
      </c>
      <c r="J3661">
        <v>25.054167683740239</v>
      </c>
      <c r="K3661">
        <v>1207.056762286629</v>
      </c>
      <c r="L3661">
        <v>0</v>
      </c>
      <c r="M3661" t="s">
        <v>69</v>
      </c>
    </row>
    <row r="3662" spans="1:13" x14ac:dyDescent="0.3">
      <c r="A3662" t="s">
        <v>24</v>
      </c>
      <c r="B3662" t="s">
        <v>59</v>
      </c>
      <c r="C3662">
        <v>57.602090513654211</v>
      </c>
      <c r="D3662">
        <v>1.9448562372422851</v>
      </c>
      <c r="E3662">
        <v>3.8576155859120789</v>
      </c>
      <c r="F3662">
        <v>9.078664164783774</v>
      </c>
      <c r="G3662">
        <v>6.6817903493614192</v>
      </c>
      <c r="H3662">
        <v>58.589814550904507</v>
      </c>
      <c r="I3662">
        <v>26.07196261673219</v>
      </c>
      <c r="J3662">
        <v>22.964709006457721</v>
      </c>
      <c r="K3662">
        <v>739.92362341241255</v>
      </c>
      <c r="L3662">
        <v>0</v>
      </c>
      <c r="M3662" t="s">
        <v>69</v>
      </c>
    </row>
    <row r="3663" spans="1:13" x14ac:dyDescent="0.3">
      <c r="A3663" t="s">
        <v>20</v>
      </c>
      <c r="B3663" t="s">
        <v>49</v>
      </c>
      <c r="C3663">
        <v>44.365889032259162</v>
      </c>
      <c r="D3663">
        <v>1.673109358519125</v>
      </c>
      <c r="E3663">
        <v>3.295291272381824</v>
      </c>
      <c r="F3663">
        <v>6.4513082906057404</v>
      </c>
      <c r="G3663">
        <v>6.122306737156757</v>
      </c>
      <c r="H3663">
        <v>20.554845636451301</v>
      </c>
      <c r="I3663">
        <v>32.155077762144927</v>
      </c>
      <c r="J3663">
        <v>26.597069336935171</v>
      </c>
      <c r="K3663">
        <v>1148.240563614414</v>
      </c>
      <c r="L3663">
        <v>0</v>
      </c>
      <c r="M3663" t="s">
        <v>69</v>
      </c>
    </row>
    <row r="3664" spans="1:13" x14ac:dyDescent="0.3">
      <c r="A3664" t="s">
        <v>21</v>
      </c>
      <c r="B3664" t="s">
        <v>52</v>
      </c>
      <c r="C3664">
        <v>137.05518079719289</v>
      </c>
      <c r="D3664">
        <v>5.8051493994811896</v>
      </c>
      <c r="E3664">
        <v>9.0693250509760954</v>
      </c>
      <c r="F3664">
        <v>21.305581579141801</v>
      </c>
      <c r="G3664">
        <v>5.5122343391674216</v>
      </c>
      <c r="H3664">
        <v>55.998332180456728</v>
      </c>
      <c r="I3664">
        <v>27.999310753705021</v>
      </c>
      <c r="J3664">
        <v>24.937637224513711</v>
      </c>
      <c r="K3664">
        <v>744.58872256958512</v>
      </c>
      <c r="L3664">
        <v>0</v>
      </c>
      <c r="M3664" t="s">
        <v>69</v>
      </c>
    </row>
    <row r="3665" spans="1:13" x14ac:dyDescent="0.3">
      <c r="A3665" t="s">
        <v>24</v>
      </c>
      <c r="B3665" t="s">
        <v>57</v>
      </c>
      <c r="C3665">
        <v>48.159865975363573</v>
      </c>
      <c r="D3665">
        <v>1.70567596511575</v>
      </c>
      <c r="E3665">
        <v>2.5478233369463958</v>
      </c>
      <c r="F3665">
        <v>7.2123249438185724</v>
      </c>
      <c r="G3665">
        <v>5.5751787649740203</v>
      </c>
      <c r="H3665">
        <v>48.643383399699893</v>
      </c>
      <c r="I3665">
        <v>22.735028337878351</v>
      </c>
      <c r="J3665">
        <v>23.451958003868171</v>
      </c>
      <c r="K3665">
        <v>815.87719963114171</v>
      </c>
      <c r="L3665">
        <v>0</v>
      </c>
      <c r="M3665" t="s">
        <v>69</v>
      </c>
    </row>
    <row r="3666" spans="1:13" x14ac:dyDescent="0.3">
      <c r="A3666" t="s">
        <v>19</v>
      </c>
      <c r="B3666" t="s">
        <v>48</v>
      </c>
      <c r="C3666">
        <v>44.122059109707713</v>
      </c>
      <c r="D3666">
        <v>1.958022467970947</v>
      </c>
      <c r="E3666">
        <v>3.0250254654712041</v>
      </c>
      <c r="F3666">
        <v>7.0156262060600794</v>
      </c>
      <c r="G3666">
        <v>6.0948941416907454</v>
      </c>
      <c r="H3666">
        <v>19.97149833904734</v>
      </c>
      <c r="I3666">
        <v>32.011057181037337</v>
      </c>
      <c r="J3666">
        <v>25.8836938847999</v>
      </c>
      <c r="K3666">
        <v>1166.369705312605</v>
      </c>
      <c r="L3666">
        <v>0</v>
      </c>
      <c r="M3666" t="s">
        <v>69</v>
      </c>
    </row>
    <row r="3667" spans="1:13" x14ac:dyDescent="0.3">
      <c r="A3667" t="s">
        <v>20</v>
      </c>
      <c r="B3667" t="s">
        <v>49</v>
      </c>
      <c r="C3667">
        <v>45.40768428833217</v>
      </c>
      <c r="D3667">
        <v>1.952094723583812</v>
      </c>
      <c r="E3667">
        <v>2.887744541101438</v>
      </c>
      <c r="F3667">
        <v>6.8445877744407104</v>
      </c>
      <c r="G3667">
        <v>5.5097457797645966</v>
      </c>
      <c r="H3667">
        <v>19.857044124883441</v>
      </c>
      <c r="I3667">
        <v>32.883698596718077</v>
      </c>
      <c r="J3667">
        <v>25.378068543146</v>
      </c>
      <c r="K3667">
        <v>1122.126344336652</v>
      </c>
      <c r="L3667">
        <v>0</v>
      </c>
      <c r="M3667" t="s">
        <v>69</v>
      </c>
    </row>
    <row r="3668" spans="1:13" x14ac:dyDescent="0.3">
      <c r="A3668" t="s">
        <v>19</v>
      </c>
      <c r="B3668" t="s">
        <v>48</v>
      </c>
      <c r="C3668">
        <v>59.000202968547178</v>
      </c>
      <c r="D3668">
        <v>3.105657999604535</v>
      </c>
      <c r="E3668">
        <v>3.2693445785678499</v>
      </c>
      <c r="F3668">
        <v>10.8271411492025</v>
      </c>
      <c r="G3668">
        <v>6.2168151016912327</v>
      </c>
      <c r="H3668">
        <v>17.930179794075968</v>
      </c>
      <c r="I3668">
        <v>33.94344325889729</v>
      </c>
      <c r="J3668">
        <v>27.904429979394671</v>
      </c>
      <c r="K3668">
        <v>1187.4191842688419</v>
      </c>
      <c r="L3668">
        <v>0</v>
      </c>
      <c r="M3668" t="s">
        <v>69</v>
      </c>
    </row>
    <row r="3669" spans="1:13" x14ac:dyDescent="0.3">
      <c r="A3669" t="s">
        <v>20</v>
      </c>
      <c r="B3669" t="s">
        <v>49</v>
      </c>
      <c r="C3669">
        <v>35.11861688494934</v>
      </c>
      <c r="D3669">
        <v>0.78949976541166045</v>
      </c>
      <c r="E3669">
        <v>1.311547768413718</v>
      </c>
      <c r="F3669">
        <v>4.963724553730076</v>
      </c>
      <c r="G3669">
        <v>6.068224033250174</v>
      </c>
      <c r="H3669">
        <v>16.734536755150319</v>
      </c>
      <c r="I3669">
        <v>32.018882061577628</v>
      </c>
      <c r="J3669">
        <v>24.969439524028122</v>
      </c>
      <c r="K3669">
        <v>1160.700334717711</v>
      </c>
      <c r="L3669">
        <v>0</v>
      </c>
      <c r="M3669" t="s">
        <v>69</v>
      </c>
    </row>
    <row r="3670" spans="1:13" x14ac:dyDescent="0.3">
      <c r="A3670" t="s">
        <v>19</v>
      </c>
      <c r="B3670" t="s">
        <v>48</v>
      </c>
      <c r="C3670">
        <v>40.605268023930492</v>
      </c>
      <c r="D3670">
        <v>1.8670820627787501</v>
      </c>
      <c r="E3670">
        <v>1.9936298478611909</v>
      </c>
      <c r="F3670">
        <v>6.3685070855820776</v>
      </c>
      <c r="G3670">
        <v>6.200052870495333</v>
      </c>
      <c r="H3670">
        <v>16.9606309096831</v>
      </c>
      <c r="I3670">
        <v>32.660330305898157</v>
      </c>
      <c r="J3670">
        <v>26.262388137741279</v>
      </c>
      <c r="K3670">
        <v>1141.732911677758</v>
      </c>
      <c r="L3670">
        <v>0</v>
      </c>
      <c r="M3670" t="s">
        <v>69</v>
      </c>
    </row>
    <row r="3671" spans="1:13" x14ac:dyDescent="0.3">
      <c r="A3671" t="s">
        <v>24</v>
      </c>
      <c r="B3671" t="s">
        <v>58</v>
      </c>
      <c r="C3671">
        <v>35.235166222424191</v>
      </c>
      <c r="D3671">
        <v>1.0247469356648871</v>
      </c>
      <c r="E3671">
        <v>1.947935091887556</v>
      </c>
      <c r="F3671">
        <v>5.0601413440744878</v>
      </c>
      <c r="G3671">
        <v>6.7653842007557126</v>
      </c>
      <c r="H3671">
        <v>56.836636081844262</v>
      </c>
      <c r="I3671">
        <v>23.647277102444331</v>
      </c>
      <c r="J3671">
        <v>21.739387027297759</v>
      </c>
      <c r="K3671">
        <v>732.28939392897348</v>
      </c>
      <c r="L3671">
        <v>0</v>
      </c>
      <c r="M3671" t="s">
        <v>69</v>
      </c>
    </row>
    <row r="3672" spans="1:13" x14ac:dyDescent="0.3">
      <c r="A3672" t="s">
        <v>24</v>
      </c>
      <c r="B3672" t="s">
        <v>58</v>
      </c>
      <c r="C3672">
        <v>31.662619385133141</v>
      </c>
      <c r="D3672">
        <v>1.035044489197593</v>
      </c>
      <c r="E3672">
        <v>2.3462783147560371</v>
      </c>
      <c r="F3672">
        <v>3.3479666426702188</v>
      </c>
      <c r="G3672">
        <v>6.0890120362965492</v>
      </c>
      <c r="H3672">
        <v>38.101294218138882</v>
      </c>
      <c r="I3672">
        <v>23.312280679498372</v>
      </c>
      <c r="J3672">
        <v>23.773736441468611</v>
      </c>
      <c r="K3672">
        <v>737.41860070243365</v>
      </c>
      <c r="L3672">
        <v>0</v>
      </c>
      <c r="M3672" t="s">
        <v>69</v>
      </c>
    </row>
    <row r="3673" spans="1:13" x14ac:dyDescent="0.3">
      <c r="A3673" t="s">
        <v>24</v>
      </c>
      <c r="B3673" t="s">
        <v>59</v>
      </c>
      <c r="C3673">
        <v>58.445930198163317</v>
      </c>
      <c r="D3673">
        <v>1.943285218814828</v>
      </c>
      <c r="E3673">
        <v>3.9434471215619009</v>
      </c>
      <c r="F3673">
        <v>9.0551939442110871</v>
      </c>
      <c r="G3673">
        <v>6.6363535242902012</v>
      </c>
      <c r="H3673">
        <v>58.227991381540328</v>
      </c>
      <c r="I3673">
        <v>26.743765116452</v>
      </c>
      <c r="J3673">
        <v>23.415466954591921</v>
      </c>
      <c r="K3673">
        <v>725.33919063905046</v>
      </c>
      <c r="L3673">
        <v>0</v>
      </c>
      <c r="M3673" t="s">
        <v>69</v>
      </c>
    </row>
    <row r="3674" spans="1:13" x14ac:dyDescent="0.3">
      <c r="A3674" t="s">
        <v>25</v>
      </c>
      <c r="B3674" t="s">
        <v>62</v>
      </c>
      <c r="C3674">
        <v>30.216608169885689</v>
      </c>
      <c r="D3674">
        <v>0.98429517041135117</v>
      </c>
      <c r="E3674">
        <v>1.9717655207446969</v>
      </c>
      <c r="F3674">
        <v>4.9465660748878832</v>
      </c>
      <c r="G3674">
        <v>6.2921189759203093</v>
      </c>
      <c r="H3674">
        <v>38.488328714755511</v>
      </c>
      <c r="I3674">
        <v>20.682056993617771</v>
      </c>
      <c r="J3674">
        <v>23.87447348854889</v>
      </c>
      <c r="K3674">
        <v>1084.912576631195</v>
      </c>
      <c r="L3674">
        <v>0</v>
      </c>
      <c r="M3674" t="s">
        <v>69</v>
      </c>
    </row>
    <row r="3675" spans="1:13" x14ac:dyDescent="0.3">
      <c r="A3675" t="s">
        <v>25</v>
      </c>
      <c r="B3675" t="s">
        <v>62</v>
      </c>
      <c r="C3675">
        <v>42.13364519604864</v>
      </c>
      <c r="D3675">
        <v>1.9309365160801371</v>
      </c>
      <c r="E3675">
        <v>3.1049356330311619</v>
      </c>
      <c r="F3675">
        <v>6.8415381641202409</v>
      </c>
      <c r="G3675">
        <v>6.1024884460592332</v>
      </c>
      <c r="H3675">
        <v>20.352214781892229</v>
      </c>
      <c r="I3675">
        <v>31.76734410557269</v>
      </c>
      <c r="J3675">
        <v>25.477419564887409</v>
      </c>
      <c r="K3675">
        <v>1195.7931238621511</v>
      </c>
      <c r="L3675">
        <v>0</v>
      </c>
      <c r="M3675" t="s">
        <v>69</v>
      </c>
    </row>
    <row r="3676" spans="1:13" x14ac:dyDescent="0.3">
      <c r="A3676" t="s">
        <v>20</v>
      </c>
      <c r="B3676" t="s">
        <v>49</v>
      </c>
      <c r="C3676">
        <v>42.662086040922517</v>
      </c>
      <c r="D3676">
        <v>2.0748985234906052</v>
      </c>
      <c r="E3676">
        <v>2.7726273209596402</v>
      </c>
      <c r="F3676">
        <v>7.5109226173677728</v>
      </c>
      <c r="G3676">
        <v>6.0905413146193483</v>
      </c>
      <c r="H3676">
        <v>20.711470634987311</v>
      </c>
      <c r="I3676">
        <v>32.86535208540765</v>
      </c>
      <c r="J3676">
        <v>26.5287094164709</v>
      </c>
      <c r="K3676">
        <v>1158.598230086669</v>
      </c>
      <c r="L3676">
        <v>0</v>
      </c>
      <c r="M3676" t="s">
        <v>69</v>
      </c>
    </row>
    <row r="3677" spans="1:13" x14ac:dyDescent="0.3">
      <c r="A3677" t="s">
        <v>19</v>
      </c>
      <c r="B3677" t="s">
        <v>48</v>
      </c>
      <c r="C3677">
        <v>42.289466903601763</v>
      </c>
      <c r="D3677">
        <v>1.7697094727061129</v>
      </c>
      <c r="E3677">
        <v>3.3633361453633541</v>
      </c>
      <c r="F3677">
        <v>5.8766229346287169</v>
      </c>
      <c r="G3677">
        <v>5.610263296131925</v>
      </c>
      <c r="H3677">
        <v>18.940402769697329</v>
      </c>
      <c r="I3677">
        <v>32.680153793157388</v>
      </c>
      <c r="J3677">
        <v>26.523202085601341</v>
      </c>
      <c r="K3677">
        <v>1172.3847657796271</v>
      </c>
      <c r="L3677">
        <v>0</v>
      </c>
      <c r="M3677" t="s">
        <v>69</v>
      </c>
    </row>
    <row r="3678" spans="1:13" x14ac:dyDescent="0.3">
      <c r="A3678" t="s">
        <v>25</v>
      </c>
      <c r="B3678" t="s">
        <v>62</v>
      </c>
      <c r="C3678">
        <v>23.13237216153777</v>
      </c>
      <c r="D3678">
        <v>1.008146514958111</v>
      </c>
      <c r="E3678">
        <v>1.006607190353338</v>
      </c>
      <c r="F3678">
        <v>4.2610341905089868</v>
      </c>
      <c r="G3678">
        <v>5.5490690633980906</v>
      </c>
      <c r="H3678">
        <v>48.275355595261288</v>
      </c>
      <c r="I3678">
        <v>21.205754907232201</v>
      </c>
      <c r="J3678">
        <v>23.46829980054174</v>
      </c>
      <c r="K3678">
        <v>1080.3068551603869</v>
      </c>
      <c r="L3678">
        <v>0</v>
      </c>
      <c r="M3678" t="s">
        <v>69</v>
      </c>
    </row>
    <row r="3679" spans="1:13" x14ac:dyDescent="0.3">
      <c r="A3679" t="s">
        <v>24</v>
      </c>
      <c r="B3679" t="s">
        <v>58</v>
      </c>
      <c r="C3679">
        <v>30.24489417945065</v>
      </c>
      <c r="D3679">
        <v>1.035233289119011</v>
      </c>
      <c r="E3679">
        <v>1.9511660933700239</v>
      </c>
      <c r="F3679">
        <v>3.9801126881664199</v>
      </c>
      <c r="G3679">
        <v>6.9199417706513451</v>
      </c>
      <c r="H3679">
        <v>33.158862935712293</v>
      </c>
      <c r="I3679">
        <v>25.131003269006602</v>
      </c>
      <c r="J3679">
        <v>23.542156802544259</v>
      </c>
      <c r="K3679">
        <v>729.530481437905</v>
      </c>
      <c r="L3679">
        <v>0</v>
      </c>
      <c r="M3679" t="s">
        <v>69</v>
      </c>
    </row>
    <row r="3680" spans="1:13" x14ac:dyDescent="0.3">
      <c r="A3680" t="s">
        <v>24</v>
      </c>
      <c r="B3680" t="s">
        <v>58</v>
      </c>
      <c r="C3680">
        <v>13.19459609201326</v>
      </c>
      <c r="D3680">
        <v>0</v>
      </c>
      <c r="E3680">
        <v>0</v>
      </c>
      <c r="F3680">
        <v>2.3411824770238119</v>
      </c>
      <c r="G3680">
        <v>6.579686099791008</v>
      </c>
      <c r="H3680">
        <v>41.678921750376489</v>
      </c>
      <c r="I3680">
        <v>24.50259199314528</v>
      </c>
      <c r="J3680">
        <v>22.988874854783301</v>
      </c>
      <c r="K3680">
        <v>735.47404877393808</v>
      </c>
      <c r="L3680">
        <v>0</v>
      </c>
      <c r="M3680" t="s">
        <v>69</v>
      </c>
    </row>
    <row r="3681" spans="1:13" x14ac:dyDescent="0.3">
      <c r="A3681" t="s">
        <v>24</v>
      </c>
      <c r="B3681" t="s">
        <v>59</v>
      </c>
      <c r="C3681">
        <v>59.577379475192352</v>
      </c>
      <c r="D3681">
        <v>2.016600690783469</v>
      </c>
      <c r="E3681">
        <v>3.8321768531435341</v>
      </c>
      <c r="F3681">
        <v>8.9586176502764019</v>
      </c>
      <c r="G3681">
        <v>6.6215051386318073</v>
      </c>
      <c r="H3681">
        <v>57.139113812511852</v>
      </c>
      <c r="I3681">
        <v>26.95230297316391</v>
      </c>
      <c r="J3681">
        <v>23.43644481944067</v>
      </c>
      <c r="K3681">
        <v>730.36378747429785</v>
      </c>
      <c r="L3681">
        <v>0</v>
      </c>
      <c r="M3681" t="s">
        <v>69</v>
      </c>
    </row>
    <row r="3682" spans="1:13" x14ac:dyDescent="0.3">
      <c r="A3682" t="s">
        <v>24</v>
      </c>
      <c r="B3682" t="s">
        <v>57</v>
      </c>
      <c r="C3682">
        <v>7.8463349837875711</v>
      </c>
      <c r="D3682">
        <v>0</v>
      </c>
      <c r="E3682">
        <v>0</v>
      </c>
      <c r="F3682">
        <v>1.0734352523239481</v>
      </c>
      <c r="G3682">
        <v>6.0683623969204827</v>
      </c>
      <c r="H3682">
        <v>37.751034088354047</v>
      </c>
      <c r="I3682">
        <v>23.382387860808159</v>
      </c>
      <c r="J3682">
        <v>23.238741728829371</v>
      </c>
      <c r="K3682">
        <v>731.1462234481005</v>
      </c>
      <c r="L3682">
        <v>0</v>
      </c>
      <c r="M3682" t="s">
        <v>69</v>
      </c>
    </row>
    <row r="3683" spans="1:13" x14ac:dyDescent="0.3">
      <c r="A3683" t="s">
        <v>20</v>
      </c>
      <c r="B3683" t="s">
        <v>49</v>
      </c>
      <c r="C3683">
        <v>35.035359681569759</v>
      </c>
      <c r="D3683">
        <v>0.99999878265399289</v>
      </c>
      <c r="E3683">
        <v>1.5947396336377679</v>
      </c>
      <c r="F3683">
        <v>5.4933485330152987</v>
      </c>
      <c r="G3683">
        <v>6.0907856146214208</v>
      </c>
      <c r="H3683">
        <v>16.491385605986419</v>
      </c>
      <c r="I3683">
        <v>30.11185941210017</v>
      </c>
      <c r="J3683">
        <v>26.237028886143499</v>
      </c>
      <c r="K3683">
        <v>1155.9812747900321</v>
      </c>
      <c r="L3683">
        <v>0</v>
      </c>
      <c r="M3683" t="s">
        <v>69</v>
      </c>
    </row>
    <row r="3684" spans="1:13" x14ac:dyDescent="0.3">
      <c r="A3684" t="s">
        <v>19</v>
      </c>
      <c r="B3684" t="s">
        <v>45</v>
      </c>
      <c r="C3684">
        <v>19.755223629604458</v>
      </c>
      <c r="D3684">
        <v>1.025137246325899</v>
      </c>
      <c r="E3684">
        <v>1.0835030158609831</v>
      </c>
      <c r="F3684">
        <v>3.3950655818293298</v>
      </c>
      <c r="G3684">
        <v>6.139415386119099</v>
      </c>
      <c r="H3684">
        <v>18.151015709489741</v>
      </c>
      <c r="I3684">
        <v>31.607007534478441</v>
      </c>
      <c r="J3684">
        <v>24.49594843257259</v>
      </c>
      <c r="K3684">
        <v>1330.315611900983</v>
      </c>
      <c r="L3684">
        <v>0</v>
      </c>
      <c r="M3684" t="s">
        <v>69</v>
      </c>
    </row>
    <row r="3685" spans="1:13" x14ac:dyDescent="0.3">
      <c r="A3685" t="s">
        <v>19</v>
      </c>
      <c r="B3685" t="s">
        <v>44</v>
      </c>
      <c r="C3685">
        <v>21.918432881540529</v>
      </c>
      <c r="D3685">
        <v>0.9720047481873153</v>
      </c>
      <c r="E3685">
        <v>0.9381205274109492</v>
      </c>
      <c r="F3685">
        <v>2.903671130506686</v>
      </c>
      <c r="G3685">
        <v>6.3991746802022602</v>
      </c>
      <c r="H3685">
        <v>18.143195623108461</v>
      </c>
      <c r="I3685">
        <v>26.825067277627468</v>
      </c>
      <c r="J3685">
        <v>23.05964295698184</v>
      </c>
      <c r="K3685">
        <v>1307.7461465051381</v>
      </c>
      <c r="L3685">
        <v>0</v>
      </c>
      <c r="M3685" t="s">
        <v>69</v>
      </c>
    </row>
    <row r="3686" spans="1:13" x14ac:dyDescent="0.3">
      <c r="A3686" t="s">
        <v>25</v>
      </c>
      <c r="B3686" t="s">
        <v>62</v>
      </c>
      <c r="C3686">
        <v>25.26755379495815</v>
      </c>
      <c r="D3686">
        <v>1.263897102421524</v>
      </c>
      <c r="E3686">
        <v>0.96124978467181865</v>
      </c>
      <c r="F3686">
        <v>2.8049534107260481</v>
      </c>
      <c r="G3686">
        <v>6.2415005051244092</v>
      </c>
      <c r="H3686">
        <v>67.003729383404249</v>
      </c>
      <c r="I3686">
        <v>20.461159650212831</v>
      </c>
      <c r="J3686">
        <v>24.47465972427759</v>
      </c>
      <c r="K3686">
        <v>1199.1747690949539</v>
      </c>
      <c r="L3686">
        <v>0</v>
      </c>
      <c r="M3686" t="s">
        <v>69</v>
      </c>
    </row>
    <row r="3687" spans="1:13" x14ac:dyDescent="0.3">
      <c r="A3687" t="s">
        <v>21</v>
      </c>
      <c r="B3687" t="s">
        <v>52</v>
      </c>
      <c r="C3687">
        <v>132.6953757912276</v>
      </c>
      <c r="D3687">
        <v>6.1650853511333183</v>
      </c>
      <c r="E3687">
        <v>9.2473889755192875</v>
      </c>
      <c r="F3687">
        <v>21.76270879939333</v>
      </c>
      <c r="G3687">
        <v>5.6021134462981728</v>
      </c>
      <c r="H3687">
        <v>55.16218843103789</v>
      </c>
      <c r="I3687">
        <v>28.019918953495441</v>
      </c>
      <c r="J3687">
        <v>24.699559733944589</v>
      </c>
      <c r="K3687">
        <v>750.96273683204731</v>
      </c>
      <c r="L3687">
        <v>0</v>
      </c>
      <c r="M3687" t="s">
        <v>69</v>
      </c>
    </row>
    <row r="3688" spans="1:13" x14ac:dyDescent="0.3">
      <c r="A3688" t="s">
        <v>24</v>
      </c>
      <c r="B3688" t="s">
        <v>57</v>
      </c>
      <c r="C3688">
        <v>7.1562324909776436</v>
      </c>
      <c r="D3688">
        <v>0</v>
      </c>
      <c r="E3688">
        <v>0</v>
      </c>
      <c r="F3688">
        <v>1.0434465628169369</v>
      </c>
      <c r="G3688">
        <v>5.9548848262957206</v>
      </c>
      <c r="H3688">
        <v>38.533381087662413</v>
      </c>
      <c r="I3688">
        <v>23.183225577738551</v>
      </c>
      <c r="J3688">
        <v>22.740160657936912</v>
      </c>
      <c r="K3688">
        <v>742.41492095070907</v>
      </c>
      <c r="L3688">
        <v>0</v>
      </c>
      <c r="M3688" t="s">
        <v>69</v>
      </c>
    </row>
    <row r="3689" spans="1:13" x14ac:dyDescent="0.3">
      <c r="A3689" t="s">
        <v>25</v>
      </c>
      <c r="B3689" t="s">
        <v>62</v>
      </c>
      <c r="C3689">
        <v>25.505683422011099</v>
      </c>
      <c r="D3689">
        <v>0.96003187563456516</v>
      </c>
      <c r="E3689">
        <v>0.81485275072276142</v>
      </c>
      <c r="F3689">
        <v>3.0830129896723801</v>
      </c>
      <c r="G3689">
        <v>6.2510385491738374</v>
      </c>
      <c r="H3689">
        <v>68.00811512770494</v>
      </c>
      <c r="I3689">
        <v>20.913397615171071</v>
      </c>
      <c r="J3689">
        <v>23.828230352669109</v>
      </c>
      <c r="K3689">
        <v>1225.0092430321261</v>
      </c>
      <c r="L3689">
        <v>0</v>
      </c>
      <c r="M3689" t="s">
        <v>69</v>
      </c>
    </row>
    <row r="3690" spans="1:13" x14ac:dyDescent="0.3">
      <c r="A3690" t="s">
        <v>24</v>
      </c>
      <c r="B3690" t="s">
        <v>58</v>
      </c>
      <c r="C3690">
        <v>29.651927751879501</v>
      </c>
      <c r="D3690">
        <v>0.9385560908863666</v>
      </c>
      <c r="E3690">
        <v>2.05381167095365</v>
      </c>
      <c r="F3690">
        <v>4.0648291142202284</v>
      </c>
      <c r="G3690">
        <v>6.8845601163354413</v>
      </c>
      <c r="H3690">
        <v>33.316214523790343</v>
      </c>
      <c r="I3690">
        <v>25.542409333950651</v>
      </c>
      <c r="J3690">
        <v>23.068121761763329</v>
      </c>
      <c r="K3690">
        <v>748.17812200861283</v>
      </c>
      <c r="L3690">
        <v>0</v>
      </c>
      <c r="M3690" t="s">
        <v>69</v>
      </c>
    </row>
    <row r="3691" spans="1:13" x14ac:dyDescent="0.3">
      <c r="A3691" t="s">
        <v>20</v>
      </c>
      <c r="B3691" t="s">
        <v>49</v>
      </c>
      <c r="C3691">
        <v>44.528148754777028</v>
      </c>
      <c r="D3691">
        <v>1.957759503958493</v>
      </c>
      <c r="E3691">
        <v>2.9558609513934262</v>
      </c>
      <c r="F3691">
        <v>6.766814208571402</v>
      </c>
      <c r="G3691">
        <v>5.5343953528025116</v>
      </c>
      <c r="H3691">
        <v>19.651523566369629</v>
      </c>
      <c r="I3691">
        <v>32.902271468663663</v>
      </c>
      <c r="J3691">
        <v>25.51860681898934</v>
      </c>
      <c r="K3691">
        <v>1126.3831525117459</v>
      </c>
      <c r="L3691">
        <v>0</v>
      </c>
      <c r="M3691" t="s">
        <v>69</v>
      </c>
    </row>
    <row r="3692" spans="1:13" x14ac:dyDescent="0.3">
      <c r="A3692" t="s">
        <v>24</v>
      </c>
      <c r="B3692" t="s">
        <v>58</v>
      </c>
      <c r="C3692">
        <v>30.18668654232188</v>
      </c>
      <c r="D3692">
        <v>0.91474200494685665</v>
      </c>
      <c r="E3692">
        <v>1.955268923040278</v>
      </c>
      <c r="F3692">
        <v>4.3026619553377863</v>
      </c>
      <c r="G3692">
        <v>6.865526530459066</v>
      </c>
      <c r="H3692">
        <v>33.51132867156646</v>
      </c>
      <c r="I3692">
        <v>25.26720020418507</v>
      </c>
      <c r="J3692">
        <v>23.327004431282589</v>
      </c>
      <c r="K3692">
        <v>755.45703098238789</v>
      </c>
      <c r="L3692">
        <v>0</v>
      </c>
      <c r="M3692" t="s">
        <v>69</v>
      </c>
    </row>
    <row r="3693" spans="1:13" x14ac:dyDescent="0.3">
      <c r="A3693" t="s">
        <v>25</v>
      </c>
      <c r="B3693" t="s">
        <v>62</v>
      </c>
      <c r="C3693">
        <v>32.065082147732163</v>
      </c>
      <c r="D3693">
        <v>1.0528013000459979</v>
      </c>
      <c r="E3693">
        <v>2.0137464607732891</v>
      </c>
      <c r="F3693">
        <v>4.5712516745413074</v>
      </c>
      <c r="G3693">
        <v>6.4613327087110974</v>
      </c>
      <c r="H3693">
        <v>37.530301200159158</v>
      </c>
      <c r="I3693">
        <v>19.999830494784259</v>
      </c>
      <c r="J3693">
        <v>23.874892346918099</v>
      </c>
      <c r="K3693">
        <v>1082.3847908180569</v>
      </c>
      <c r="L3693">
        <v>0</v>
      </c>
      <c r="M3693" t="s">
        <v>69</v>
      </c>
    </row>
    <row r="3694" spans="1:13" x14ac:dyDescent="0.3">
      <c r="A3694" t="s">
        <v>25</v>
      </c>
      <c r="B3694" t="s">
        <v>62</v>
      </c>
      <c r="C3694">
        <v>23.68521525001734</v>
      </c>
      <c r="D3694">
        <v>1.0068022804727961</v>
      </c>
      <c r="E3694">
        <v>0.92798679002921425</v>
      </c>
      <c r="F3694">
        <v>3.1627708696197399</v>
      </c>
      <c r="G3694">
        <v>6.3887196386462914</v>
      </c>
      <c r="H3694">
        <v>67.292742719756504</v>
      </c>
      <c r="I3694">
        <v>20.255008465305899</v>
      </c>
      <c r="J3694">
        <v>23.443041671922298</v>
      </c>
      <c r="K3694">
        <v>1168.985039340366</v>
      </c>
      <c r="L3694">
        <v>0</v>
      </c>
      <c r="M3694" t="s">
        <v>69</v>
      </c>
    </row>
    <row r="3695" spans="1:13" x14ac:dyDescent="0.3">
      <c r="A3695" t="s">
        <v>20</v>
      </c>
      <c r="B3695" t="s">
        <v>49</v>
      </c>
      <c r="C3695">
        <v>34.942125374930811</v>
      </c>
      <c r="D3695">
        <v>0.96009704894591463</v>
      </c>
      <c r="E3695">
        <v>1.4930451600762891</v>
      </c>
      <c r="F3695">
        <v>5.0017524473707127</v>
      </c>
      <c r="G3695">
        <v>6.0847318374589667</v>
      </c>
      <c r="H3695">
        <v>16.618436334237629</v>
      </c>
      <c r="I3695">
        <v>29.71403979952542</v>
      </c>
      <c r="J3695">
        <v>25.916592336787261</v>
      </c>
      <c r="K3695">
        <v>1160.2847748901449</v>
      </c>
      <c r="L3695">
        <v>0</v>
      </c>
      <c r="M3695" t="s">
        <v>69</v>
      </c>
    </row>
    <row r="3696" spans="1:13" x14ac:dyDescent="0.3">
      <c r="A3696" t="s">
        <v>21</v>
      </c>
      <c r="B3696" t="s">
        <v>52</v>
      </c>
      <c r="C3696">
        <v>37.687168261615867</v>
      </c>
      <c r="D3696">
        <v>1.478892191765635</v>
      </c>
      <c r="E3696">
        <v>2.62827196789965</v>
      </c>
      <c r="F3696">
        <v>6.5933027733761786</v>
      </c>
      <c r="G3696">
        <v>6.0373208012346566</v>
      </c>
      <c r="H3696">
        <v>21.806025471948271</v>
      </c>
      <c r="I3696">
        <v>31.942484451922141</v>
      </c>
      <c r="J3696">
        <v>25.469683495913149</v>
      </c>
      <c r="K3696">
        <v>1191.747243850439</v>
      </c>
      <c r="L3696">
        <v>0</v>
      </c>
      <c r="M3696" t="s">
        <v>69</v>
      </c>
    </row>
    <row r="3697" spans="1:13" x14ac:dyDescent="0.3">
      <c r="A3697" t="s">
        <v>19</v>
      </c>
      <c r="B3697" t="s">
        <v>44</v>
      </c>
      <c r="C3697">
        <v>22.75792648966085</v>
      </c>
      <c r="D3697">
        <v>0.9952389673545432</v>
      </c>
      <c r="E3697">
        <v>0.96852178044982473</v>
      </c>
      <c r="F3697">
        <v>2.9157474043871789</v>
      </c>
      <c r="G3697">
        <v>6.4199288446536231</v>
      </c>
      <c r="H3697">
        <v>19.268310409578341</v>
      </c>
      <c r="I3697">
        <v>27.15297080877686</v>
      </c>
      <c r="J3697">
        <v>23.15933495626194</v>
      </c>
      <c r="K3697">
        <v>1303.3054276349001</v>
      </c>
      <c r="L3697">
        <v>0</v>
      </c>
      <c r="M3697" t="s">
        <v>69</v>
      </c>
    </row>
    <row r="3698" spans="1:13" x14ac:dyDescent="0.3">
      <c r="A3698" t="s">
        <v>24</v>
      </c>
      <c r="B3698" t="s">
        <v>57</v>
      </c>
      <c r="C3698">
        <v>53.957088204484357</v>
      </c>
      <c r="D3698">
        <v>1.979979002910387</v>
      </c>
      <c r="E3698">
        <v>2.980084850268359</v>
      </c>
      <c r="F3698">
        <v>7.9659003555737717</v>
      </c>
      <c r="G3698">
        <v>5.5150425333295932</v>
      </c>
      <c r="H3698">
        <v>49.458044759371226</v>
      </c>
      <c r="I3698">
        <v>23.374540270953791</v>
      </c>
      <c r="J3698">
        <v>23.020300725336181</v>
      </c>
      <c r="K3698">
        <v>740.16410345437589</v>
      </c>
      <c r="L3698">
        <v>0</v>
      </c>
      <c r="M3698" t="s">
        <v>69</v>
      </c>
    </row>
    <row r="3699" spans="1:13" x14ac:dyDescent="0.3">
      <c r="A3699" t="s">
        <v>19</v>
      </c>
      <c r="B3699" t="s">
        <v>48</v>
      </c>
      <c r="C3699">
        <v>37.695972291433833</v>
      </c>
      <c r="D3699">
        <v>1.0732914168376779</v>
      </c>
      <c r="E3699">
        <v>1.733880088443557</v>
      </c>
      <c r="F3699">
        <v>6.938144122042182</v>
      </c>
      <c r="G3699">
        <v>6.0989892652253754</v>
      </c>
      <c r="H3699">
        <v>16.68089655997499</v>
      </c>
      <c r="I3699">
        <v>30.340529669764731</v>
      </c>
      <c r="J3699">
        <v>26.073014411591789</v>
      </c>
      <c r="K3699">
        <v>1175.422796627613</v>
      </c>
      <c r="L3699">
        <v>0</v>
      </c>
      <c r="M3699" t="s">
        <v>69</v>
      </c>
    </row>
    <row r="3700" spans="1:13" x14ac:dyDescent="0.3">
      <c r="A3700" t="s">
        <v>20</v>
      </c>
      <c r="B3700" t="s">
        <v>49</v>
      </c>
      <c r="C3700">
        <v>45.061235581819368</v>
      </c>
      <c r="D3700">
        <v>1.9774616672045331</v>
      </c>
      <c r="E3700">
        <v>2.9165032524346421</v>
      </c>
      <c r="F3700">
        <v>6.3849954311393073</v>
      </c>
      <c r="G3700">
        <v>5.4901494623521758</v>
      </c>
      <c r="H3700">
        <v>20.05718486701706</v>
      </c>
      <c r="I3700">
        <v>32.525609150041461</v>
      </c>
      <c r="J3700">
        <v>25.669913106654882</v>
      </c>
      <c r="K3700">
        <v>1139.9226468906111</v>
      </c>
      <c r="L3700">
        <v>0</v>
      </c>
      <c r="M3700" t="s">
        <v>69</v>
      </c>
    </row>
    <row r="3701" spans="1:13" x14ac:dyDescent="0.3">
      <c r="A3701" t="s">
        <v>25</v>
      </c>
      <c r="B3701" t="s">
        <v>62</v>
      </c>
      <c r="C3701">
        <v>580.1900805417929</v>
      </c>
      <c r="D3701">
        <v>26.649689779414309</v>
      </c>
      <c r="E3701">
        <v>39.759569812526649</v>
      </c>
      <c r="F3701">
        <v>84.970647253496566</v>
      </c>
      <c r="G3701">
        <v>4.452947294686072</v>
      </c>
      <c r="H3701">
        <v>86.308651926042614</v>
      </c>
      <c r="I3701">
        <v>26.318976512331009</v>
      </c>
      <c r="J3701">
        <v>24.340446243095371</v>
      </c>
      <c r="K3701">
        <v>711.28924500921005</v>
      </c>
      <c r="L3701">
        <v>0</v>
      </c>
      <c r="M3701" t="s">
        <v>69</v>
      </c>
    </row>
    <row r="3702" spans="1:13" x14ac:dyDescent="0.3">
      <c r="A3702" t="s">
        <v>21</v>
      </c>
      <c r="B3702" t="s">
        <v>52</v>
      </c>
      <c r="C3702">
        <v>126.97926968224969</v>
      </c>
      <c r="D3702">
        <v>5.6807162854257447</v>
      </c>
      <c r="E3702">
        <v>8.0994685295080568</v>
      </c>
      <c r="F3702">
        <v>20.858246832814661</v>
      </c>
      <c r="G3702">
        <v>5.5032723337192291</v>
      </c>
      <c r="H3702">
        <v>58.459855964501237</v>
      </c>
      <c r="I3702">
        <v>28.793976500192439</v>
      </c>
      <c r="J3702">
        <v>25.362341944426571</v>
      </c>
      <c r="K3702">
        <v>738.60701941388663</v>
      </c>
      <c r="L3702">
        <v>0</v>
      </c>
      <c r="M3702" t="s">
        <v>69</v>
      </c>
    </row>
    <row r="3703" spans="1:13" x14ac:dyDescent="0.3">
      <c r="A3703" t="s">
        <v>19</v>
      </c>
      <c r="B3703" t="s">
        <v>48</v>
      </c>
      <c r="C3703">
        <v>64.323391140181485</v>
      </c>
      <c r="D3703">
        <v>2.9479628294208191</v>
      </c>
      <c r="E3703">
        <v>3.9858263893935328</v>
      </c>
      <c r="F3703">
        <v>9.3091144931685808</v>
      </c>
      <c r="G3703">
        <v>6.2978247080363952</v>
      </c>
      <c r="H3703">
        <v>19.66110756420851</v>
      </c>
      <c r="I3703">
        <v>33.596241572709459</v>
      </c>
      <c r="J3703">
        <v>26.203896043700219</v>
      </c>
      <c r="K3703">
        <v>1175.201876663466</v>
      </c>
      <c r="L3703">
        <v>0</v>
      </c>
      <c r="M3703" t="s">
        <v>69</v>
      </c>
    </row>
    <row r="3704" spans="1:13" x14ac:dyDescent="0.3">
      <c r="A3704" t="s">
        <v>25</v>
      </c>
      <c r="B3704" t="s">
        <v>62</v>
      </c>
      <c r="C3704">
        <v>30.06530681234609</v>
      </c>
      <c r="D3704">
        <v>1.087644603533686</v>
      </c>
      <c r="E3704">
        <v>2.124890450329437</v>
      </c>
      <c r="F3704">
        <v>4.5693148431530002</v>
      </c>
      <c r="G3704">
        <v>6.1487257311448342</v>
      </c>
      <c r="H3704">
        <v>23.81816983036407</v>
      </c>
      <c r="I3704">
        <v>23.341015294554051</v>
      </c>
      <c r="J3704">
        <v>25.005139418805548</v>
      </c>
      <c r="K3704">
        <v>1206.7381543543629</v>
      </c>
      <c r="L3704">
        <v>0</v>
      </c>
      <c r="M3704" t="s">
        <v>69</v>
      </c>
    </row>
    <row r="3705" spans="1:13" x14ac:dyDescent="0.3">
      <c r="A3705" t="s">
        <v>19</v>
      </c>
      <c r="B3705" t="s">
        <v>48</v>
      </c>
      <c r="C3705">
        <v>43.009481158200593</v>
      </c>
      <c r="D3705">
        <v>1.68475207709713</v>
      </c>
      <c r="E3705">
        <v>3.4066009091761318</v>
      </c>
      <c r="F3705">
        <v>7.9134616017234478</v>
      </c>
      <c r="G3705">
        <v>6.1822206095765164</v>
      </c>
      <c r="H3705">
        <v>20.848552014819681</v>
      </c>
      <c r="I3705">
        <v>31.444834329886579</v>
      </c>
      <c r="J3705">
        <v>25.982789021304491</v>
      </c>
      <c r="K3705">
        <v>1176.3529105116579</v>
      </c>
      <c r="L3705">
        <v>0</v>
      </c>
      <c r="M3705" t="s">
        <v>69</v>
      </c>
    </row>
    <row r="3706" spans="1:13" x14ac:dyDescent="0.3">
      <c r="A3706" t="s">
        <v>24</v>
      </c>
      <c r="B3706" t="s">
        <v>57</v>
      </c>
      <c r="C3706">
        <v>7.3474417225211113</v>
      </c>
      <c r="D3706">
        <v>0</v>
      </c>
      <c r="E3706">
        <v>0</v>
      </c>
      <c r="F3706">
        <v>0.93491270540415705</v>
      </c>
      <c r="G3706">
        <v>6.0153051809181024</v>
      </c>
      <c r="H3706">
        <v>41.558002726267027</v>
      </c>
      <c r="I3706">
        <v>23.79187227373454</v>
      </c>
      <c r="J3706">
        <v>24.16629490597311</v>
      </c>
      <c r="K3706">
        <v>759.66306767047149</v>
      </c>
      <c r="L3706">
        <v>0</v>
      </c>
      <c r="M3706" t="s">
        <v>69</v>
      </c>
    </row>
    <row r="3707" spans="1:13" x14ac:dyDescent="0.3">
      <c r="A3707" t="s">
        <v>19</v>
      </c>
      <c r="B3707" t="s">
        <v>44</v>
      </c>
      <c r="C3707">
        <v>19.31315603185546</v>
      </c>
      <c r="D3707">
        <v>1.0212543066397901</v>
      </c>
      <c r="E3707">
        <v>1.033822662496096</v>
      </c>
      <c r="F3707">
        <v>2.901292711736899</v>
      </c>
      <c r="G3707">
        <v>6.2000817391625889</v>
      </c>
      <c r="H3707">
        <v>14.865365730166459</v>
      </c>
      <c r="I3707">
        <v>25.044293369417399</v>
      </c>
      <c r="J3707">
        <v>23.969073744472659</v>
      </c>
      <c r="K3707">
        <v>1319.612368633701</v>
      </c>
      <c r="L3707">
        <v>0</v>
      </c>
      <c r="M3707" t="s">
        <v>69</v>
      </c>
    </row>
    <row r="3708" spans="1:13" x14ac:dyDescent="0.3">
      <c r="A3708" t="s">
        <v>24</v>
      </c>
      <c r="B3708" t="s">
        <v>59</v>
      </c>
      <c r="C3708">
        <v>59.231577816594609</v>
      </c>
      <c r="D3708">
        <v>1.944902529483834</v>
      </c>
      <c r="E3708">
        <v>3.999744123219934</v>
      </c>
      <c r="F3708">
        <v>9.7192329313025656</v>
      </c>
      <c r="G3708">
        <v>6.654659324987783</v>
      </c>
      <c r="H3708">
        <v>57.955676116645748</v>
      </c>
      <c r="I3708">
        <v>26.879346302832172</v>
      </c>
      <c r="J3708">
        <v>23.49851818006529</v>
      </c>
      <c r="K3708">
        <v>729.08888763555137</v>
      </c>
      <c r="L3708">
        <v>0</v>
      </c>
      <c r="M3708" t="s">
        <v>69</v>
      </c>
    </row>
    <row r="3709" spans="1:13" x14ac:dyDescent="0.3">
      <c r="A3709" t="s">
        <v>25</v>
      </c>
      <c r="B3709" t="s">
        <v>62</v>
      </c>
      <c r="C3709">
        <v>31.99123284679894</v>
      </c>
      <c r="D3709">
        <v>1.0432458412189809</v>
      </c>
      <c r="E3709">
        <v>1.991231404890482</v>
      </c>
      <c r="F3709">
        <v>4.5558819967677859</v>
      </c>
      <c r="G3709">
        <v>6.4517396792392701</v>
      </c>
      <c r="H3709">
        <v>37.543669624757563</v>
      </c>
      <c r="I3709">
        <v>19.97296399295216</v>
      </c>
      <c r="J3709">
        <v>23.87649354974716</v>
      </c>
      <c r="K3709">
        <v>1081.115912140714</v>
      </c>
      <c r="L3709">
        <v>0</v>
      </c>
      <c r="M3709" t="s">
        <v>69</v>
      </c>
    </row>
    <row r="3710" spans="1:13" x14ac:dyDescent="0.3">
      <c r="A3710" t="s">
        <v>20</v>
      </c>
      <c r="B3710" t="s">
        <v>49</v>
      </c>
      <c r="C3710">
        <v>38.228651862416363</v>
      </c>
      <c r="D3710">
        <v>0.89542623828686718</v>
      </c>
      <c r="E3710">
        <v>1.8121179768685149</v>
      </c>
      <c r="F3710">
        <v>5.5260832833483056</v>
      </c>
      <c r="G3710">
        <v>6.1396635061761771</v>
      </c>
      <c r="H3710">
        <v>15.30742822747092</v>
      </c>
      <c r="I3710">
        <v>31.044733577214618</v>
      </c>
      <c r="J3710">
        <v>27.238736894860399</v>
      </c>
      <c r="K3710">
        <v>1158.735890337111</v>
      </c>
      <c r="L3710">
        <v>0</v>
      </c>
      <c r="M3710" t="s">
        <v>69</v>
      </c>
    </row>
    <row r="3711" spans="1:13" x14ac:dyDescent="0.3">
      <c r="A3711" t="s">
        <v>25</v>
      </c>
      <c r="B3711" t="s">
        <v>62</v>
      </c>
      <c r="C3711">
        <v>32.321002908194032</v>
      </c>
      <c r="D3711">
        <v>1.0859152260909251</v>
      </c>
      <c r="E3711">
        <v>2.091771169884344</v>
      </c>
      <c r="F3711">
        <v>4.6245144620578742</v>
      </c>
      <c r="G3711">
        <v>6.4945768337947376</v>
      </c>
      <c r="H3711">
        <v>37.483973647343277</v>
      </c>
      <c r="I3711">
        <v>20.092934904615269</v>
      </c>
      <c r="J3711">
        <v>23.86934346506699</v>
      </c>
      <c r="K3711">
        <v>1086.78202128518</v>
      </c>
      <c r="L3711">
        <v>0</v>
      </c>
      <c r="M3711" t="s">
        <v>69</v>
      </c>
    </row>
    <row r="3712" spans="1:13" x14ac:dyDescent="0.3">
      <c r="A3712" t="s">
        <v>20</v>
      </c>
      <c r="B3712" t="s">
        <v>49</v>
      </c>
      <c r="C3712">
        <v>38.181434955753623</v>
      </c>
      <c r="D3712">
        <v>0.99454120376996746</v>
      </c>
      <c r="E3712">
        <v>2.235283326363446</v>
      </c>
      <c r="F3712">
        <v>5.9189902079408707</v>
      </c>
      <c r="G3712">
        <v>6.1108525885675649</v>
      </c>
      <c r="H3712">
        <v>16.355513797836991</v>
      </c>
      <c r="I3712">
        <v>31.76884141908906</v>
      </c>
      <c r="J3712">
        <v>24.836666388751478</v>
      </c>
      <c r="K3712">
        <v>1155.6135336697571</v>
      </c>
      <c r="L3712">
        <v>0</v>
      </c>
      <c r="M3712" t="s">
        <v>69</v>
      </c>
    </row>
    <row r="3713" spans="1:13" x14ac:dyDescent="0.3">
      <c r="A3713" t="s">
        <v>25</v>
      </c>
      <c r="B3713" t="s">
        <v>62</v>
      </c>
      <c r="C3713">
        <v>25.111674626147529</v>
      </c>
      <c r="D3713">
        <v>0.92387890279219187</v>
      </c>
      <c r="E3713">
        <v>1.033015513644546</v>
      </c>
      <c r="F3713">
        <v>2.9362309213014122</v>
      </c>
      <c r="G3713">
        <v>6.2567164348071884</v>
      </c>
      <c r="H3713">
        <v>67.571493954731267</v>
      </c>
      <c r="I3713">
        <v>19.637584421093891</v>
      </c>
      <c r="J3713">
        <v>24.651191596338819</v>
      </c>
      <c r="K3713">
        <v>1197.7874136080691</v>
      </c>
      <c r="L3713">
        <v>0</v>
      </c>
      <c r="M3713" t="s">
        <v>69</v>
      </c>
    </row>
    <row r="3714" spans="1:13" x14ac:dyDescent="0.3">
      <c r="A3714" t="s">
        <v>25</v>
      </c>
      <c r="B3714" t="s">
        <v>62</v>
      </c>
      <c r="C3714">
        <v>25.184045605314051</v>
      </c>
      <c r="D3714">
        <v>0.93130379094870408</v>
      </c>
      <c r="E3714">
        <v>1.0358630672875719</v>
      </c>
      <c r="F3714">
        <v>2.975868620500179</v>
      </c>
      <c r="G3714">
        <v>6.2633191099312153</v>
      </c>
      <c r="H3714">
        <v>67.346342607790604</v>
      </c>
      <c r="I3714">
        <v>19.78656884879419</v>
      </c>
      <c r="J3714">
        <v>24.763235724452841</v>
      </c>
      <c r="K3714">
        <v>1198.070462744543</v>
      </c>
      <c r="L3714">
        <v>0</v>
      </c>
      <c r="M3714" t="s">
        <v>69</v>
      </c>
    </row>
    <row r="3715" spans="1:13" x14ac:dyDescent="0.3">
      <c r="A3715" t="s">
        <v>19</v>
      </c>
      <c r="B3715" t="s">
        <v>44</v>
      </c>
      <c r="C3715">
        <v>20.06725477854333</v>
      </c>
      <c r="D3715">
        <v>1.013060508050815</v>
      </c>
      <c r="E3715">
        <v>1.0729512366926419</v>
      </c>
      <c r="F3715">
        <v>2.7323838555151219</v>
      </c>
      <c r="G3715">
        <v>6.187155263393624</v>
      </c>
      <c r="H3715">
        <v>15.326846733393481</v>
      </c>
      <c r="I3715">
        <v>25.063224810100039</v>
      </c>
      <c r="J3715">
        <v>24.028956860497509</v>
      </c>
      <c r="K3715">
        <v>1318.8939896044931</v>
      </c>
      <c r="L3715">
        <v>0</v>
      </c>
      <c r="M3715" t="s">
        <v>69</v>
      </c>
    </row>
    <row r="3716" spans="1:13" x14ac:dyDescent="0.3">
      <c r="A3716" t="s">
        <v>24</v>
      </c>
      <c r="B3716" t="s">
        <v>59</v>
      </c>
      <c r="C3716">
        <v>57.644655230609821</v>
      </c>
      <c r="D3716">
        <v>2.0420177849481518</v>
      </c>
      <c r="E3716">
        <v>3.8574756933872409</v>
      </c>
      <c r="F3716">
        <v>8.8288020804045626</v>
      </c>
      <c r="G3716">
        <v>6.7129106828797971</v>
      </c>
      <c r="H3716">
        <v>58.167801126061519</v>
      </c>
      <c r="I3716">
        <v>26.64371307006466</v>
      </c>
      <c r="J3716">
        <v>22.794586804859509</v>
      </c>
      <c r="K3716">
        <v>736.27178150916586</v>
      </c>
      <c r="L3716">
        <v>0</v>
      </c>
      <c r="M3716" t="s">
        <v>69</v>
      </c>
    </row>
    <row r="3717" spans="1:13" x14ac:dyDescent="0.3">
      <c r="A3717" t="s">
        <v>19</v>
      </c>
      <c r="B3717" t="s">
        <v>48</v>
      </c>
      <c r="C3717">
        <v>29.1984735930405</v>
      </c>
      <c r="D3717">
        <v>0.908874249708993</v>
      </c>
      <c r="E3717">
        <v>2.1752769033438781</v>
      </c>
      <c r="F3717">
        <v>6.6965558917729862</v>
      </c>
      <c r="G3717">
        <v>6.0003596453178627</v>
      </c>
      <c r="H3717">
        <v>22.787129207099191</v>
      </c>
      <c r="I3717">
        <v>34.350003711777127</v>
      </c>
      <c r="J3717">
        <v>24.92073225401348</v>
      </c>
      <c r="K3717">
        <v>1187.647975827467</v>
      </c>
      <c r="L3717">
        <v>0</v>
      </c>
      <c r="M3717" t="s">
        <v>69</v>
      </c>
    </row>
    <row r="3718" spans="1:13" x14ac:dyDescent="0.3">
      <c r="A3718" t="s">
        <v>24</v>
      </c>
      <c r="B3718" t="s">
        <v>57</v>
      </c>
      <c r="C3718">
        <v>7.8545118044090714</v>
      </c>
      <c r="D3718">
        <v>0</v>
      </c>
      <c r="E3718">
        <v>0</v>
      </c>
      <c r="F3718">
        <v>1.0695276167387711</v>
      </c>
      <c r="G3718">
        <v>6.0700458965982378</v>
      </c>
      <c r="H3718">
        <v>37.817494044391132</v>
      </c>
      <c r="I3718">
        <v>23.39396743481332</v>
      </c>
      <c r="J3718">
        <v>23.226037807405849</v>
      </c>
      <c r="K3718">
        <v>731.51092650691089</v>
      </c>
      <c r="L3718">
        <v>0</v>
      </c>
      <c r="M3718" t="s">
        <v>69</v>
      </c>
    </row>
    <row r="3719" spans="1:13" x14ac:dyDescent="0.3">
      <c r="A3719" t="s">
        <v>25</v>
      </c>
      <c r="B3719" t="s">
        <v>62</v>
      </c>
      <c r="C3719">
        <v>255.35215141100181</v>
      </c>
      <c r="D3719">
        <v>18.86264585769543</v>
      </c>
      <c r="E3719">
        <v>30.377208751617911</v>
      </c>
      <c r="F3719">
        <v>70.700331228921584</v>
      </c>
      <c r="G3719">
        <v>4.3067612563592217</v>
      </c>
      <c r="H3719">
        <v>73.567070228281665</v>
      </c>
      <c r="I3719">
        <v>30.997428726943991</v>
      </c>
      <c r="J3719">
        <v>24.04241695433052</v>
      </c>
      <c r="K3719">
        <v>701.45788010371973</v>
      </c>
      <c r="L3719">
        <v>0</v>
      </c>
      <c r="M3719" t="s">
        <v>69</v>
      </c>
    </row>
    <row r="3720" spans="1:13" x14ac:dyDescent="0.3">
      <c r="A3720" t="s">
        <v>24</v>
      </c>
      <c r="B3720" t="s">
        <v>58</v>
      </c>
      <c r="C3720">
        <v>13.27663212670109</v>
      </c>
      <c r="D3720">
        <v>0</v>
      </c>
      <c r="E3720">
        <v>0</v>
      </c>
      <c r="F3720">
        <v>2.021910401114253</v>
      </c>
      <c r="G3720">
        <v>6.5552017815690071</v>
      </c>
      <c r="H3720">
        <v>41.694309577154783</v>
      </c>
      <c r="I3720">
        <v>24.821771614628389</v>
      </c>
      <c r="J3720">
        <v>23.82542271221131</v>
      </c>
      <c r="K3720">
        <v>745.26540280322388</v>
      </c>
      <c r="L3720">
        <v>0</v>
      </c>
      <c r="M3720" t="s">
        <v>69</v>
      </c>
    </row>
    <row r="3721" spans="1:13" x14ac:dyDescent="0.3">
      <c r="A3721" t="s">
        <v>19</v>
      </c>
      <c r="B3721" t="s">
        <v>48</v>
      </c>
      <c r="C3721">
        <v>42.659216421167848</v>
      </c>
      <c r="D3721">
        <v>1.9194566029537861</v>
      </c>
      <c r="E3721">
        <v>3.2062303771169192</v>
      </c>
      <c r="F3721">
        <v>6.0310539240829062</v>
      </c>
      <c r="G3721">
        <v>5.5781687203418517</v>
      </c>
      <c r="H3721">
        <v>19.020425725906449</v>
      </c>
      <c r="I3721">
        <v>32.620374697593071</v>
      </c>
      <c r="J3721">
        <v>26.072292064865891</v>
      </c>
      <c r="K3721">
        <v>1171.6687145338631</v>
      </c>
      <c r="L3721">
        <v>0</v>
      </c>
      <c r="M3721" t="s">
        <v>69</v>
      </c>
    </row>
    <row r="3722" spans="1:13" x14ac:dyDescent="0.3">
      <c r="A3722" t="s">
        <v>24</v>
      </c>
      <c r="B3722" t="s">
        <v>58</v>
      </c>
      <c r="C3722">
        <v>12.919598979349191</v>
      </c>
      <c r="D3722">
        <v>0</v>
      </c>
      <c r="E3722">
        <v>0</v>
      </c>
      <c r="F3722">
        <v>2.1009543489814182</v>
      </c>
      <c r="G3722">
        <v>6.538588657866617</v>
      </c>
      <c r="H3722">
        <v>44.232102662869558</v>
      </c>
      <c r="I3722">
        <v>24.146367929320331</v>
      </c>
      <c r="J3722">
        <v>22.739580182969441</v>
      </c>
      <c r="K3722">
        <v>761.56294939073166</v>
      </c>
      <c r="L3722">
        <v>0</v>
      </c>
      <c r="M3722" t="s">
        <v>69</v>
      </c>
    </row>
    <row r="3723" spans="1:13" x14ac:dyDescent="0.3">
      <c r="A3723" t="s">
        <v>19</v>
      </c>
      <c r="B3723" t="s">
        <v>48</v>
      </c>
      <c r="C3723">
        <v>59.663593817015808</v>
      </c>
      <c r="D3723">
        <v>2.908354781924805</v>
      </c>
      <c r="E3723">
        <v>3.8953363053586032</v>
      </c>
      <c r="F3723">
        <v>9.0927123022417895</v>
      </c>
      <c r="G3723">
        <v>6.251723436056789</v>
      </c>
      <c r="H3723">
        <v>18.939721193996419</v>
      </c>
      <c r="I3723">
        <v>33.930389948947187</v>
      </c>
      <c r="J3723">
        <v>25.959934655984242</v>
      </c>
      <c r="K3723">
        <v>1186.4593662432001</v>
      </c>
      <c r="L3723">
        <v>0</v>
      </c>
      <c r="M3723" t="s">
        <v>69</v>
      </c>
    </row>
    <row r="3724" spans="1:13" x14ac:dyDescent="0.3">
      <c r="A3724" t="s">
        <v>24</v>
      </c>
      <c r="B3724" t="s">
        <v>58</v>
      </c>
      <c r="C3724">
        <v>15.90779705038034</v>
      </c>
      <c r="D3724">
        <v>0.36271653087714212</v>
      </c>
      <c r="E3724">
        <v>0.83256802889531034</v>
      </c>
      <c r="F3724">
        <v>1.789511898270252</v>
      </c>
      <c r="G3724">
        <v>6.0815205741659772</v>
      </c>
      <c r="H3724">
        <v>37.980963189294997</v>
      </c>
      <c r="I3724">
        <v>23.498532736751731</v>
      </c>
      <c r="J3724">
        <v>24.046994468156161</v>
      </c>
      <c r="K3724">
        <v>739.69741103637898</v>
      </c>
      <c r="L3724">
        <v>0</v>
      </c>
      <c r="M3724" t="s">
        <v>69</v>
      </c>
    </row>
    <row r="3725" spans="1:13" x14ac:dyDescent="0.3">
      <c r="A3725" t="s">
        <v>19</v>
      </c>
      <c r="B3725" t="s">
        <v>44</v>
      </c>
      <c r="C3725">
        <v>19.779654858349328</v>
      </c>
      <c r="D3725">
        <v>1.0014586331504449</v>
      </c>
      <c r="E3725">
        <v>0.94224708040677019</v>
      </c>
      <c r="F3725">
        <v>2.7173578544954591</v>
      </c>
      <c r="G3725">
        <v>6.1308342758546512</v>
      </c>
      <c r="H3725">
        <v>16.465934923320411</v>
      </c>
      <c r="I3725">
        <v>25.632507648531359</v>
      </c>
      <c r="J3725">
        <v>24.10890009283203</v>
      </c>
      <c r="K3725">
        <v>1313.9791005181651</v>
      </c>
      <c r="L3725">
        <v>0</v>
      </c>
      <c r="M3725" t="s">
        <v>69</v>
      </c>
    </row>
    <row r="3726" spans="1:13" x14ac:dyDescent="0.3">
      <c r="A3726" t="s">
        <v>24</v>
      </c>
      <c r="B3726" t="s">
        <v>58</v>
      </c>
      <c r="C3726">
        <v>35.269062417226387</v>
      </c>
      <c r="D3726">
        <v>1.0665843398689181</v>
      </c>
      <c r="E3726">
        <v>2.3354173191570879</v>
      </c>
      <c r="F3726">
        <v>5.564367715881442</v>
      </c>
      <c r="G3726">
        <v>6.8713234224546422</v>
      </c>
      <c r="H3726">
        <v>55.914195436170537</v>
      </c>
      <c r="I3726">
        <v>24.724514731380669</v>
      </c>
      <c r="J3726">
        <v>23.741565013172281</v>
      </c>
      <c r="K3726">
        <v>747.27443829786966</v>
      </c>
      <c r="L3726">
        <v>0</v>
      </c>
      <c r="M3726" t="s">
        <v>69</v>
      </c>
    </row>
    <row r="3727" spans="1:13" x14ac:dyDescent="0.3">
      <c r="A3727" t="s">
        <v>24</v>
      </c>
      <c r="B3727" t="s">
        <v>57</v>
      </c>
      <c r="C3727">
        <v>54.826343479562347</v>
      </c>
      <c r="D3727">
        <v>2.0205235070174359</v>
      </c>
      <c r="E3727">
        <v>2.7335443924386111</v>
      </c>
      <c r="F3727">
        <v>7.3617254150368927</v>
      </c>
      <c r="G3727">
        <v>5.5828265504320553</v>
      </c>
      <c r="H3727">
        <v>51.958339485903338</v>
      </c>
      <c r="I3727">
        <v>23.60608270566394</v>
      </c>
      <c r="J3727">
        <v>21.886840225958771</v>
      </c>
      <c r="K3727">
        <v>722.80153447015255</v>
      </c>
      <c r="L3727">
        <v>0</v>
      </c>
      <c r="M3727" t="s">
        <v>69</v>
      </c>
    </row>
    <row r="3728" spans="1:13" x14ac:dyDescent="0.3">
      <c r="A3728" t="s">
        <v>24</v>
      </c>
      <c r="B3728" t="s">
        <v>58</v>
      </c>
      <c r="C3728">
        <v>34.213363448068662</v>
      </c>
      <c r="D3728">
        <v>0.9844439540507155</v>
      </c>
      <c r="E3728">
        <v>2.082710718422542</v>
      </c>
      <c r="F3728">
        <v>4.9952381294451076</v>
      </c>
      <c r="G3728">
        <v>7.0256422969205046</v>
      </c>
      <c r="H3728">
        <v>59.084800373768999</v>
      </c>
      <c r="I3728">
        <v>24.433583868849379</v>
      </c>
      <c r="J3728">
        <v>23.766397347257421</v>
      </c>
      <c r="K3728">
        <v>726.64413936317521</v>
      </c>
      <c r="L3728">
        <v>0</v>
      </c>
      <c r="M3728" t="s">
        <v>69</v>
      </c>
    </row>
    <row r="3729" spans="1:13" x14ac:dyDescent="0.3">
      <c r="A3729" t="s">
        <v>25</v>
      </c>
      <c r="B3729" t="s">
        <v>62</v>
      </c>
      <c r="C3729">
        <v>256.11200028121669</v>
      </c>
      <c r="D3729">
        <v>18.997725138593999</v>
      </c>
      <c r="E3729">
        <v>25.98835666649375</v>
      </c>
      <c r="F3729">
        <v>61.022501629275531</v>
      </c>
      <c r="G3729">
        <v>4.3996685373754847</v>
      </c>
      <c r="H3729">
        <v>72.50501192741109</v>
      </c>
      <c r="I3729">
        <v>29.29981498200608</v>
      </c>
      <c r="J3729">
        <v>23.99367381814421</v>
      </c>
      <c r="K3729">
        <v>711.03531463940612</v>
      </c>
      <c r="L3729">
        <v>0</v>
      </c>
      <c r="M3729" t="s">
        <v>69</v>
      </c>
    </row>
    <row r="3730" spans="1:13" x14ac:dyDescent="0.3">
      <c r="A3730" t="s">
        <v>19</v>
      </c>
      <c r="B3730" t="s">
        <v>45</v>
      </c>
      <c r="C3730">
        <v>19.321638938851461</v>
      </c>
      <c r="D3730">
        <v>0.87177247983311501</v>
      </c>
      <c r="E3730">
        <v>0.87844099446037482</v>
      </c>
      <c r="F3730">
        <v>3.4845521087690159</v>
      </c>
      <c r="G3730">
        <v>6.2811515510569986</v>
      </c>
      <c r="H3730">
        <v>18.932222266914138</v>
      </c>
      <c r="I3730">
        <v>32.086738321837529</v>
      </c>
      <c r="J3730">
        <v>24.416460240859958</v>
      </c>
      <c r="K3730">
        <v>1330.182642027755</v>
      </c>
      <c r="L3730">
        <v>0</v>
      </c>
      <c r="M3730" t="s">
        <v>69</v>
      </c>
    </row>
    <row r="3731" spans="1:13" x14ac:dyDescent="0.3">
      <c r="A3731" t="s">
        <v>19</v>
      </c>
      <c r="B3731" t="s">
        <v>48</v>
      </c>
      <c r="C3731">
        <v>38.004997468594333</v>
      </c>
      <c r="D3731">
        <v>1.049517123409909</v>
      </c>
      <c r="E3731">
        <v>1.7642709822538449</v>
      </c>
      <c r="F3731">
        <v>6.771128247209127</v>
      </c>
      <c r="G3731">
        <v>6.1011755308923927</v>
      </c>
      <c r="H3731">
        <v>16.778014660912831</v>
      </c>
      <c r="I3731">
        <v>30.257998969408831</v>
      </c>
      <c r="J3731">
        <v>26.125198889119201</v>
      </c>
      <c r="K3731">
        <v>1170.72976016702</v>
      </c>
      <c r="L3731">
        <v>0</v>
      </c>
      <c r="M3731" t="s">
        <v>69</v>
      </c>
    </row>
    <row r="3732" spans="1:13" x14ac:dyDescent="0.3">
      <c r="A3732" t="s">
        <v>25</v>
      </c>
      <c r="B3732" t="s">
        <v>62</v>
      </c>
      <c r="C3732">
        <v>268.19123395167901</v>
      </c>
      <c r="D3732">
        <v>18.827798510386931</v>
      </c>
      <c r="E3732">
        <v>28.505913790292379</v>
      </c>
      <c r="F3732">
        <v>56.631876479965612</v>
      </c>
      <c r="G3732">
        <v>4.5049742130687394</v>
      </c>
      <c r="H3732">
        <v>76.847877812739284</v>
      </c>
      <c r="I3732">
        <v>30.857789382960618</v>
      </c>
      <c r="J3732">
        <v>24.100813563392549</v>
      </c>
      <c r="K3732">
        <v>728.47416666465358</v>
      </c>
      <c r="L3732">
        <v>0</v>
      </c>
      <c r="M3732" t="s">
        <v>69</v>
      </c>
    </row>
    <row r="3733" spans="1:13" x14ac:dyDescent="0.3">
      <c r="A3733" t="s">
        <v>24</v>
      </c>
      <c r="B3733" t="s">
        <v>58</v>
      </c>
      <c r="C3733">
        <v>44.32445932019035</v>
      </c>
      <c r="D3733">
        <v>1.4545436698857339</v>
      </c>
      <c r="E3733">
        <v>2.750881019197803</v>
      </c>
      <c r="F3733">
        <v>6.6886287669201572</v>
      </c>
      <c r="G3733">
        <v>6.5844305595422323</v>
      </c>
      <c r="H3733">
        <v>57.15146026379476</v>
      </c>
      <c r="I3733">
        <v>25.696439725794139</v>
      </c>
      <c r="J3733">
        <v>22.536768053173791</v>
      </c>
      <c r="K3733">
        <v>724.83534619729608</v>
      </c>
      <c r="L3733">
        <v>0</v>
      </c>
      <c r="M3733" t="s">
        <v>69</v>
      </c>
    </row>
    <row r="3734" spans="1:13" x14ac:dyDescent="0.3">
      <c r="A3734" t="s">
        <v>24</v>
      </c>
      <c r="B3734" t="s">
        <v>58</v>
      </c>
      <c r="C3734">
        <v>28.428950382557229</v>
      </c>
      <c r="D3734">
        <v>1.03418775681354</v>
      </c>
      <c r="E3734">
        <v>2.4526995582397459</v>
      </c>
      <c r="F3734">
        <v>4.2497115389455349</v>
      </c>
      <c r="G3734">
        <v>6.2361089355471364</v>
      </c>
      <c r="H3734">
        <v>37.691627191546168</v>
      </c>
      <c r="I3734">
        <v>23.12543750473683</v>
      </c>
      <c r="J3734">
        <v>22.83917129733025</v>
      </c>
      <c r="K3734">
        <v>731.09499394560385</v>
      </c>
      <c r="L3734">
        <v>0</v>
      </c>
      <c r="M3734" t="s">
        <v>69</v>
      </c>
    </row>
    <row r="3735" spans="1:13" x14ac:dyDescent="0.3">
      <c r="A3735" t="s">
        <v>20</v>
      </c>
      <c r="B3735" t="s">
        <v>49</v>
      </c>
      <c r="C3735">
        <v>34.786915983769731</v>
      </c>
      <c r="D3735">
        <v>1.0027641635454021</v>
      </c>
      <c r="E3735">
        <v>1.5775117746011691</v>
      </c>
      <c r="F3735">
        <v>5.4580872732258134</v>
      </c>
      <c r="G3735">
        <v>6.0896524768262736</v>
      </c>
      <c r="H3735">
        <v>16.451336006628459</v>
      </c>
      <c r="I3735">
        <v>30.122974160757781</v>
      </c>
      <c r="J3735">
        <v>26.231143399863381</v>
      </c>
      <c r="K3735">
        <v>1156.2346623663809</v>
      </c>
      <c r="L3735">
        <v>0</v>
      </c>
      <c r="M3735" t="s">
        <v>69</v>
      </c>
    </row>
    <row r="3736" spans="1:13" x14ac:dyDescent="0.3">
      <c r="A3736" t="s">
        <v>19</v>
      </c>
      <c r="B3736" t="s">
        <v>48</v>
      </c>
      <c r="C3736">
        <v>37.052075937453097</v>
      </c>
      <c r="D3736">
        <v>1.120713853084333</v>
      </c>
      <c r="E3736">
        <v>1.6805662677367319</v>
      </c>
      <c r="F3736">
        <v>7.2533538199625944</v>
      </c>
      <c r="G3736">
        <v>6.0986230377078234</v>
      </c>
      <c r="H3736">
        <v>16.46682343250496</v>
      </c>
      <c r="I3736">
        <v>30.55659164816732</v>
      </c>
      <c r="J3736">
        <v>25.959011386359059</v>
      </c>
      <c r="K3736">
        <v>1184.573996561388</v>
      </c>
      <c r="L3736">
        <v>0</v>
      </c>
      <c r="M3736" t="s">
        <v>69</v>
      </c>
    </row>
    <row r="3737" spans="1:13" x14ac:dyDescent="0.3">
      <c r="A3737" t="s">
        <v>24</v>
      </c>
      <c r="B3737" t="s">
        <v>58</v>
      </c>
      <c r="C3737">
        <v>12.654433831367429</v>
      </c>
      <c r="D3737">
        <v>0</v>
      </c>
      <c r="E3737">
        <v>0</v>
      </c>
      <c r="F3737">
        <v>2.1896283403830288</v>
      </c>
      <c r="G3737">
        <v>6.5744200482219322</v>
      </c>
      <c r="H3737">
        <v>45.612348175381442</v>
      </c>
      <c r="I3737">
        <v>24.50678956496894</v>
      </c>
      <c r="J3737">
        <v>23.047130750906248</v>
      </c>
      <c r="K3737">
        <v>775.10900299284106</v>
      </c>
      <c r="L3737">
        <v>0</v>
      </c>
      <c r="M3737" t="s">
        <v>69</v>
      </c>
    </row>
    <row r="3738" spans="1:13" x14ac:dyDescent="0.3">
      <c r="A3738" t="s">
        <v>19</v>
      </c>
      <c r="B3738" t="s">
        <v>45</v>
      </c>
      <c r="C3738">
        <v>19.99131297889322</v>
      </c>
      <c r="D3738">
        <v>1.0411352694130149</v>
      </c>
      <c r="E3738">
        <v>1.0579483545550199</v>
      </c>
      <c r="F3738">
        <v>2.6860797621789509</v>
      </c>
      <c r="G3738">
        <v>6.2696021902827006</v>
      </c>
      <c r="H3738">
        <v>18.752686993810279</v>
      </c>
      <c r="I3738">
        <v>31.819029778917258</v>
      </c>
      <c r="J3738">
        <v>24.146974877140689</v>
      </c>
      <c r="K3738">
        <v>1326.2952586968779</v>
      </c>
      <c r="L3738">
        <v>0</v>
      </c>
      <c r="M3738" t="s">
        <v>69</v>
      </c>
    </row>
    <row r="3739" spans="1:13" x14ac:dyDescent="0.3">
      <c r="A3739" t="s">
        <v>24</v>
      </c>
      <c r="B3739" t="s">
        <v>59</v>
      </c>
      <c r="C3739">
        <v>59.467159288168297</v>
      </c>
      <c r="D3739">
        <v>1.772958697551078</v>
      </c>
      <c r="E3739">
        <v>3.690961681624656</v>
      </c>
      <c r="F3739">
        <v>10.06298893952078</v>
      </c>
      <c r="G3739">
        <v>6.6954509442711636</v>
      </c>
      <c r="H3739">
        <v>59.995983247840378</v>
      </c>
      <c r="I3739">
        <v>27.513986738894651</v>
      </c>
      <c r="J3739">
        <v>22.751840320681261</v>
      </c>
      <c r="K3739">
        <v>740.20936715378673</v>
      </c>
      <c r="L3739">
        <v>0</v>
      </c>
      <c r="M3739" t="s">
        <v>69</v>
      </c>
    </row>
    <row r="3740" spans="1:13" x14ac:dyDescent="0.3">
      <c r="A3740" t="s">
        <v>19</v>
      </c>
      <c r="B3740" t="s">
        <v>44</v>
      </c>
      <c r="C3740">
        <v>23.675526341368961</v>
      </c>
      <c r="D3740">
        <v>1.120953432279054</v>
      </c>
      <c r="E3740">
        <v>1.0374483888921771</v>
      </c>
      <c r="F3740">
        <v>2.916823233018345</v>
      </c>
      <c r="G3740">
        <v>6.5189118619980286</v>
      </c>
      <c r="H3740">
        <v>20.73187791069342</v>
      </c>
      <c r="I3740">
        <v>27.112894794357398</v>
      </c>
      <c r="J3740">
        <v>23.948914224411929</v>
      </c>
      <c r="K3740">
        <v>1340.8483835013981</v>
      </c>
      <c r="L3740">
        <v>0</v>
      </c>
      <c r="M3740" t="s">
        <v>69</v>
      </c>
    </row>
    <row r="3741" spans="1:13" x14ac:dyDescent="0.3">
      <c r="A3741" t="s">
        <v>25</v>
      </c>
      <c r="B3741" t="s">
        <v>62</v>
      </c>
      <c r="C3741">
        <v>272.19880791820941</v>
      </c>
      <c r="D3741">
        <v>18.490454448689999</v>
      </c>
      <c r="E3741">
        <v>23.954634974610649</v>
      </c>
      <c r="F3741">
        <v>65.210118769637447</v>
      </c>
      <c r="G3741">
        <v>4.3481249635881491</v>
      </c>
      <c r="H3741">
        <v>73.549533216746511</v>
      </c>
      <c r="I3741">
        <v>29.106600194519832</v>
      </c>
      <c r="J3741">
        <v>23.050542919579911</v>
      </c>
      <c r="K3741">
        <v>716.64531336734944</v>
      </c>
      <c r="L3741">
        <v>0</v>
      </c>
      <c r="M3741" t="s">
        <v>69</v>
      </c>
    </row>
    <row r="3742" spans="1:13" x14ac:dyDescent="0.3">
      <c r="A3742" t="s">
        <v>25</v>
      </c>
      <c r="B3742" t="s">
        <v>62</v>
      </c>
      <c r="C3742">
        <v>25.225269338915648</v>
      </c>
      <c r="D3742">
        <v>0.97940075913938252</v>
      </c>
      <c r="E3742">
        <v>0.91344025338039625</v>
      </c>
      <c r="F3742">
        <v>3.0361504693459409</v>
      </c>
      <c r="G3742">
        <v>6.277326748444751</v>
      </c>
      <c r="H3742">
        <v>67.058209097151348</v>
      </c>
      <c r="I3742">
        <v>20.69332810654711</v>
      </c>
      <c r="J3742">
        <v>23.932458956944181</v>
      </c>
      <c r="K3742">
        <v>1216.54895183645</v>
      </c>
      <c r="L3742">
        <v>0</v>
      </c>
      <c r="M3742" t="s">
        <v>69</v>
      </c>
    </row>
    <row r="3743" spans="1:13" x14ac:dyDescent="0.3">
      <c r="A3743" t="s">
        <v>19</v>
      </c>
      <c r="B3743" t="s">
        <v>48</v>
      </c>
      <c r="C3743">
        <v>38.935942694824831</v>
      </c>
      <c r="D3743">
        <v>1.4363819795642301</v>
      </c>
      <c r="E3743">
        <v>3.1557155579503262</v>
      </c>
      <c r="F3743">
        <v>7.525889627971627</v>
      </c>
      <c r="G3743">
        <v>6.1896838678954982</v>
      </c>
      <c r="H3743">
        <v>21.077756310365071</v>
      </c>
      <c r="I3743">
        <v>31.306650535291439</v>
      </c>
      <c r="J3743">
        <v>25.848790919677189</v>
      </c>
      <c r="K3743">
        <v>1172.831351999235</v>
      </c>
      <c r="L3743">
        <v>0</v>
      </c>
      <c r="M3743" t="s">
        <v>69</v>
      </c>
    </row>
    <row r="3744" spans="1:13" x14ac:dyDescent="0.3">
      <c r="A3744" t="s">
        <v>19</v>
      </c>
      <c r="B3744" t="s">
        <v>48</v>
      </c>
      <c r="C3744">
        <v>38.182046502906871</v>
      </c>
      <c r="D3744">
        <v>1.0115016260639791</v>
      </c>
      <c r="E3744">
        <v>2.0112597862248398</v>
      </c>
      <c r="F3744">
        <v>5.9223811834889624</v>
      </c>
      <c r="G3744">
        <v>6.1880571633897024</v>
      </c>
      <c r="H3744">
        <v>16.628170820246101</v>
      </c>
      <c r="I3744">
        <v>31.606835243123449</v>
      </c>
      <c r="J3744">
        <v>26.290116581004028</v>
      </c>
      <c r="K3744">
        <v>1166.6414564469339</v>
      </c>
      <c r="L3744">
        <v>0</v>
      </c>
      <c r="M3744" t="s">
        <v>69</v>
      </c>
    </row>
    <row r="3745" spans="1:13" x14ac:dyDescent="0.3">
      <c r="A3745" t="s">
        <v>19</v>
      </c>
      <c r="B3745" t="s">
        <v>48</v>
      </c>
      <c r="C3745">
        <v>29.787035104809821</v>
      </c>
      <c r="D3745">
        <v>0.93124584348916262</v>
      </c>
      <c r="E3745">
        <v>1.2855597020993941</v>
      </c>
      <c r="F3745">
        <v>4.9353060168902463</v>
      </c>
      <c r="G3745">
        <v>6.0124129451252317</v>
      </c>
      <c r="H3745">
        <v>16.18364837219363</v>
      </c>
      <c r="I3745">
        <v>30.76088446473203</v>
      </c>
      <c r="J3745">
        <v>25.972462591882319</v>
      </c>
      <c r="K3745">
        <v>1173.2178181387019</v>
      </c>
      <c r="L3745">
        <v>0</v>
      </c>
      <c r="M3745" t="s">
        <v>69</v>
      </c>
    </row>
    <row r="3746" spans="1:13" x14ac:dyDescent="0.3">
      <c r="A3746" t="s">
        <v>19</v>
      </c>
      <c r="B3746" t="s">
        <v>48</v>
      </c>
      <c r="C3746">
        <v>61.139679353937751</v>
      </c>
      <c r="D3746">
        <v>2.9955066782202029</v>
      </c>
      <c r="E3746">
        <v>4.0145946092614562</v>
      </c>
      <c r="F3746">
        <v>9.1045735268873429</v>
      </c>
      <c r="G3746">
        <v>6.2301466864795669</v>
      </c>
      <c r="H3746">
        <v>18.753119795941231</v>
      </c>
      <c r="I3746">
        <v>33.558246589133503</v>
      </c>
      <c r="J3746">
        <v>25.985127720153759</v>
      </c>
      <c r="K3746">
        <v>1166.180211337361</v>
      </c>
      <c r="L3746">
        <v>0</v>
      </c>
      <c r="M3746" t="s">
        <v>69</v>
      </c>
    </row>
    <row r="3747" spans="1:13" x14ac:dyDescent="0.3">
      <c r="A3747" t="s">
        <v>24</v>
      </c>
      <c r="B3747" t="s">
        <v>57</v>
      </c>
      <c r="C3747">
        <v>56.198763638752588</v>
      </c>
      <c r="D3747">
        <v>2.0984507236193388</v>
      </c>
      <c r="E3747">
        <v>2.6362602893289719</v>
      </c>
      <c r="F3747">
        <v>7.8524832975191714</v>
      </c>
      <c r="G3747">
        <v>5.4482223722654801</v>
      </c>
      <c r="H3747">
        <v>50.124782609290733</v>
      </c>
      <c r="I3747">
        <v>23.523060902434398</v>
      </c>
      <c r="J3747">
        <v>22.94529734920415</v>
      </c>
      <c r="K3747">
        <v>730.82728074128454</v>
      </c>
      <c r="L3747">
        <v>0</v>
      </c>
      <c r="M3747" t="s">
        <v>69</v>
      </c>
    </row>
    <row r="3748" spans="1:13" x14ac:dyDescent="0.3">
      <c r="A3748" t="s">
        <v>24</v>
      </c>
      <c r="B3748" t="s">
        <v>58</v>
      </c>
      <c r="C3748">
        <v>35.910646351871478</v>
      </c>
      <c r="D3748">
        <v>0.93108271180257374</v>
      </c>
      <c r="E3748">
        <v>2.0430671138927261</v>
      </c>
      <c r="F3748">
        <v>4.6060464503681668</v>
      </c>
      <c r="G3748">
        <v>6.8808911036092759</v>
      </c>
      <c r="H3748">
        <v>57.065508895717272</v>
      </c>
      <c r="I3748">
        <v>24.765034583765409</v>
      </c>
      <c r="J3748">
        <v>22.780836530460089</v>
      </c>
      <c r="K3748">
        <v>745.63992830157963</v>
      </c>
      <c r="L3748">
        <v>0</v>
      </c>
      <c r="M3748" t="s">
        <v>69</v>
      </c>
    </row>
    <row r="3749" spans="1:13" x14ac:dyDescent="0.3">
      <c r="A3749" t="s">
        <v>19</v>
      </c>
      <c r="B3749" t="s">
        <v>44</v>
      </c>
      <c r="C3749">
        <v>22.919654984243721</v>
      </c>
      <c r="D3749">
        <v>0.99855049037346211</v>
      </c>
      <c r="E3749">
        <v>0.98802121130795584</v>
      </c>
      <c r="F3749">
        <v>2.9665913464913558</v>
      </c>
      <c r="G3749">
        <v>6.4684297503476103</v>
      </c>
      <c r="H3749">
        <v>19.249148370514561</v>
      </c>
      <c r="I3749">
        <v>27.06745774591851</v>
      </c>
      <c r="J3749">
        <v>23.666246965919079</v>
      </c>
      <c r="K3749">
        <v>1313.247269082181</v>
      </c>
      <c r="L3749">
        <v>0</v>
      </c>
      <c r="M3749" t="s">
        <v>69</v>
      </c>
    </row>
    <row r="3750" spans="1:13" x14ac:dyDescent="0.3">
      <c r="A3750" t="s">
        <v>25</v>
      </c>
      <c r="B3750" t="s">
        <v>62</v>
      </c>
      <c r="C3750">
        <v>27.831096622094311</v>
      </c>
      <c r="D3750">
        <v>1.1837945878640479</v>
      </c>
      <c r="E3750">
        <v>1.4408535915788949</v>
      </c>
      <c r="F3750">
        <v>5.2673680015792517</v>
      </c>
      <c r="G3750">
        <v>5.429042134544634</v>
      </c>
      <c r="H3750">
        <v>46.665287860896868</v>
      </c>
      <c r="I3750">
        <v>20.999391625141239</v>
      </c>
      <c r="J3750">
        <v>24.547269394212329</v>
      </c>
      <c r="K3750">
        <v>1042.154444692191</v>
      </c>
      <c r="L3750">
        <v>0</v>
      </c>
      <c r="M3750" t="s">
        <v>69</v>
      </c>
    </row>
    <row r="3751" spans="1:13" x14ac:dyDescent="0.3">
      <c r="A3751" t="s">
        <v>20</v>
      </c>
      <c r="B3751" t="s">
        <v>49</v>
      </c>
      <c r="C3751">
        <v>34.717327096233539</v>
      </c>
      <c r="D3751">
        <v>0.93137238910477294</v>
      </c>
      <c r="E3751">
        <v>2.2947319651490168</v>
      </c>
      <c r="F3751">
        <v>6.870704070667232</v>
      </c>
      <c r="G3751">
        <v>6.3309724242638277</v>
      </c>
      <c r="H3751">
        <v>16.68205641556386</v>
      </c>
      <c r="I3751">
        <v>32.587013927509616</v>
      </c>
      <c r="J3751">
        <v>26.554986010827889</v>
      </c>
      <c r="K3751">
        <v>1121.4886824694231</v>
      </c>
      <c r="L3751">
        <v>0</v>
      </c>
      <c r="M3751" t="s">
        <v>69</v>
      </c>
    </row>
    <row r="3752" spans="1:13" x14ac:dyDescent="0.3">
      <c r="A3752" t="s">
        <v>24</v>
      </c>
      <c r="B3752" t="s">
        <v>59</v>
      </c>
      <c r="C3752">
        <v>57.931381710582237</v>
      </c>
      <c r="D3752">
        <v>2.032526411060672</v>
      </c>
      <c r="E3752">
        <v>3.9959524246504179</v>
      </c>
      <c r="F3752">
        <v>8.9119018816489444</v>
      </c>
      <c r="G3752">
        <v>6.6976885887799913</v>
      </c>
      <c r="H3752">
        <v>58.847351606044661</v>
      </c>
      <c r="I3752">
        <v>26.665193651993199</v>
      </c>
      <c r="J3752">
        <v>23.05123317419784</v>
      </c>
      <c r="K3752">
        <v>737.85034589008444</v>
      </c>
      <c r="L3752">
        <v>0</v>
      </c>
      <c r="M3752" t="s">
        <v>69</v>
      </c>
    </row>
    <row r="3753" spans="1:13" x14ac:dyDescent="0.3">
      <c r="A3753" t="s">
        <v>24</v>
      </c>
      <c r="B3753" t="s">
        <v>58</v>
      </c>
      <c r="C3753">
        <v>29.273789443305461</v>
      </c>
      <c r="D3753">
        <v>0.96212912928362426</v>
      </c>
      <c r="E3753">
        <v>2.057399766993635</v>
      </c>
      <c r="F3753">
        <v>4.2574610104761348</v>
      </c>
      <c r="G3753">
        <v>6.8883464823531746</v>
      </c>
      <c r="H3753">
        <v>33.125383681668957</v>
      </c>
      <c r="I3753">
        <v>24.327681276330221</v>
      </c>
      <c r="J3753">
        <v>23.21559897929129</v>
      </c>
      <c r="K3753">
        <v>734.2953924606029</v>
      </c>
      <c r="L3753">
        <v>0</v>
      </c>
      <c r="M3753" t="s">
        <v>69</v>
      </c>
    </row>
    <row r="3754" spans="1:13" x14ac:dyDescent="0.3">
      <c r="A3754" t="s">
        <v>25</v>
      </c>
      <c r="B3754" t="s">
        <v>62</v>
      </c>
      <c r="C3754">
        <v>31.958176789630759</v>
      </c>
      <c r="D3754">
        <v>1.0883838866505731</v>
      </c>
      <c r="E3754">
        <v>2.118925876992487</v>
      </c>
      <c r="F3754">
        <v>4.6992861383471816</v>
      </c>
      <c r="G3754">
        <v>6.4920064273453484</v>
      </c>
      <c r="H3754">
        <v>37.884885439110462</v>
      </c>
      <c r="I3754">
        <v>20.114178425825521</v>
      </c>
      <c r="J3754">
        <v>23.890413816281839</v>
      </c>
      <c r="K3754">
        <v>1088.079274145475</v>
      </c>
      <c r="L3754">
        <v>0</v>
      </c>
      <c r="M3754" t="s">
        <v>69</v>
      </c>
    </row>
    <row r="3755" spans="1:13" x14ac:dyDescent="0.3">
      <c r="A3755" t="s">
        <v>21</v>
      </c>
      <c r="B3755" t="s">
        <v>52</v>
      </c>
      <c r="C3755">
        <v>137.99515068165579</v>
      </c>
      <c r="D3755">
        <v>5.7452008371488157</v>
      </c>
      <c r="E3755">
        <v>9.0906538902435639</v>
      </c>
      <c r="F3755">
        <v>21.399598104089801</v>
      </c>
      <c r="G3755">
        <v>5.5159984078550259</v>
      </c>
      <c r="H3755">
        <v>55.997819052020972</v>
      </c>
      <c r="I3755">
        <v>27.999098697266049</v>
      </c>
      <c r="J3755">
        <v>24.918450428458151</v>
      </c>
      <c r="K3755">
        <v>743.2315302422403</v>
      </c>
      <c r="L3755">
        <v>0</v>
      </c>
      <c r="M3755" t="s">
        <v>69</v>
      </c>
    </row>
    <row r="3756" spans="1:13" x14ac:dyDescent="0.3">
      <c r="A3756" t="s">
        <v>25</v>
      </c>
      <c r="B3756" t="s">
        <v>62</v>
      </c>
      <c r="C3756">
        <v>588.39074593570808</v>
      </c>
      <c r="D3756">
        <v>27.975587065641069</v>
      </c>
      <c r="E3756">
        <v>44.454744966374797</v>
      </c>
      <c r="F3756">
        <v>96.557720356040676</v>
      </c>
      <c r="G3756">
        <v>4.4296973261616444</v>
      </c>
      <c r="H3756">
        <v>88.4</v>
      </c>
      <c r="I3756">
        <v>27.185128361022841</v>
      </c>
      <c r="J3756">
        <v>23.597798272685839</v>
      </c>
      <c r="K3756">
        <v>726.49225244750028</v>
      </c>
      <c r="L3756">
        <v>0</v>
      </c>
      <c r="M3756" t="s">
        <v>69</v>
      </c>
    </row>
    <row r="3757" spans="1:13" x14ac:dyDescent="0.3">
      <c r="A3757" t="s">
        <v>20</v>
      </c>
      <c r="B3757" t="s">
        <v>49</v>
      </c>
      <c r="C3757">
        <v>44.720970975132261</v>
      </c>
      <c r="D3757">
        <v>1.7303650162199891</v>
      </c>
      <c r="E3757">
        <v>3.2857858406927778</v>
      </c>
      <c r="F3757">
        <v>6.4948504963323241</v>
      </c>
      <c r="G3757">
        <v>5.4109356725144524</v>
      </c>
      <c r="H3757">
        <v>18.000648934240651</v>
      </c>
      <c r="I3757">
        <v>31.876718832112662</v>
      </c>
      <c r="J3757">
        <v>26.281329988921019</v>
      </c>
      <c r="K3757">
        <v>1152.0000188276299</v>
      </c>
      <c r="L3757">
        <v>0</v>
      </c>
      <c r="M3757" t="s">
        <v>69</v>
      </c>
    </row>
    <row r="3758" spans="1:13" x14ac:dyDescent="0.3">
      <c r="A3758" t="s">
        <v>25</v>
      </c>
      <c r="B3758" t="s">
        <v>62</v>
      </c>
      <c r="C3758">
        <v>273.66119603585139</v>
      </c>
      <c r="D3758">
        <v>19.24999679509607</v>
      </c>
      <c r="E3758">
        <v>25.235708756828679</v>
      </c>
      <c r="F3758">
        <v>60.958927975761164</v>
      </c>
      <c r="G3758">
        <v>4.3666549857376529</v>
      </c>
      <c r="H3758">
        <v>73.167289955039493</v>
      </c>
      <c r="I3758">
        <v>28.856192509475068</v>
      </c>
      <c r="J3758">
        <v>24.65173876786276</v>
      </c>
      <c r="K3758">
        <v>705.71137057539408</v>
      </c>
      <c r="L3758">
        <v>0</v>
      </c>
      <c r="M3758" t="s">
        <v>69</v>
      </c>
    </row>
    <row r="3759" spans="1:13" x14ac:dyDescent="0.3">
      <c r="A3759" t="s">
        <v>19</v>
      </c>
      <c r="B3759" t="s">
        <v>48</v>
      </c>
      <c r="C3759">
        <v>29.230350068656008</v>
      </c>
      <c r="D3759">
        <v>1.0189143627455091</v>
      </c>
      <c r="E3759">
        <v>1.976983433307997</v>
      </c>
      <c r="F3759">
        <v>5.8924703518406147</v>
      </c>
      <c r="G3759">
        <v>5.9971814332656326</v>
      </c>
      <c r="H3759">
        <v>22.94627895607109</v>
      </c>
      <c r="I3759">
        <v>32.68772073960632</v>
      </c>
      <c r="J3759">
        <v>25.93783078793329</v>
      </c>
      <c r="K3759">
        <v>1162.218505639544</v>
      </c>
      <c r="L3759">
        <v>0</v>
      </c>
      <c r="M3759" t="s">
        <v>69</v>
      </c>
    </row>
    <row r="3760" spans="1:13" x14ac:dyDescent="0.3">
      <c r="A3760" t="s">
        <v>24</v>
      </c>
      <c r="B3760" t="s">
        <v>58</v>
      </c>
      <c r="C3760">
        <v>35.940618968406298</v>
      </c>
      <c r="D3760">
        <v>1.1008092710390009</v>
      </c>
      <c r="E3760">
        <v>1.9079840577886731</v>
      </c>
      <c r="F3760">
        <v>4.454367073520979</v>
      </c>
      <c r="G3760">
        <v>6.9477686529554967</v>
      </c>
      <c r="H3760">
        <v>56.245919315559767</v>
      </c>
      <c r="I3760">
        <v>24.961254098666949</v>
      </c>
      <c r="J3760">
        <v>22.84520531456603</v>
      </c>
      <c r="K3760">
        <v>719.80978736887494</v>
      </c>
      <c r="L3760">
        <v>0</v>
      </c>
      <c r="M3760" t="s">
        <v>69</v>
      </c>
    </row>
    <row r="3761" spans="1:13" x14ac:dyDescent="0.3">
      <c r="A3761" t="s">
        <v>25</v>
      </c>
      <c r="B3761" t="s">
        <v>62</v>
      </c>
      <c r="C3761">
        <v>25.72728532391686</v>
      </c>
      <c r="D3761">
        <v>1.118853169978369</v>
      </c>
      <c r="E3761">
        <v>1.020792172714388</v>
      </c>
      <c r="F3761">
        <v>3.2270444033111652</v>
      </c>
      <c r="G3761">
        <v>6.3581124013862063</v>
      </c>
      <c r="H3761">
        <v>68.285375031150295</v>
      </c>
      <c r="I3761">
        <v>20.641983407926681</v>
      </c>
      <c r="J3761">
        <v>23.794326869123591</v>
      </c>
      <c r="K3761">
        <v>1199.8937447609919</v>
      </c>
      <c r="L3761">
        <v>0</v>
      </c>
      <c r="M3761" t="s">
        <v>69</v>
      </c>
    </row>
    <row r="3762" spans="1:13" x14ac:dyDescent="0.3">
      <c r="A3762" t="s">
        <v>24</v>
      </c>
      <c r="B3762" t="s">
        <v>59</v>
      </c>
      <c r="C3762">
        <v>60.37939848120056</v>
      </c>
      <c r="D3762">
        <v>1.7487800363807191</v>
      </c>
      <c r="E3762">
        <v>3.7441441488227629</v>
      </c>
      <c r="F3762">
        <v>9.7889389431583673</v>
      </c>
      <c r="G3762">
        <v>6.7719530593744492</v>
      </c>
      <c r="H3762">
        <v>59.48074300346623</v>
      </c>
      <c r="I3762">
        <v>27.482764928790381</v>
      </c>
      <c r="J3762">
        <v>22.788017324817211</v>
      </c>
      <c r="K3762">
        <v>747.10950454656029</v>
      </c>
      <c r="L3762">
        <v>0</v>
      </c>
      <c r="M3762" t="s">
        <v>69</v>
      </c>
    </row>
    <row r="3763" spans="1:13" x14ac:dyDescent="0.3">
      <c r="A3763" t="s">
        <v>19</v>
      </c>
      <c r="B3763" t="s">
        <v>44</v>
      </c>
      <c r="C3763">
        <v>19.757266930576922</v>
      </c>
      <c r="D3763">
        <v>1.0202502429364031</v>
      </c>
      <c r="E3763">
        <v>1.0596266566857619</v>
      </c>
      <c r="F3763">
        <v>2.71304824044954</v>
      </c>
      <c r="G3763">
        <v>6.1946919504115234</v>
      </c>
      <c r="H3763">
        <v>15.1845614731879</v>
      </c>
      <c r="I3763">
        <v>24.88401813662519</v>
      </c>
      <c r="J3763">
        <v>23.985631231729471</v>
      </c>
      <c r="K3763">
        <v>1316.8443349008221</v>
      </c>
      <c r="L3763">
        <v>0</v>
      </c>
      <c r="M3763" t="s">
        <v>69</v>
      </c>
    </row>
    <row r="3764" spans="1:13" x14ac:dyDescent="0.3">
      <c r="A3764" t="s">
        <v>20</v>
      </c>
      <c r="B3764" t="s">
        <v>49</v>
      </c>
      <c r="C3764">
        <v>45.338098632722719</v>
      </c>
      <c r="D3764">
        <v>1.8092303368254641</v>
      </c>
      <c r="E3764">
        <v>3.2320634764411169</v>
      </c>
      <c r="F3764">
        <v>6.3254031459261491</v>
      </c>
      <c r="G3764">
        <v>5.402214400544465</v>
      </c>
      <c r="H3764">
        <v>18.22122544820105</v>
      </c>
      <c r="I3764">
        <v>31.87635837681848</v>
      </c>
      <c r="J3764">
        <v>26.163179086263749</v>
      </c>
      <c r="K3764">
        <v>1156.9697560466841</v>
      </c>
      <c r="L3764">
        <v>0</v>
      </c>
      <c r="M3764" t="s">
        <v>69</v>
      </c>
    </row>
    <row r="3765" spans="1:13" x14ac:dyDescent="0.3">
      <c r="A3765" t="s">
        <v>19</v>
      </c>
      <c r="B3765" t="s">
        <v>45</v>
      </c>
      <c r="C3765">
        <v>21.018514345644501</v>
      </c>
      <c r="D3765">
        <v>1.126130242896993</v>
      </c>
      <c r="E3765">
        <v>1.069532114266653</v>
      </c>
      <c r="F3765">
        <v>3.015468710549706</v>
      </c>
      <c r="G3765">
        <v>6.100071311103294</v>
      </c>
      <c r="H3765">
        <v>19.584872530591451</v>
      </c>
      <c r="I3765">
        <v>31.671502807886529</v>
      </c>
      <c r="J3765">
        <v>22.879666795478141</v>
      </c>
      <c r="K3765">
        <v>1336.21177617232</v>
      </c>
      <c r="L3765">
        <v>0</v>
      </c>
      <c r="M3765" t="s">
        <v>69</v>
      </c>
    </row>
    <row r="3766" spans="1:13" x14ac:dyDescent="0.3">
      <c r="A3766" t="s">
        <v>24</v>
      </c>
      <c r="B3766" t="s">
        <v>58</v>
      </c>
      <c r="C3766">
        <v>33.278203974838632</v>
      </c>
      <c r="D3766">
        <v>0.9846575519470524</v>
      </c>
      <c r="E3766">
        <v>2.0963862260062589</v>
      </c>
      <c r="F3766">
        <v>5.0068502523624527</v>
      </c>
      <c r="G3766">
        <v>6.9928196206431164</v>
      </c>
      <c r="H3766">
        <v>55.390639626812778</v>
      </c>
      <c r="I3766">
        <v>23.964663867904459</v>
      </c>
      <c r="J3766">
        <v>22.738132032476731</v>
      </c>
      <c r="K3766">
        <v>723.30046140276988</v>
      </c>
      <c r="L3766">
        <v>0</v>
      </c>
      <c r="M3766" t="s">
        <v>69</v>
      </c>
    </row>
    <row r="3767" spans="1:13" x14ac:dyDescent="0.3">
      <c r="A3767" t="s">
        <v>21</v>
      </c>
      <c r="B3767" t="s">
        <v>52</v>
      </c>
      <c r="C3767">
        <v>137.37977335580831</v>
      </c>
      <c r="D3767">
        <v>5.3289062128182696</v>
      </c>
      <c r="E3767">
        <v>8.7664946417876717</v>
      </c>
      <c r="F3767">
        <v>18.854279771981581</v>
      </c>
      <c r="G3767">
        <v>5.2880621785131847</v>
      </c>
      <c r="H3767">
        <v>56.331275936004317</v>
      </c>
      <c r="I3767">
        <v>28.441206824771552</v>
      </c>
      <c r="J3767">
        <v>25.640162066608639</v>
      </c>
      <c r="K3767">
        <v>754.54812792454879</v>
      </c>
      <c r="L3767">
        <v>0</v>
      </c>
      <c r="M3767" t="s">
        <v>69</v>
      </c>
    </row>
    <row r="3768" spans="1:13" x14ac:dyDescent="0.3">
      <c r="A3768" t="s">
        <v>20</v>
      </c>
      <c r="B3768" t="s">
        <v>49</v>
      </c>
      <c r="C3768">
        <v>43.866397574318547</v>
      </c>
      <c r="D3768">
        <v>1.991474471141583</v>
      </c>
      <c r="E3768">
        <v>3.023874725422286</v>
      </c>
      <c r="F3768">
        <v>6.0013653653661336</v>
      </c>
      <c r="G3768">
        <v>5.5072230930531676</v>
      </c>
      <c r="H3768">
        <v>19.930862061815159</v>
      </c>
      <c r="I3768">
        <v>32.325092965168473</v>
      </c>
      <c r="J3768">
        <v>26.018204329719389</v>
      </c>
      <c r="K3768">
        <v>1157.0872839280021</v>
      </c>
      <c r="L3768">
        <v>0</v>
      </c>
      <c r="M3768" t="s">
        <v>69</v>
      </c>
    </row>
    <row r="3769" spans="1:13" x14ac:dyDescent="0.3">
      <c r="A3769" t="s">
        <v>20</v>
      </c>
      <c r="B3769" t="s">
        <v>49</v>
      </c>
      <c r="C3769">
        <v>43.669583796267759</v>
      </c>
      <c r="D3769">
        <v>1.963289220202808</v>
      </c>
      <c r="E3769">
        <v>3.022353276882257</v>
      </c>
      <c r="F3769">
        <v>6.6908949809720379</v>
      </c>
      <c r="G3769">
        <v>5.5584572114144377</v>
      </c>
      <c r="H3769">
        <v>19.45090318997622</v>
      </c>
      <c r="I3769">
        <v>32.920401511649999</v>
      </c>
      <c r="J3769">
        <v>25.655794271190011</v>
      </c>
      <c r="K3769">
        <v>1130.538466532385</v>
      </c>
      <c r="L3769">
        <v>0</v>
      </c>
      <c r="M3769" t="s">
        <v>69</v>
      </c>
    </row>
    <row r="3770" spans="1:13" x14ac:dyDescent="0.3">
      <c r="A3770" t="s">
        <v>20</v>
      </c>
      <c r="B3770" t="s">
        <v>49</v>
      </c>
      <c r="C3770">
        <v>39.13771244435226</v>
      </c>
      <c r="D3770">
        <v>1.0050092381732501</v>
      </c>
      <c r="E3770">
        <v>2.0958071322301008</v>
      </c>
      <c r="F3770">
        <v>7.3718797380293566</v>
      </c>
      <c r="G3770">
        <v>6.3606390961556736</v>
      </c>
      <c r="H3770">
        <v>17.874441805948909</v>
      </c>
      <c r="I3770">
        <v>31.408904618976461</v>
      </c>
      <c r="J3770">
        <v>27.128692758872671</v>
      </c>
      <c r="K3770">
        <v>1149.059710520698</v>
      </c>
      <c r="L3770">
        <v>0</v>
      </c>
      <c r="M3770" t="s">
        <v>69</v>
      </c>
    </row>
    <row r="3771" spans="1:13" x14ac:dyDescent="0.3">
      <c r="A3771" t="s">
        <v>24</v>
      </c>
      <c r="B3771" t="s">
        <v>59</v>
      </c>
      <c r="C3771">
        <v>61.245794749471649</v>
      </c>
      <c r="D3771">
        <v>1.8209762548130879</v>
      </c>
      <c r="E3771">
        <v>4.1432946639740349</v>
      </c>
      <c r="F3771">
        <v>9.7515254031212848</v>
      </c>
      <c r="G3771">
        <v>6.9005401279695144</v>
      </c>
      <c r="H3771">
        <v>57.0771573046801</v>
      </c>
      <c r="I3771">
        <v>27.065776135603819</v>
      </c>
      <c r="J3771">
        <v>22.80865893327082</v>
      </c>
      <c r="K3771">
        <v>757.17274179980984</v>
      </c>
      <c r="L3771">
        <v>0</v>
      </c>
      <c r="M3771" t="s">
        <v>69</v>
      </c>
    </row>
    <row r="3772" spans="1:13" x14ac:dyDescent="0.3">
      <c r="A3772" t="s">
        <v>19</v>
      </c>
      <c r="B3772" t="s">
        <v>44</v>
      </c>
      <c r="C3772">
        <v>22.614078478591129</v>
      </c>
      <c r="D3772">
        <v>1.015696660281004</v>
      </c>
      <c r="E3772">
        <v>1.0259248582560261</v>
      </c>
      <c r="F3772">
        <v>3.1182600662110289</v>
      </c>
      <c r="G3772">
        <v>6.5968576942546893</v>
      </c>
      <c r="H3772">
        <v>18.555869056283871</v>
      </c>
      <c r="I3772">
        <v>27.02717115459749</v>
      </c>
      <c r="J3772">
        <v>24.244541778476929</v>
      </c>
      <c r="K3772">
        <v>1331.640796129941</v>
      </c>
      <c r="L3772">
        <v>0</v>
      </c>
      <c r="M3772" t="s">
        <v>69</v>
      </c>
    </row>
    <row r="3773" spans="1:13" x14ac:dyDescent="0.3">
      <c r="A3773" t="s">
        <v>19</v>
      </c>
      <c r="B3773" t="s">
        <v>48</v>
      </c>
      <c r="C3773">
        <v>42.8010321492225</v>
      </c>
      <c r="D3773">
        <v>1.6507361939781291</v>
      </c>
      <c r="E3773">
        <v>3.344093428141202</v>
      </c>
      <c r="F3773">
        <v>5.6950937639227526</v>
      </c>
      <c r="G3773">
        <v>5.6048659614054284</v>
      </c>
      <c r="H3773">
        <v>18.98683316185021</v>
      </c>
      <c r="I3773">
        <v>32.657773815552773</v>
      </c>
      <c r="J3773">
        <v>26.816629799682101</v>
      </c>
      <c r="K3773">
        <v>1171.305662970163</v>
      </c>
      <c r="L3773">
        <v>0</v>
      </c>
      <c r="M3773" t="s">
        <v>69</v>
      </c>
    </row>
    <row r="3774" spans="1:13" x14ac:dyDescent="0.3">
      <c r="A3774" t="s">
        <v>20</v>
      </c>
      <c r="B3774" t="s">
        <v>49</v>
      </c>
      <c r="C3774">
        <v>41.790478777844477</v>
      </c>
      <c r="D3774">
        <v>2.0331414563934631</v>
      </c>
      <c r="E3774">
        <v>3.0489123795279158</v>
      </c>
      <c r="F3774">
        <v>7.5688771487892188</v>
      </c>
      <c r="G3774">
        <v>6.1941831154026117</v>
      </c>
      <c r="H3774">
        <v>20.433741730588</v>
      </c>
      <c r="I3774">
        <v>32.908261947802188</v>
      </c>
      <c r="J3774">
        <v>26.258291167824002</v>
      </c>
      <c r="K3774">
        <v>1153.528503446998</v>
      </c>
      <c r="L3774">
        <v>0</v>
      </c>
      <c r="M3774" t="s">
        <v>69</v>
      </c>
    </row>
    <row r="3775" spans="1:13" x14ac:dyDescent="0.3">
      <c r="A3775" t="s">
        <v>25</v>
      </c>
      <c r="B3775" t="s">
        <v>62</v>
      </c>
      <c r="C3775">
        <v>58.325849738273583</v>
      </c>
      <c r="D3775">
        <v>3.0105615214485089</v>
      </c>
      <c r="E3775">
        <v>4.0456405852660229</v>
      </c>
      <c r="F3775">
        <v>9.577335339763458</v>
      </c>
      <c r="G3775">
        <v>6.3533105138912962</v>
      </c>
      <c r="H3775">
        <v>19.353250373012781</v>
      </c>
      <c r="I3775">
        <v>34.459797892939349</v>
      </c>
      <c r="J3775">
        <v>25.863749677228931</v>
      </c>
      <c r="K3775">
        <v>1206.874687520683</v>
      </c>
      <c r="L3775">
        <v>0</v>
      </c>
      <c r="M3775" t="s">
        <v>69</v>
      </c>
    </row>
    <row r="3776" spans="1:13" x14ac:dyDescent="0.3">
      <c r="A3776" t="s">
        <v>25</v>
      </c>
      <c r="B3776" t="s">
        <v>62</v>
      </c>
      <c r="C3776">
        <v>25.099813492576619</v>
      </c>
      <c r="D3776">
        <v>1.100620010206637</v>
      </c>
      <c r="E3776">
        <v>0.99243236240513344</v>
      </c>
      <c r="F3776">
        <v>2.8078668248557039</v>
      </c>
      <c r="G3776">
        <v>6.2339920050376199</v>
      </c>
      <c r="H3776">
        <v>67.369566087084223</v>
      </c>
      <c r="I3776">
        <v>19.914778524962781</v>
      </c>
      <c r="J3776">
        <v>24.515904369129949</v>
      </c>
      <c r="K3776">
        <v>1199.191329853164</v>
      </c>
      <c r="L3776">
        <v>0</v>
      </c>
      <c r="M3776" t="s">
        <v>69</v>
      </c>
    </row>
    <row r="3777" spans="1:13" x14ac:dyDescent="0.3">
      <c r="A3777" t="s">
        <v>24</v>
      </c>
      <c r="B3777" t="s">
        <v>58</v>
      </c>
      <c r="C3777">
        <v>33.392841199481687</v>
      </c>
      <c r="D3777">
        <v>1.109288840086728</v>
      </c>
      <c r="E3777">
        <v>2.0004344749908598</v>
      </c>
      <c r="F3777">
        <v>4.4972446695488273</v>
      </c>
      <c r="G3777">
        <v>6.5272144889941446</v>
      </c>
      <c r="H3777">
        <v>56.629504998025112</v>
      </c>
      <c r="I3777">
        <v>26.2984979827777</v>
      </c>
      <c r="J3777">
        <v>22.230585297609309</v>
      </c>
      <c r="K3777">
        <v>709.08755868826881</v>
      </c>
      <c r="L3777">
        <v>0</v>
      </c>
      <c r="M3777" t="s">
        <v>69</v>
      </c>
    </row>
    <row r="3778" spans="1:13" x14ac:dyDescent="0.3">
      <c r="A3778" t="s">
        <v>20</v>
      </c>
      <c r="B3778" t="s">
        <v>49</v>
      </c>
      <c r="C3778">
        <v>30.53567025101427</v>
      </c>
      <c r="D3778">
        <v>1.1260960083695291</v>
      </c>
      <c r="E3778">
        <v>1.8465559096395261</v>
      </c>
      <c r="F3778">
        <v>5.2831342193911421</v>
      </c>
      <c r="G3778">
        <v>5.9812095168465964</v>
      </c>
      <c r="H3778">
        <v>23.775195025981311</v>
      </c>
      <c r="I3778">
        <v>32.051470073360683</v>
      </c>
      <c r="J3778">
        <v>25.585537742372409</v>
      </c>
      <c r="K3778">
        <v>1118.1232653087141</v>
      </c>
      <c r="L3778">
        <v>0</v>
      </c>
      <c r="M3778" t="s">
        <v>69</v>
      </c>
    </row>
    <row r="3779" spans="1:13" x14ac:dyDescent="0.3">
      <c r="A3779" t="s">
        <v>19</v>
      </c>
      <c r="B3779" t="s">
        <v>48</v>
      </c>
      <c r="C3779">
        <v>32.499743735883108</v>
      </c>
      <c r="D3779">
        <v>0.94758698777791084</v>
      </c>
      <c r="E3779">
        <v>2.1553513065878231</v>
      </c>
      <c r="F3779">
        <v>6.484740650334647</v>
      </c>
      <c r="G3779">
        <v>6.0074216687223254</v>
      </c>
      <c r="H3779">
        <v>24.021357466717578</v>
      </c>
      <c r="I3779">
        <v>32.00824718743219</v>
      </c>
      <c r="J3779">
        <v>25.645363796927519</v>
      </c>
      <c r="K3779">
        <v>1179.8654082084779</v>
      </c>
      <c r="L3779">
        <v>0</v>
      </c>
      <c r="M3779" t="s">
        <v>69</v>
      </c>
    </row>
    <row r="3780" spans="1:13" x14ac:dyDescent="0.3">
      <c r="A3780" t="s">
        <v>19</v>
      </c>
      <c r="B3780" t="s">
        <v>46</v>
      </c>
      <c r="C3780">
        <v>17.346874255399602</v>
      </c>
      <c r="D3780">
        <v>0</v>
      </c>
      <c r="E3780">
        <v>1.143631513752865</v>
      </c>
      <c r="F3780">
        <v>3.5421160087138879</v>
      </c>
      <c r="G3780">
        <v>5.2563742649576488</v>
      </c>
      <c r="H3780">
        <v>14.53228954137758</v>
      </c>
      <c r="I3780">
        <v>30.99522503320884</v>
      </c>
      <c r="J3780">
        <v>24.473610615390879</v>
      </c>
      <c r="K3780">
        <v>1362.4922016547721</v>
      </c>
      <c r="L3780">
        <v>0</v>
      </c>
      <c r="M3780" t="s">
        <v>69</v>
      </c>
    </row>
    <row r="3781" spans="1:13" x14ac:dyDescent="0.3">
      <c r="A3781" t="s">
        <v>19</v>
      </c>
      <c r="B3781" t="s">
        <v>44</v>
      </c>
      <c r="C3781">
        <v>23.00687327104788</v>
      </c>
      <c r="D3781">
        <v>1.048776788223547</v>
      </c>
      <c r="E3781">
        <v>1.114883259973638</v>
      </c>
      <c r="F3781">
        <v>3.2482778182281939</v>
      </c>
      <c r="G3781">
        <v>6.5660891230449963</v>
      </c>
      <c r="H3781">
        <v>18.394657532523201</v>
      </c>
      <c r="I3781">
        <v>27.348237564559462</v>
      </c>
      <c r="J3781">
        <v>24.65935918992653</v>
      </c>
      <c r="K3781">
        <v>1338.0042219207869</v>
      </c>
      <c r="L3781">
        <v>0</v>
      </c>
      <c r="M3781" t="s">
        <v>69</v>
      </c>
    </row>
    <row r="3782" spans="1:13" x14ac:dyDescent="0.3">
      <c r="A3782" t="s">
        <v>19</v>
      </c>
      <c r="B3782" t="s">
        <v>48</v>
      </c>
      <c r="C3782">
        <v>27.331943435927581</v>
      </c>
      <c r="D3782">
        <v>0.98846658455824743</v>
      </c>
      <c r="E3782">
        <v>0.97758706247221294</v>
      </c>
      <c r="F3782">
        <v>3.9945325924334512</v>
      </c>
      <c r="G3782">
        <v>6.0073151378567893</v>
      </c>
      <c r="H3782">
        <v>16.305134892679209</v>
      </c>
      <c r="I3782">
        <v>30.848989625437682</v>
      </c>
      <c r="J3782">
        <v>25.856974818322058</v>
      </c>
      <c r="K3782">
        <v>1167.868126688868</v>
      </c>
      <c r="L3782">
        <v>0</v>
      </c>
      <c r="M3782" t="s">
        <v>69</v>
      </c>
    </row>
    <row r="3783" spans="1:13" x14ac:dyDescent="0.3">
      <c r="A3783" t="s">
        <v>24</v>
      </c>
      <c r="B3783" t="s">
        <v>58</v>
      </c>
      <c r="C3783">
        <v>12.928778062050551</v>
      </c>
      <c r="D3783">
        <v>0</v>
      </c>
      <c r="E3783">
        <v>0</v>
      </c>
      <c r="F3783">
        <v>1.8749317960699661</v>
      </c>
      <c r="G3783">
        <v>6.4919044757602151</v>
      </c>
      <c r="H3783">
        <v>42.589822383998907</v>
      </c>
      <c r="I3783">
        <v>24.83493783571463</v>
      </c>
      <c r="J3783">
        <v>23.032746331734081</v>
      </c>
      <c r="K3783">
        <v>746.91138360241484</v>
      </c>
      <c r="L3783">
        <v>0</v>
      </c>
      <c r="M3783" t="s">
        <v>69</v>
      </c>
    </row>
    <row r="3784" spans="1:13" x14ac:dyDescent="0.3">
      <c r="A3784" t="s">
        <v>21</v>
      </c>
      <c r="B3784" t="s">
        <v>52</v>
      </c>
      <c r="C3784">
        <v>126.9934703949038</v>
      </c>
      <c r="D3784">
        <v>5.9214971205065172</v>
      </c>
      <c r="E3784">
        <v>7.8865189187943301</v>
      </c>
      <c r="F3784">
        <v>20.875912471925059</v>
      </c>
      <c r="G3784">
        <v>5.4988974945039661</v>
      </c>
      <c r="H3784">
        <v>58.475770586877182</v>
      </c>
      <c r="I3784">
        <v>28.63248033056724</v>
      </c>
      <c r="J3784">
        <v>25.254583057010379</v>
      </c>
      <c r="K3784">
        <v>738.40615013792944</v>
      </c>
      <c r="L3784">
        <v>0</v>
      </c>
      <c r="M3784" t="s">
        <v>69</v>
      </c>
    </row>
    <row r="3785" spans="1:13" x14ac:dyDescent="0.3">
      <c r="A3785" t="s">
        <v>25</v>
      </c>
      <c r="B3785" t="s">
        <v>62</v>
      </c>
      <c r="C3785">
        <v>258.8946334425051</v>
      </c>
      <c r="D3785">
        <v>19.29400898910313</v>
      </c>
      <c r="E3785">
        <v>26.493001889379979</v>
      </c>
      <c r="F3785">
        <v>60.924824392232907</v>
      </c>
      <c r="G3785">
        <v>4.3999666337399947</v>
      </c>
      <c r="H3785">
        <v>72.600409072700117</v>
      </c>
      <c r="I3785">
        <v>29.202099287984272</v>
      </c>
      <c r="J3785">
        <v>24.121615958980179</v>
      </c>
      <c r="K3785">
        <v>710.73922756653053</v>
      </c>
      <c r="L3785">
        <v>0</v>
      </c>
      <c r="M3785" t="s">
        <v>69</v>
      </c>
    </row>
    <row r="3786" spans="1:13" x14ac:dyDescent="0.3">
      <c r="A3786" t="s">
        <v>24</v>
      </c>
      <c r="B3786" t="s">
        <v>59</v>
      </c>
      <c r="C3786">
        <v>57.92831486910729</v>
      </c>
      <c r="D3786">
        <v>2.0761314543952039</v>
      </c>
      <c r="E3786">
        <v>3.7830388028397488</v>
      </c>
      <c r="F3786">
        <v>8.8733526947221559</v>
      </c>
      <c r="G3786">
        <v>6.7494511982754801</v>
      </c>
      <c r="H3786">
        <v>56.94498803317795</v>
      </c>
      <c r="I3786">
        <v>26.430916925731449</v>
      </c>
      <c r="J3786">
        <v>22.425115357306989</v>
      </c>
      <c r="K3786">
        <v>733.57289175668723</v>
      </c>
      <c r="L3786">
        <v>0</v>
      </c>
      <c r="M3786" t="s">
        <v>69</v>
      </c>
    </row>
    <row r="3787" spans="1:13" x14ac:dyDescent="0.3">
      <c r="A3787" t="s">
        <v>25</v>
      </c>
      <c r="B3787" t="s">
        <v>62</v>
      </c>
      <c r="C3787">
        <v>266.02146446926042</v>
      </c>
      <c r="D3787">
        <v>18.081851178519059</v>
      </c>
      <c r="E3787">
        <v>27.29648448984813</v>
      </c>
      <c r="F3787">
        <v>56.863897481946282</v>
      </c>
      <c r="G3787">
        <v>4.466845959369298</v>
      </c>
      <c r="H3787">
        <v>74.576360319307085</v>
      </c>
      <c r="I3787">
        <v>30.564782104626008</v>
      </c>
      <c r="J3787">
        <v>24.336797628229501</v>
      </c>
      <c r="K3787">
        <v>728.81135299231289</v>
      </c>
      <c r="L3787">
        <v>0</v>
      </c>
      <c r="M3787" t="s">
        <v>69</v>
      </c>
    </row>
    <row r="3788" spans="1:13" x14ac:dyDescent="0.3">
      <c r="A3788" t="s">
        <v>25</v>
      </c>
      <c r="B3788" t="s">
        <v>62</v>
      </c>
      <c r="C3788">
        <v>25.846884791214521</v>
      </c>
      <c r="D3788">
        <v>1.150168655002809</v>
      </c>
      <c r="E3788">
        <v>1.074309423721743</v>
      </c>
      <c r="F3788">
        <v>3.0618414041265178</v>
      </c>
      <c r="G3788">
        <v>6.2963358414193049</v>
      </c>
      <c r="H3788">
        <v>68.31327199289251</v>
      </c>
      <c r="I3788">
        <v>20.473291058725671</v>
      </c>
      <c r="J3788">
        <v>22.801116171377849</v>
      </c>
      <c r="K3788">
        <v>1236.3648375188091</v>
      </c>
      <c r="L3788">
        <v>0</v>
      </c>
      <c r="M3788" t="s">
        <v>69</v>
      </c>
    </row>
    <row r="3789" spans="1:13" x14ac:dyDescent="0.3">
      <c r="A3789" t="s">
        <v>19</v>
      </c>
      <c r="B3789" t="s">
        <v>48</v>
      </c>
      <c r="C3789">
        <v>43.620339275383493</v>
      </c>
      <c r="D3789">
        <v>1.9123321254295069</v>
      </c>
      <c r="E3789">
        <v>2.9286148744497429</v>
      </c>
      <c r="F3789">
        <v>6.9793046945869754</v>
      </c>
      <c r="G3789">
        <v>6.0975363582712276</v>
      </c>
      <c r="H3789">
        <v>19.806497361156879</v>
      </c>
      <c r="I3789">
        <v>32.028964694610281</v>
      </c>
      <c r="J3789">
        <v>26.027388878674891</v>
      </c>
      <c r="K3789">
        <v>1169.163607553616</v>
      </c>
      <c r="L3789">
        <v>0</v>
      </c>
      <c r="M3789" t="s">
        <v>69</v>
      </c>
    </row>
    <row r="3790" spans="1:13" x14ac:dyDescent="0.3">
      <c r="A3790" t="s">
        <v>24</v>
      </c>
      <c r="B3790" t="s">
        <v>57</v>
      </c>
      <c r="C3790">
        <v>54.616679412238568</v>
      </c>
      <c r="D3790">
        <v>1.9797660257008549</v>
      </c>
      <c r="E3790">
        <v>2.9785278449492929</v>
      </c>
      <c r="F3790">
        <v>8.6458030082158217</v>
      </c>
      <c r="G3790">
        <v>5.5343375952960479</v>
      </c>
      <c r="H3790">
        <v>49.845849244829203</v>
      </c>
      <c r="I3790">
        <v>23.317499216496081</v>
      </c>
      <c r="J3790">
        <v>22.962964449738632</v>
      </c>
      <c r="K3790">
        <v>736.75438325833011</v>
      </c>
      <c r="L3790">
        <v>0</v>
      </c>
      <c r="M3790" t="s">
        <v>69</v>
      </c>
    </row>
    <row r="3791" spans="1:13" x14ac:dyDescent="0.3">
      <c r="A3791" t="s">
        <v>24</v>
      </c>
      <c r="B3791" t="s">
        <v>57</v>
      </c>
      <c r="C3791">
        <v>54.658030107727477</v>
      </c>
      <c r="D3791">
        <v>2.037435894385772</v>
      </c>
      <c r="E3791">
        <v>2.682575507706435</v>
      </c>
      <c r="F3791">
        <v>6.825946227467286</v>
      </c>
      <c r="G3791">
        <v>5.5822568793648362</v>
      </c>
      <c r="H3791">
        <v>52.340921496538563</v>
      </c>
      <c r="I3791">
        <v>23.704306087434659</v>
      </c>
      <c r="J3791">
        <v>21.64266083011282</v>
      </c>
      <c r="K3791">
        <v>719.90667591595957</v>
      </c>
      <c r="L3791">
        <v>0</v>
      </c>
      <c r="M3791" t="s">
        <v>69</v>
      </c>
    </row>
    <row r="3792" spans="1:13" x14ac:dyDescent="0.3">
      <c r="A3792" t="s">
        <v>25</v>
      </c>
      <c r="B3792" t="s">
        <v>62</v>
      </c>
      <c r="C3792">
        <v>25.135298966812702</v>
      </c>
      <c r="D3792">
        <v>1.201873831633306</v>
      </c>
      <c r="E3792">
        <v>0.96911545795695986</v>
      </c>
      <c r="F3792">
        <v>2.8168616301518612</v>
      </c>
      <c r="G3792">
        <v>6.2449188961741742</v>
      </c>
      <c r="H3792">
        <v>66.670169796076053</v>
      </c>
      <c r="I3792">
        <v>20.441198542098789</v>
      </c>
      <c r="J3792">
        <v>24.37835655383493</v>
      </c>
      <c r="K3792">
        <v>1203.766582969678</v>
      </c>
      <c r="L3792">
        <v>0</v>
      </c>
      <c r="M3792" t="s">
        <v>69</v>
      </c>
    </row>
    <row r="3793" spans="1:13" x14ac:dyDescent="0.3">
      <c r="A3793" t="s">
        <v>24</v>
      </c>
      <c r="B3793" t="s">
        <v>58</v>
      </c>
      <c r="C3793">
        <v>28.883027701215571</v>
      </c>
      <c r="D3793">
        <v>0.98358549552495189</v>
      </c>
      <c r="E3793">
        <v>2.1201895761784102</v>
      </c>
      <c r="F3793">
        <v>3.8889075472524</v>
      </c>
      <c r="G3793">
        <v>6.88632034357697</v>
      </c>
      <c r="H3793">
        <v>33.739337594174152</v>
      </c>
      <c r="I3793">
        <v>25.717090550691971</v>
      </c>
      <c r="J3793">
        <v>22.599696245773131</v>
      </c>
      <c r="K3793">
        <v>738.52594110822156</v>
      </c>
      <c r="L3793">
        <v>0</v>
      </c>
      <c r="M3793" t="s">
        <v>69</v>
      </c>
    </row>
    <row r="3794" spans="1:13" x14ac:dyDescent="0.3">
      <c r="A3794" t="s">
        <v>25</v>
      </c>
      <c r="B3794" t="s">
        <v>62</v>
      </c>
      <c r="C3794">
        <v>30.0800598288</v>
      </c>
      <c r="D3794">
        <v>1.0862612380667001</v>
      </c>
      <c r="E3794">
        <v>2.1229192036219811</v>
      </c>
      <c r="F3794">
        <v>4.5603288878048414</v>
      </c>
      <c r="G3794">
        <v>6.149535034285238</v>
      </c>
      <c r="H3794">
        <v>23.83051008651352</v>
      </c>
      <c r="I3794">
        <v>23.340367917079369</v>
      </c>
      <c r="J3794">
        <v>24.989274492667249</v>
      </c>
      <c r="K3794">
        <v>1206.7896386950169</v>
      </c>
      <c r="L3794">
        <v>0</v>
      </c>
      <c r="M3794" t="s">
        <v>69</v>
      </c>
    </row>
    <row r="3795" spans="1:13" x14ac:dyDescent="0.3">
      <c r="A3795" t="s">
        <v>19</v>
      </c>
      <c r="B3795" t="s">
        <v>48</v>
      </c>
      <c r="C3795">
        <v>65.044395185986048</v>
      </c>
      <c r="D3795">
        <v>2.8602385962836392</v>
      </c>
      <c r="E3795">
        <v>3.9866266368179222</v>
      </c>
      <c r="F3795">
        <v>9.2858959239324577</v>
      </c>
      <c r="G3795">
        <v>6.3641207719294854</v>
      </c>
      <c r="H3795">
        <v>18.634861649614759</v>
      </c>
      <c r="I3795">
        <v>31.87193525596572</v>
      </c>
      <c r="J3795">
        <v>26.072054054106601</v>
      </c>
      <c r="K3795">
        <v>1180.9549521964011</v>
      </c>
      <c r="L3795">
        <v>0</v>
      </c>
      <c r="M3795" t="s">
        <v>69</v>
      </c>
    </row>
    <row r="3796" spans="1:13" x14ac:dyDescent="0.3">
      <c r="A3796" t="s">
        <v>25</v>
      </c>
      <c r="B3796" t="s">
        <v>62</v>
      </c>
      <c r="C3796">
        <v>30.224451620276671</v>
      </c>
      <c r="D3796">
        <v>1.0727218633449731</v>
      </c>
      <c r="E3796">
        <v>2.1036260750322051</v>
      </c>
      <c r="F3796">
        <v>4.4723808945992278</v>
      </c>
      <c r="G3796">
        <v>6.1574559046140749</v>
      </c>
      <c r="H3796">
        <v>23.95128753553675</v>
      </c>
      <c r="I3796">
        <v>23.334031857357498</v>
      </c>
      <c r="J3796">
        <v>24.83400013817085</v>
      </c>
      <c r="K3796">
        <v>1207.293529963847</v>
      </c>
      <c r="L3796">
        <v>0</v>
      </c>
      <c r="M3796" t="s">
        <v>69</v>
      </c>
    </row>
    <row r="3797" spans="1:13" x14ac:dyDescent="0.3">
      <c r="A3797" t="s">
        <v>19</v>
      </c>
      <c r="B3797" t="s">
        <v>48</v>
      </c>
      <c r="C3797">
        <v>28.326589268479211</v>
      </c>
      <c r="D3797">
        <v>1.01670545267993</v>
      </c>
      <c r="E3797">
        <v>1.0883186022507561</v>
      </c>
      <c r="F3797">
        <v>4.4384995535220959</v>
      </c>
      <c r="G3797">
        <v>6.0124754921676029</v>
      </c>
      <c r="H3797">
        <v>16.235166134422752</v>
      </c>
      <c r="I3797">
        <v>30.676635368302019</v>
      </c>
      <c r="J3797">
        <v>25.994327632429091</v>
      </c>
      <c r="K3797">
        <v>1172.098977430536</v>
      </c>
      <c r="L3797">
        <v>0</v>
      </c>
      <c r="M3797" t="s">
        <v>69</v>
      </c>
    </row>
    <row r="3798" spans="1:13" x14ac:dyDescent="0.3">
      <c r="A3798" t="s">
        <v>25</v>
      </c>
      <c r="B3798" t="s">
        <v>62</v>
      </c>
      <c r="C3798">
        <v>23.286575109826359</v>
      </c>
      <c r="D3798">
        <v>1.021680916693003</v>
      </c>
      <c r="E3798">
        <v>1.035585191216928</v>
      </c>
      <c r="F3798">
        <v>4.638097471915172</v>
      </c>
      <c r="G3798">
        <v>5.5882697864784339</v>
      </c>
      <c r="H3798">
        <v>48.071190455497742</v>
      </c>
      <c r="I3798">
        <v>21.358918501345482</v>
      </c>
      <c r="J3798">
        <v>23.032265405831911</v>
      </c>
      <c r="K3798">
        <v>1079.432237001826</v>
      </c>
      <c r="L3798">
        <v>0</v>
      </c>
      <c r="M3798" t="s">
        <v>69</v>
      </c>
    </row>
    <row r="3799" spans="1:13" x14ac:dyDescent="0.3">
      <c r="A3799" t="s">
        <v>19</v>
      </c>
      <c r="B3799" t="s">
        <v>48</v>
      </c>
      <c r="C3799">
        <v>38.959721817487683</v>
      </c>
      <c r="D3799">
        <v>0.93546932009727923</v>
      </c>
      <c r="E3799">
        <v>2.022754590221425</v>
      </c>
      <c r="F3799">
        <v>6.0051266546027371</v>
      </c>
      <c r="G3799">
        <v>6.3442808491416729</v>
      </c>
      <c r="H3799">
        <v>15.975141401271211</v>
      </c>
      <c r="I3799">
        <v>31.87064025836715</v>
      </c>
      <c r="J3799">
        <v>26.177428702375501</v>
      </c>
      <c r="K3799">
        <v>1181.3377280007271</v>
      </c>
      <c r="L3799">
        <v>0</v>
      </c>
      <c r="M3799" t="s">
        <v>69</v>
      </c>
    </row>
    <row r="3800" spans="1:13" x14ac:dyDescent="0.3">
      <c r="A3800" t="s">
        <v>25</v>
      </c>
      <c r="B3800" t="s">
        <v>62</v>
      </c>
      <c r="C3800">
        <v>588.41079770957242</v>
      </c>
      <c r="D3800">
        <v>28.02966844949708</v>
      </c>
      <c r="E3800">
        <v>34.279932254043374</v>
      </c>
      <c r="F3800">
        <v>90.594808152801761</v>
      </c>
      <c r="G3800">
        <v>4.3988943738885267</v>
      </c>
      <c r="H3800">
        <v>88.4</v>
      </c>
      <c r="I3800">
        <v>27.09651003389919</v>
      </c>
      <c r="J3800">
        <v>23.765571143946431</v>
      </c>
      <c r="K3800">
        <v>708.93252427155812</v>
      </c>
      <c r="L3800">
        <v>0</v>
      </c>
      <c r="M3800" t="s">
        <v>69</v>
      </c>
    </row>
    <row r="3801" spans="1:13" x14ac:dyDescent="0.3">
      <c r="A3801" t="s">
        <v>24</v>
      </c>
      <c r="B3801" t="s">
        <v>59</v>
      </c>
      <c r="C3801">
        <v>58.844121618581973</v>
      </c>
      <c r="D3801">
        <v>1.8743268411691121</v>
      </c>
      <c r="E3801">
        <v>3.611924790999391</v>
      </c>
      <c r="F3801">
        <v>9.8215065197744558</v>
      </c>
      <c r="G3801">
        <v>6.7726622557809586</v>
      </c>
      <c r="H3801">
        <v>61.653608358020449</v>
      </c>
      <c r="I3801">
        <v>26.784083963503981</v>
      </c>
      <c r="J3801">
        <v>22.922202678540351</v>
      </c>
      <c r="K3801">
        <v>733.96298777033985</v>
      </c>
      <c r="L3801">
        <v>0</v>
      </c>
      <c r="M3801" t="s">
        <v>69</v>
      </c>
    </row>
    <row r="3802" spans="1:13" x14ac:dyDescent="0.3">
      <c r="A3802" t="s">
        <v>21</v>
      </c>
      <c r="B3802" t="s">
        <v>52</v>
      </c>
      <c r="C3802">
        <v>140.30369116323371</v>
      </c>
      <c r="D3802">
        <v>5.68975730625829</v>
      </c>
      <c r="E3802">
        <v>9.2541514342023596</v>
      </c>
      <c r="F3802">
        <v>22.939383927011221</v>
      </c>
      <c r="G3802">
        <v>5.5624254920110561</v>
      </c>
      <c r="H3802">
        <v>56.802173933043157</v>
      </c>
      <c r="I3802">
        <v>27.97823251078367</v>
      </c>
      <c r="J3802">
        <v>24.874035181836842</v>
      </c>
      <c r="K3802">
        <v>740.6077929642853</v>
      </c>
      <c r="L3802">
        <v>0</v>
      </c>
      <c r="M3802" t="s">
        <v>69</v>
      </c>
    </row>
    <row r="3803" spans="1:13" x14ac:dyDescent="0.3">
      <c r="A3803" t="s">
        <v>19</v>
      </c>
      <c r="B3803" t="s">
        <v>44</v>
      </c>
      <c r="C3803">
        <v>22.696652123914841</v>
      </c>
      <c r="D3803">
        <v>0.97941572404300592</v>
      </c>
      <c r="E3803">
        <v>0.97881165617137444</v>
      </c>
      <c r="F3803">
        <v>3.2301455239246599</v>
      </c>
      <c r="G3803">
        <v>6.2976166177017738</v>
      </c>
      <c r="H3803">
        <v>18.610780047336512</v>
      </c>
      <c r="I3803">
        <v>27.719917630080499</v>
      </c>
      <c r="J3803">
        <v>23.94611964156659</v>
      </c>
      <c r="K3803">
        <v>1297.7161123727101</v>
      </c>
      <c r="L3803">
        <v>0</v>
      </c>
      <c r="M3803" t="s">
        <v>69</v>
      </c>
    </row>
    <row r="3804" spans="1:13" x14ac:dyDescent="0.3">
      <c r="A3804" t="s">
        <v>24</v>
      </c>
      <c r="B3804" t="s">
        <v>57</v>
      </c>
      <c r="C3804">
        <v>54.603159175421482</v>
      </c>
      <c r="D3804">
        <v>1.9012775118238769</v>
      </c>
      <c r="E3804">
        <v>2.9001389974581082</v>
      </c>
      <c r="F3804">
        <v>8.6715679234235346</v>
      </c>
      <c r="G3804">
        <v>5.5977940142006988</v>
      </c>
      <c r="H3804">
        <v>49.772373050391202</v>
      </c>
      <c r="I3804">
        <v>23.20438292520145</v>
      </c>
      <c r="J3804">
        <v>23.029060029510799</v>
      </c>
      <c r="K3804">
        <v>744.43374595330533</v>
      </c>
      <c r="L3804">
        <v>0</v>
      </c>
      <c r="M3804" t="s">
        <v>69</v>
      </c>
    </row>
    <row r="3805" spans="1:13" x14ac:dyDescent="0.3">
      <c r="A3805" t="s">
        <v>19</v>
      </c>
      <c r="B3805" t="s">
        <v>48</v>
      </c>
      <c r="C3805">
        <v>42.735286801699701</v>
      </c>
      <c r="D3805">
        <v>1.8642291757068721</v>
      </c>
      <c r="E3805">
        <v>1.8862179760600011</v>
      </c>
      <c r="F3805">
        <v>5.4271578006306083</v>
      </c>
      <c r="G3805">
        <v>6.2844165930906479</v>
      </c>
      <c r="H3805">
        <v>17.59663282557759</v>
      </c>
      <c r="I3805">
        <v>32.318615062552638</v>
      </c>
      <c r="J3805">
        <v>26.28148325405915</v>
      </c>
      <c r="K3805">
        <v>1149.470224438016</v>
      </c>
      <c r="L3805">
        <v>0</v>
      </c>
      <c r="M3805" t="s">
        <v>69</v>
      </c>
    </row>
    <row r="3806" spans="1:13" x14ac:dyDescent="0.3">
      <c r="A3806" t="s">
        <v>19</v>
      </c>
      <c r="B3806" t="s">
        <v>48</v>
      </c>
      <c r="C3806">
        <v>39.420688311150208</v>
      </c>
      <c r="D3806">
        <v>1.792797877642941</v>
      </c>
      <c r="E3806">
        <v>2.1172644240517222</v>
      </c>
      <c r="F3806">
        <v>6.7568441038648306</v>
      </c>
      <c r="G3806">
        <v>6.2067138990556154</v>
      </c>
      <c r="H3806">
        <v>16.67774259601476</v>
      </c>
      <c r="I3806">
        <v>32.563906337785291</v>
      </c>
      <c r="J3806">
        <v>25.959973328045649</v>
      </c>
      <c r="K3806">
        <v>1138.54054152758</v>
      </c>
      <c r="L3806">
        <v>0</v>
      </c>
      <c r="M3806" t="s">
        <v>69</v>
      </c>
    </row>
    <row r="3807" spans="1:13" x14ac:dyDescent="0.3">
      <c r="A3807" t="s">
        <v>19</v>
      </c>
      <c r="B3807" t="s">
        <v>48</v>
      </c>
      <c r="C3807">
        <v>35.401059374280813</v>
      </c>
      <c r="D3807">
        <v>1.2876664627743519</v>
      </c>
      <c r="E3807">
        <v>2.5395212152507831</v>
      </c>
      <c r="F3807">
        <v>6.3424893992060731</v>
      </c>
      <c r="G3807">
        <v>6.03275719655052</v>
      </c>
      <c r="H3807">
        <v>20.5560647799031</v>
      </c>
      <c r="I3807">
        <v>32.561241206164517</v>
      </c>
      <c r="J3807">
        <v>25.113685450021649</v>
      </c>
      <c r="K3807">
        <v>1171.113566809704</v>
      </c>
      <c r="L3807">
        <v>0</v>
      </c>
      <c r="M3807" t="s">
        <v>69</v>
      </c>
    </row>
    <row r="3808" spans="1:13" x14ac:dyDescent="0.3">
      <c r="A3808" t="s">
        <v>19</v>
      </c>
      <c r="B3808" t="s">
        <v>48</v>
      </c>
      <c r="C3808">
        <v>29.661133038170821</v>
      </c>
      <c r="D3808">
        <v>0.94410714976242449</v>
      </c>
      <c r="E3808">
        <v>2.192794018881441</v>
      </c>
      <c r="F3808">
        <v>4.9457663748413161</v>
      </c>
      <c r="G3808">
        <v>5.9471699803420686</v>
      </c>
      <c r="H3808">
        <v>22.09855262852551</v>
      </c>
      <c r="I3808">
        <v>31.58636884636638</v>
      </c>
      <c r="J3808">
        <v>25.98013481833511</v>
      </c>
      <c r="K3808">
        <v>1179.214304888558</v>
      </c>
      <c r="L3808">
        <v>0</v>
      </c>
      <c r="M3808" t="s">
        <v>69</v>
      </c>
    </row>
    <row r="3809" spans="1:13" x14ac:dyDescent="0.3">
      <c r="A3809" t="s">
        <v>25</v>
      </c>
      <c r="B3809" t="s">
        <v>62</v>
      </c>
      <c r="C3809">
        <v>606.75845168702313</v>
      </c>
      <c r="D3809">
        <v>30.390928720212401</v>
      </c>
      <c r="E3809">
        <v>40.112933281182791</v>
      </c>
      <c r="F3809">
        <v>89.134474603929192</v>
      </c>
      <c r="G3809">
        <v>4.4297400209424236</v>
      </c>
      <c r="H3809">
        <v>78.210279549168831</v>
      </c>
      <c r="I3809">
        <v>27.195630777815101</v>
      </c>
      <c r="J3809">
        <v>22.546512219086331</v>
      </c>
      <c r="K3809">
        <v>699.96286544029715</v>
      </c>
      <c r="L3809">
        <v>0</v>
      </c>
      <c r="M3809" t="s">
        <v>69</v>
      </c>
    </row>
    <row r="3810" spans="1:13" x14ac:dyDescent="0.3">
      <c r="A3810" t="s">
        <v>25</v>
      </c>
      <c r="B3810" t="s">
        <v>62</v>
      </c>
      <c r="C3810">
        <v>27.25600524373283</v>
      </c>
      <c r="D3810">
        <v>1.1473493384641591</v>
      </c>
      <c r="E3810">
        <v>1.389393133902717</v>
      </c>
      <c r="F3810">
        <v>5.1779730842131322</v>
      </c>
      <c r="G3810">
        <v>5.442500159128115</v>
      </c>
      <c r="H3810">
        <v>46.56603316943103</v>
      </c>
      <c r="I3810">
        <v>20.925313207578579</v>
      </c>
      <c r="J3810">
        <v>24.598870111997162</v>
      </c>
      <c r="K3810">
        <v>1050.488391205897</v>
      </c>
      <c r="L3810">
        <v>0</v>
      </c>
      <c r="M3810" t="s">
        <v>69</v>
      </c>
    </row>
    <row r="3811" spans="1:13" x14ac:dyDescent="0.3">
      <c r="A3811" t="s">
        <v>19</v>
      </c>
      <c r="B3811" t="s">
        <v>48</v>
      </c>
      <c r="C3811">
        <v>36.88531112276371</v>
      </c>
      <c r="D3811">
        <v>0.98285064971967318</v>
      </c>
      <c r="E3811">
        <v>2.0626243016207022</v>
      </c>
      <c r="F3811">
        <v>5.5487981193571709</v>
      </c>
      <c r="G3811">
        <v>6.2999548343130014</v>
      </c>
      <c r="H3811">
        <v>16.631203806272271</v>
      </c>
      <c r="I3811">
        <v>31.39657036654631</v>
      </c>
      <c r="J3811">
        <v>25.340761513128211</v>
      </c>
      <c r="K3811">
        <v>1168.801842748918</v>
      </c>
      <c r="L3811">
        <v>0</v>
      </c>
      <c r="M3811" t="s">
        <v>69</v>
      </c>
    </row>
    <row r="3812" spans="1:13" x14ac:dyDescent="0.3">
      <c r="A3812" t="s">
        <v>21</v>
      </c>
      <c r="B3812" t="s">
        <v>52</v>
      </c>
      <c r="C3812">
        <v>133.2151031145728</v>
      </c>
      <c r="D3812">
        <v>6.001075268369287</v>
      </c>
      <c r="E3812">
        <v>9.3619159256431121</v>
      </c>
      <c r="F3812">
        <v>21.132707691887539</v>
      </c>
      <c r="G3812">
        <v>5.4800483773055948</v>
      </c>
      <c r="H3812">
        <v>56.776368550427463</v>
      </c>
      <c r="I3812">
        <v>28.392610011970369</v>
      </c>
      <c r="J3812">
        <v>24.596867732163531</v>
      </c>
      <c r="K3812">
        <v>743.94277505451032</v>
      </c>
      <c r="L3812">
        <v>0</v>
      </c>
      <c r="M3812" t="s">
        <v>69</v>
      </c>
    </row>
    <row r="3813" spans="1:13" x14ac:dyDescent="0.3">
      <c r="A3813" t="s">
        <v>25</v>
      </c>
      <c r="B3813" t="s">
        <v>62</v>
      </c>
      <c r="C3813">
        <v>246.02112610300429</v>
      </c>
      <c r="D3813">
        <v>17.399161315034529</v>
      </c>
      <c r="E3813">
        <v>23.42722532192332</v>
      </c>
      <c r="F3813">
        <v>68.542525108450661</v>
      </c>
      <c r="G3813">
        <v>4.3902207992185556</v>
      </c>
      <c r="H3813">
        <v>75.296777340388914</v>
      </c>
      <c r="I3813">
        <v>27.651705711292291</v>
      </c>
      <c r="J3813">
        <v>24.219082224113979</v>
      </c>
      <c r="K3813">
        <v>713.22525254138623</v>
      </c>
      <c r="L3813">
        <v>0</v>
      </c>
      <c r="M3813" t="s">
        <v>69</v>
      </c>
    </row>
    <row r="3814" spans="1:13" x14ac:dyDescent="0.3">
      <c r="A3814" t="s">
        <v>24</v>
      </c>
      <c r="B3814" t="s">
        <v>58</v>
      </c>
      <c r="C3814">
        <v>13.04669940615571</v>
      </c>
      <c r="D3814">
        <v>0</v>
      </c>
      <c r="E3814">
        <v>0</v>
      </c>
      <c r="F3814">
        <v>1.812953184442168</v>
      </c>
      <c r="G3814">
        <v>6.5422300912705182</v>
      </c>
      <c r="H3814">
        <v>42.654501746927359</v>
      </c>
      <c r="I3814">
        <v>24.803247977396229</v>
      </c>
      <c r="J3814">
        <v>23.41939284243756</v>
      </c>
      <c r="K3814">
        <v>756.2853710544714</v>
      </c>
      <c r="L3814">
        <v>0</v>
      </c>
      <c r="M3814" t="s">
        <v>69</v>
      </c>
    </row>
    <row r="3815" spans="1:13" x14ac:dyDescent="0.3">
      <c r="A3815" t="s">
        <v>25</v>
      </c>
      <c r="B3815" t="s">
        <v>62</v>
      </c>
      <c r="C3815">
        <v>597.77811221889215</v>
      </c>
      <c r="D3815">
        <v>28.779924689415392</v>
      </c>
      <c r="E3815">
        <v>42.516296554451529</v>
      </c>
      <c r="F3815">
        <v>96.096810608245647</v>
      </c>
      <c r="G3815">
        <v>4.4230686905264918</v>
      </c>
      <c r="H3815">
        <v>88.4</v>
      </c>
      <c r="I3815">
        <v>27.326024594135351</v>
      </c>
      <c r="J3815">
        <v>23.662067189900551</v>
      </c>
      <c r="K3815">
        <v>731.27749916852451</v>
      </c>
      <c r="L3815">
        <v>0</v>
      </c>
      <c r="M3815" t="s">
        <v>69</v>
      </c>
    </row>
    <row r="3816" spans="1:13" x14ac:dyDescent="0.3">
      <c r="A3816" t="s">
        <v>24</v>
      </c>
      <c r="B3816" t="s">
        <v>57</v>
      </c>
      <c r="C3816">
        <v>7.4362123907542497</v>
      </c>
      <c r="D3816">
        <v>0</v>
      </c>
      <c r="E3816">
        <v>0</v>
      </c>
      <c r="F3816">
        <v>1.060926330808774</v>
      </c>
      <c r="G3816">
        <v>5.9619937024463621</v>
      </c>
      <c r="H3816">
        <v>37.997473128826627</v>
      </c>
      <c r="I3816">
        <v>23.370761386562481</v>
      </c>
      <c r="J3816">
        <v>22.14258079352193</v>
      </c>
      <c r="K3816">
        <v>735.15454011403108</v>
      </c>
      <c r="L3816">
        <v>0</v>
      </c>
      <c r="M3816" t="s">
        <v>69</v>
      </c>
    </row>
    <row r="3817" spans="1:13" x14ac:dyDescent="0.3">
      <c r="A3817" t="s">
        <v>25</v>
      </c>
      <c r="B3817" t="s">
        <v>62</v>
      </c>
      <c r="C3817">
        <v>31.82439716823264</v>
      </c>
      <c r="D3817">
        <v>1.0590221192648941</v>
      </c>
      <c r="E3817">
        <v>2.0770435499249729</v>
      </c>
      <c r="F3817">
        <v>4.8070250267747703</v>
      </c>
      <c r="G3817">
        <v>6.4199684102206591</v>
      </c>
      <c r="H3817">
        <v>38.222983075922663</v>
      </c>
      <c r="I3817">
        <v>20.39030298950081</v>
      </c>
      <c r="J3817">
        <v>23.924947455202471</v>
      </c>
      <c r="K3817">
        <v>1086.5629031194389</v>
      </c>
      <c r="L3817">
        <v>0</v>
      </c>
      <c r="M3817" t="s">
        <v>69</v>
      </c>
    </row>
    <row r="3818" spans="1:13" x14ac:dyDescent="0.3">
      <c r="A3818" t="s">
        <v>19</v>
      </c>
      <c r="B3818" t="s">
        <v>48</v>
      </c>
      <c r="C3818">
        <v>40.106443364805934</v>
      </c>
      <c r="D3818">
        <v>2.0204352755094059</v>
      </c>
      <c r="E3818">
        <v>2.194164106385049</v>
      </c>
      <c r="F3818">
        <v>5.4054649676191353</v>
      </c>
      <c r="G3818">
        <v>6.1521522864032336</v>
      </c>
      <c r="H3818">
        <v>16.958053553502712</v>
      </c>
      <c r="I3818">
        <v>32.875531564563673</v>
      </c>
      <c r="J3818">
        <v>26.221950593090661</v>
      </c>
      <c r="K3818">
        <v>1152.210863374683</v>
      </c>
      <c r="L3818">
        <v>0</v>
      </c>
      <c r="M3818" t="s">
        <v>69</v>
      </c>
    </row>
    <row r="3819" spans="1:13" x14ac:dyDescent="0.3">
      <c r="A3819" t="s">
        <v>21</v>
      </c>
      <c r="B3819" t="s">
        <v>52</v>
      </c>
      <c r="C3819">
        <v>132.63955075276851</v>
      </c>
      <c r="D3819">
        <v>6.1243126980281621</v>
      </c>
      <c r="E3819">
        <v>9.096148272720896</v>
      </c>
      <c r="F3819">
        <v>21.273513981371391</v>
      </c>
      <c r="G3819">
        <v>5.5437732007018603</v>
      </c>
      <c r="H3819">
        <v>55.616227190173959</v>
      </c>
      <c r="I3819">
        <v>28.009306034491619</v>
      </c>
      <c r="J3819">
        <v>24.8777874713583</v>
      </c>
      <c r="K3819">
        <v>751.00055000463897</v>
      </c>
      <c r="L3819">
        <v>0</v>
      </c>
      <c r="M3819" t="s">
        <v>69</v>
      </c>
    </row>
    <row r="3820" spans="1:13" x14ac:dyDescent="0.3">
      <c r="A3820" t="s">
        <v>19</v>
      </c>
      <c r="B3820" t="s">
        <v>44</v>
      </c>
      <c r="C3820">
        <v>18.470212126698211</v>
      </c>
      <c r="D3820">
        <v>0</v>
      </c>
      <c r="E3820">
        <v>1.0472231766118409</v>
      </c>
      <c r="F3820">
        <v>2.915076153472453</v>
      </c>
      <c r="G3820">
        <v>5.3599382394981259</v>
      </c>
      <c r="H3820">
        <v>14.699938230247859</v>
      </c>
      <c r="I3820">
        <v>31.911702259716169</v>
      </c>
      <c r="J3820">
        <v>23.347730545109101</v>
      </c>
      <c r="K3820">
        <v>1331.407317120357</v>
      </c>
      <c r="L3820">
        <v>0</v>
      </c>
      <c r="M3820" t="s">
        <v>69</v>
      </c>
    </row>
    <row r="3821" spans="1:13" x14ac:dyDescent="0.3">
      <c r="A3821" t="s">
        <v>20</v>
      </c>
      <c r="B3821" t="s">
        <v>49</v>
      </c>
      <c r="C3821">
        <v>47.466544849877003</v>
      </c>
      <c r="D3821">
        <v>1.9402350862722351</v>
      </c>
      <c r="E3821">
        <v>3.0541718439237782</v>
      </c>
      <c r="F3821">
        <v>7.5101026522992322</v>
      </c>
      <c r="G3821">
        <v>6.3424638426149569</v>
      </c>
      <c r="H3821">
        <v>17.083835512447159</v>
      </c>
      <c r="I3821">
        <v>30.838995111337589</v>
      </c>
      <c r="J3821">
        <v>25.824198178901629</v>
      </c>
      <c r="K3821">
        <v>1151.5832620016199</v>
      </c>
      <c r="L3821">
        <v>0</v>
      </c>
      <c r="M3821" t="s">
        <v>69</v>
      </c>
    </row>
    <row r="3822" spans="1:13" x14ac:dyDescent="0.3">
      <c r="A3822" t="s">
        <v>20</v>
      </c>
      <c r="B3822" t="s">
        <v>49</v>
      </c>
      <c r="C3822">
        <v>38.980910870207879</v>
      </c>
      <c r="D3822">
        <v>0.97701834360162154</v>
      </c>
      <c r="E3822">
        <v>1.949930750119983</v>
      </c>
      <c r="F3822">
        <v>5.8241987004300988</v>
      </c>
      <c r="G3822">
        <v>6.163121651878793</v>
      </c>
      <c r="H3822">
        <v>16.955422268378371</v>
      </c>
      <c r="I3822">
        <v>29.44195636797528</v>
      </c>
      <c r="J3822">
        <v>26.62800442642482</v>
      </c>
      <c r="K3822">
        <v>1156.818193049261</v>
      </c>
      <c r="L3822">
        <v>0</v>
      </c>
      <c r="M3822" t="s">
        <v>69</v>
      </c>
    </row>
    <row r="3823" spans="1:13" x14ac:dyDescent="0.3">
      <c r="A3823" t="s">
        <v>20</v>
      </c>
      <c r="B3823" t="s">
        <v>49</v>
      </c>
      <c r="C3823">
        <v>45.903543172550883</v>
      </c>
      <c r="D3823">
        <v>1.932171370489995</v>
      </c>
      <c r="E3823">
        <v>2.8824561959785009</v>
      </c>
      <c r="F3823">
        <v>6.8107409859748973</v>
      </c>
      <c r="G3823">
        <v>5.4967588643299887</v>
      </c>
      <c r="H3823">
        <v>19.95320880296595</v>
      </c>
      <c r="I3823">
        <v>32.833679762049613</v>
      </c>
      <c r="J3823">
        <v>25.35161023507429</v>
      </c>
      <c r="K3823">
        <v>1124.9030327225189</v>
      </c>
      <c r="L3823">
        <v>0</v>
      </c>
      <c r="M3823" t="s">
        <v>69</v>
      </c>
    </row>
    <row r="3824" spans="1:13" x14ac:dyDescent="0.3">
      <c r="A3824" t="s">
        <v>19</v>
      </c>
      <c r="B3824" t="s">
        <v>44</v>
      </c>
      <c r="C3824">
        <v>22.141688155549669</v>
      </c>
      <c r="D3824">
        <v>1.184779304633647</v>
      </c>
      <c r="E3824">
        <v>0.95884295249566964</v>
      </c>
      <c r="F3824">
        <v>2.7742426734777581</v>
      </c>
      <c r="G3824">
        <v>6.4293395957854509</v>
      </c>
      <c r="H3824">
        <v>20.15413584538145</v>
      </c>
      <c r="I3824">
        <v>27.702134515038701</v>
      </c>
      <c r="J3824">
        <v>23.844221990352459</v>
      </c>
      <c r="K3824">
        <v>1344.679502113928</v>
      </c>
      <c r="L3824">
        <v>0</v>
      </c>
      <c r="M3824" t="s">
        <v>69</v>
      </c>
    </row>
    <row r="3825" spans="1:13" x14ac:dyDescent="0.3">
      <c r="A3825" t="s">
        <v>19</v>
      </c>
      <c r="B3825" t="s">
        <v>44</v>
      </c>
      <c r="C3825">
        <v>22.286063334794662</v>
      </c>
      <c r="D3825">
        <v>1.15369789127586</v>
      </c>
      <c r="E3825">
        <v>0.96576590963421083</v>
      </c>
      <c r="F3825">
        <v>2.8122169303789768</v>
      </c>
      <c r="G3825">
        <v>6.4412252625043243</v>
      </c>
      <c r="H3825">
        <v>19.993642273503479</v>
      </c>
      <c r="I3825">
        <v>27.584029659422129</v>
      </c>
      <c r="J3825">
        <v>23.87042514508078</v>
      </c>
      <c r="K3825">
        <v>1340.528204931659</v>
      </c>
      <c r="L3825">
        <v>0</v>
      </c>
      <c r="M3825" t="s">
        <v>69</v>
      </c>
    </row>
    <row r="3826" spans="1:13" x14ac:dyDescent="0.3">
      <c r="A3826" t="s">
        <v>24</v>
      </c>
      <c r="B3826" t="s">
        <v>58</v>
      </c>
      <c r="C3826">
        <v>27.784070470151679</v>
      </c>
      <c r="D3826">
        <v>0.98281330903492048</v>
      </c>
      <c r="E3826">
        <v>1.9317415516793781</v>
      </c>
      <c r="F3826">
        <v>3.9390502562526581</v>
      </c>
      <c r="G3826">
        <v>6.1455945072632812</v>
      </c>
      <c r="H3826">
        <v>37.717598335647757</v>
      </c>
      <c r="I3826">
        <v>23.593346731189289</v>
      </c>
      <c r="J3826">
        <v>22.193216025772141</v>
      </c>
      <c r="K3826">
        <v>729.02776389750318</v>
      </c>
      <c r="L3826">
        <v>0</v>
      </c>
      <c r="M3826" t="s">
        <v>69</v>
      </c>
    </row>
    <row r="3827" spans="1:13" x14ac:dyDescent="0.3">
      <c r="A3827" t="s">
        <v>24</v>
      </c>
      <c r="B3827" t="s">
        <v>58</v>
      </c>
      <c r="C3827">
        <v>28.236695968573539</v>
      </c>
      <c r="D3827">
        <v>1.0022647423719371</v>
      </c>
      <c r="E3827">
        <v>2.0223781595870669</v>
      </c>
      <c r="F3827">
        <v>3.9578624883377489</v>
      </c>
      <c r="G3827">
        <v>6.1928274273664838</v>
      </c>
      <c r="H3827">
        <v>38.941921337400302</v>
      </c>
      <c r="I3827">
        <v>23.581406202479059</v>
      </c>
      <c r="J3827">
        <v>23.05000254658659</v>
      </c>
      <c r="K3827">
        <v>737.96242719884469</v>
      </c>
      <c r="L3827">
        <v>0</v>
      </c>
      <c r="M3827" t="s">
        <v>69</v>
      </c>
    </row>
    <row r="3828" spans="1:13" x14ac:dyDescent="0.3">
      <c r="A3828" t="s">
        <v>19</v>
      </c>
      <c r="B3828" t="s">
        <v>44</v>
      </c>
      <c r="C3828">
        <v>19.476383911025341</v>
      </c>
      <c r="D3828">
        <v>1.055404510967495</v>
      </c>
      <c r="E3828">
        <v>0.9416175235724431</v>
      </c>
      <c r="F3828">
        <v>2.9563291189290659</v>
      </c>
      <c r="G3828">
        <v>6.1006235791904277</v>
      </c>
      <c r="H3828">
        <v>16.385606249372799</v>
      </c>
      <c r="I3828">
        <v>25.37060119380422</v>
      </c>
      <c r="J3828">
        <v>23.713194526956801</v>
      </c>
      <c r="K3828">
        <v>1324.6408518740179</v>
      </c>
      <c r="L3828">
        <v>0</v>
      </c>
      <c r="M3828" t="s">
        <v>69</v>
      </c>
    </row>
    <row r="3829" spans="1:13" x14ac:dyDescent="0.3">
      <c r="A3829" t="s">
        <v>25</v>
      </c>
      <c r="B3829" t="s">
        <v>62</v>
      </c>
      <c r="C3829">
        <v>242.71734721984589</v>
      </c>
      <c r="D3829">
        <v>19.565587177558989</v>
      </c>
      <c r="E3829">
        <v>28.234058379484871</v>
      </c>
      <c r="F3829">
        <v>66.316610684764811</v>
      </c>
      <c r="G3829">
        <v>4.4845474403861649</v>
      </c>
      <c r="H3829">
        <v>82.560993676424431</v>
      </c>
      <c r="I3829">
        <v>30.68099229357858</v>
      </c>
      <c r="J3829">
        <v>23.83772192836495</v>
      </c>
      <c r="K3829">
        <v>723.13754101342931</v>
      </c>
      <c r="L3829">
        <v>0</v>
      </c>
      <c r="M3829" t="s">
        <v>69</v>
      </c>
    </row>
    <row r="3830" spans="1:13" x14ac:dyDescent="0.3">
      <c r="A3830" t="s">
        <v>25</v>
      </c>
      <c r="B3830" t="s">
        <v>62</v>
      </c>
      <c r="C3830">
        <v>559.27952384430159</v>
      </c>
      <c r="D3830">
        <v>29.896756609641631</v>
      </c>
      <c r="E3830">
        <v>42.366107253039559</v>
      </c>
      <c r="F3830">
        <v>98.338579830574474</v>
      </c>
      <c r="G3830">
        <v>4.5931917737137571</v>
      </c>
      <c r="H3830">
        <v>88.4</v>
      </c>
      <c r="I3830">
        <v>28.119925135252409</v>
      </c>
      <c r="J3830">
        <v>24.215280091912149</v>
      </c>
      <c r="K3830">
        <v>705.67787034649518</v>
      </c>
      <c r="L3830">
        <v>0</v>
      </c>
      <c r="M3830" t="s">
        <v>69</v>
      </c>
    </row>
    <row r="3831" spans="1:13" x14ac:dyDescent="0.3">
      <c r="A3831" t="s">
        <v>24</v>
      </c>
      <c r="B3831" t="s">
        <v>58</v>
      </c>
      <c r="C3831">
        <v>35.45222599260849</v>
      </c>
      <c r="D3831">
        <v>1.191435871719146</v>
      </c>
      <c r="E3831">
        <v>2.248852394476649</v>
      </c>
      <c r="F3831">
        <v>5.079074669213254</v>
      </c>
      <c r="G3831">
        <v>7.1423365592917776</v>
      </c>
      <c r="H3831">
        <v>58.40624738564</v>
      </c>
      <c r="I3831">
        <v>24.05131692644531</v>
      </c>
      <c r="J3831">
        <v>22.87990770887961</v>
      </c>
      <c r="K3831">
        <v>730.91275811517733</v>
      </c>
      <c r="L3831">
        <v>0</v>
      </c>
      <c r="M3831" t="s">
        <v>69</v>
      </c>
    </row>
    <row r="3832" spans="1:13" x14ac:dyDescent="0.3">
      <c r="A3832" t="s">
        <v>24</v>
      </c>
      <c r="B3832" t="s">
        <v>57</v>
      </c>
      <c r="C3832">
        <v>7.7603343396192628</v>
      </c>
      <c r="D3832">
        <v>0</v>
      </c>
      <c r="E3832">
        <v>0</v>
      </c>
      <c r="F3832">
        <v>1.0943942757178839</v>
      </c>
      <c r="G3832">
        <v>5.9877073834481687</v>
      </c>
      <c r="H3832">
        <v>37.201753047603489</v>
      </c>
      <c r="I3832">
        <v>23.502336820209649</v>
      </c>
      <c r="J3832">
        <v>21.904744366079509</v>
      </c>
      <c r="K3832">
        <v>726.19826791915978</v>
      </c>
      <c r="L3832">
        <v>0</v>
      </c>
      <c r="M3832" t="s">
        <v>69</v>
      </c>
    </row>
    <row r="3833" spans="1:13" x14ac:dyDescent="0.3">
      <c r="A3833" t="s">
        <v>24</v>
      </c>
      <c r="B3833" t="s">
        <v>58</v>
      </c>
      <c r="C3833">
        <v>33.778575944154113</v>
      </c>
      <c r="D3833">
        <v>0.89749149796532457</v>
      </c>
      <c r="E3833">
        <v>1.999901541269715</v>
      </c>
      <c r="F3833">
        <v>4.9599341248747333</v>
      </c>
      <c r="G3833">
        <v>6.9576715144502961</v>
      </c>
      <c r="H3833">
        <v>59.07568317078173</v>
      </c>
      <c r="I3833">
        <v>24.616008204480831</v>
      </c>
      <c r="J3833">
        <v>24.030734869707238</v>
      </c>
      <c r="K3833">
        <v>726.34032283588363</v>
      </c>
      <c r="L3833">
        <v>0</v>
      </c>
      <c r="M3833" t="s">
        <v>69</v>
      </c>
    </row>
    <row r="3834" spans="1:13" x14ac:dyDescent="0.3">
      <c r="A3834" t="s">
        <v>21</v>
      </c>
      <c r="B3834" t="s">
        <v>52</v>
      </c>
      <c r="C3834">
        <v>30.607230107277829</v>
      </c>
      <c r="D3834">
        <v>0.8326581889172795</v>
      </c>
      <c r="E3834">
        <v>2.0139508751533972</v>
      </c>
      <c r="F3834">
        <v>3.859058323337218</v>
      </c>
      <c r="G3834">
        <v>6.0376389193545261</v>
      </c>
      <c r="H3834">
        <v>24.17577928974411</v>
      </c>
      <c r="I3834">
        <v>23.677701322795969</v>
      </c>
      <c r="J3834">
        <v>24.422226458467701</v>
      </c>
      <c r="K3834">
        <v>1219.115556338488</v>
      </c>
      <c r="L3834">
        <v>0</v>
      </c>
      <c r="M3834" t="s">
        <v>69</v>
      </c>
    </row>
    <row r="3835" spans="1:13" x14ac:dyDescent="0.3">
      <c r="A3835" t="s">
        <v>24</v>
      </c>
      <c r="B3835" t="s">
        <v>58</v>
      </c>
      <c r="C3835">
        <v>12.72805236376384</v>
      </c>
      <c r="D3835">
        <v>0</v>
      </c>
      <c r="E3835">
        <v>0</v>
      </c>
      <c r="F3835">
        <v>1.845903070292692</v>
      </c>
      <c r="G3835">
        <v>6.5067064594161437</v>
      </c>
      <c r="H3835">
        <v>44.167112753720282</v>
      </c>
      <c r="I3835">
        <v>24.3961561773055</v>
      </c>
      <c r="J3835">
        <v>23.033858929758409</v>
      </c>
      <c r="K3835">
        <v>767.03177206949249</v>
      </c>
      <c r="L3835">
        <v>0</v>
      </c>
      <c r="M3835" t="s">
        <v>69</v>
      </c>
    </row>
    <row r="3836" spans="1:13" x14ac:dyDescent="0.3">
      <c r="A3836" t="s">
        <v>19</v>
      </c>
      <c r="B3836" t="s">
        <v>44</v>
      </c>
      <c r="C3836">
        <v>18.265674906991219</v>
      </c>
      <c r="D3836">
        <v>1.020729673089648</v>
      </c>
      <c r="E3836">
        <v>0.97087199566976334</v>
      </c>
      <c r="F3836">
        <v>3.4124834538391031</v>
      </c>
      <c r="G3836">
        <v>6.2111113376609488</v>
      </c>
      <c r="H3836">
        <v>14.07661660968561</v>
      </c>
      <c r="I3836">
        <v>25.552084689029709</v>
      </c>
      <c r="J3836">
        <v>23.944183970769132</v>
      </c>
      <c r="K3836">
        <v>1327.9161585139409</v>
      </c>
      <c r="L3836">
        <v>0</v>
      </c>
      <c r="M3836" t="s">
        <v>69</v>
      </c>
    </row>
    <row r="3837" spans="1:13" x14ac:dyDescent="0.3">
      <c r="A3837" t="s">
        <v>19</v>
      </c>
      <c r="B3837" t="s">
        <v>48</v>
      </c>
      <c r="C3837">
        <v>30.899509518951628</v>
      </c>
      <c r="D3837">
        <v>1.0392023848845491</v>
      </c>
      <c r="E3837">
        <v>2.1777557427960348</v>
      </c>
      <c r="F3837">
        <v>6.1293350152693664</v>
      </c>
      <c r="G3837">
        <v>6.0125825306337521</v>
      </c>
      <c r="H3837">
        <v>21.771366078702329</v>
      </c>
      <c r="I3837">
        <v>32.577265951735797</v>
      </c>
      <c r="J3837">
        <v>25.312462698974912</v>
      </c>
      <c r="K3837">
        <v>1187.639342212477</v>
      </c>
      <c r="L3837">
        <v>0</v>
      </c>
      <c r="M3837" t="s">
        <v>69</v>
      </c>
    </row>
    <row r="3838" spans="1:13" x14ac:dyDescent="0.3">
      <c r="A3838" t="s">
        <v>25</v>
      </c>
      <c r="B3838" t="s">
        <v>62</v>
      </c>
      <c r="C3838">
        <v>58.056076404750407</v>
      </c>
      <c r="D3838">
        <v>2.9794014965588689</v>
      </c>
      <c r="E3838">
        <v>4.0669053150045382</v>
      </c>
      <c r="F3838">
        <v>9.4793910293995474</v>
      </c>
      <c r="G3838">
        <v>6.3381999010131311</v>
      </c>
      <c r="H3838">
        <v>19.301939188460121</v>
      </c>
      <c r="I3838">
        <v>34.483866528064993</v>
      </c>
      <c r="J3838">
        <v>25.931821774045279</v>
      </c>
      <c r="K3838">
        <v>1202.668618127223</v>
      </c>
      <c r="L3838">
        <v>0</v>
      </c>
      <c r="M3838" t="s">
        <v>69</v>
      </c>
    </row>
    <row r="3839" spans="1:13" x14ac:dyDescent="0.3">
      <c r="A3839" t="s">
        <v>19</v>
      </c>
      <c r="B3839" t="s">
        <v>48</v>
      </c>
      <c r="C3839">
        <v>41.698284719236767</v>
      </c>
      <c r="D3839">
        <v>1.4685083985583089</v>
      </c>
      <c r="E3839">
        <v>2.5672235139302382</v>
      </c>
      <c r="F3839">
        <v>6.8745335042034164</v>
      </c>
      <c r="G3839">
        <v>6.0850640283659363</v>
      </c>
      <c r="H3839">
        <v>18.826878968997612</v>
      </c>
      <c r="I3839">
        <v>32.175600149987758</v>
      </c>
      <c r="J3839">
        <v>26.166046673994629</v>
      </c>
      <c r="K3839">
        <v>1164.929322024286</v>
      </c>
      <c r="L3839">
        <v>0</v>
      </c>
      <c r="M3839" t="s">
        <v>69</v>
      </c>
    </row>
    <row r="3840" spans="1:13" x14ac:dyDescent="0.3">
      <c r="A3840" t="s">
        <v>20</v>
      </c>
      <c r="B3840" t="s">
        <v>49</v>
      </c>
      <c r="C3840">
        <v>39.258441260209118</v>
      </c>
      <c r="D3840">
        <v>0.95309880473038744</v>
      </c>
      <c r="E3840">
        <v>1.8879957651788299</v>
      </c>
      <c r="F3840">
        <v>6.0915604238140553</v>
      </c>
      <c r="G3840">
        <v>6.1103229139057946</v>
      </c>
      <c r="H3840">
        <v>17.171280674071621</v>
      </c>
      <c r="I3840">
        <v>29.920422811104238</v>
      </c>
      <c r="J3840">
        <v>26.338582621657959</v>
      </c>
      <c r="K3840">
        <v>1151.6988511831039</v>
      </c>
      <c r="L3840">
        <v>0</v>
      </c>
      <c r="M3840" t="s">
        <v>69</v>
      </c>
    </row>
    <row r="3841" spans="1:13" x14ac:dyDescent="0.3">
      <c r="A3841" t="s">
        <v>24</v>
      </c>
      <c r="B3841" t="s">
        <v>58</v>
      </c>
      <c r="C3841">
        <v>13.068946785148031</v>
      </c>
      <c r="D3841">
        <v>0</v>
      </c>
      <c r="E3841">
        <v>0</v>
      </c>
      <c r="F3841">
        <v>2.359759613249476</v>
      </c>
      <c r="G3841">
        <v>6.5771253707250183</v>
      </c>
      <c r="H3841">
        <v>42.4982373589852</v>
      </c>
      <c r="I3841">
        <v>24.427571009872199</v>
      </c>
      <c r="J3841">
        <v>22.916087853549449</v>
      </c>
      <c r="K3841">
        <v>742.29286706195626</v>
      </c>
      <c r="L3841">
        <v>0</v>
      </c>
      <c r="M3841" t="s">
        <v>69</v>
      </c>
    </row>
    <row r="3842" spans="1:13" x14ac:dyDescent="0.3">
      <c r="A3842" t="s">
        <v>19</v>
      </c>
      <c r="B3842" t="s">
        <v>44</v>
      </c>
      <c r="C3842">
        <v>20.60088685868071</v>
      </c>
      <c r="D3842">
        <v>0.97001010145872568</v>
      </c>
      <c r="E3842">
        <v>1.042859238519334</v>
      </c>
      <c r="F3842">
        <v>2.7220195640319891</v>
      </c>
      <c r="G3842">
        <v>6.1648621689948468</v>
      </c>
      <c r="H3842">
        <v>15.99569370131411</v>
      </c>
      <c r="I3842">
        <v>25.825895603196638</v>
      </c>
      <c r="J3842">
        <v>24.319813747794878</v>
      </c>
      <c r="K3842">
        <v>1317.490604351796</v>
      </c>
      <c r="L3842">
        <v>0</v>
      </c>
      <c r="M3842" t="s">
        <v>69</v>
      </c>
    </row>
    <row r="3843" spans="1:13" x14ac:dyDescent="0.3">
      <c r="A3843" t="s">
        <v>19</v>
      </c>
      <c r="B3843" t="s">
        <v>48</v>
      </c>
      <c r="C3843">
        <v>26.63916508105099</v>
      </c>
      <c r="D3843">
        <v>0.84663304417719276</v>
      </c>
      <c r="E3843">
        <v>1.0661172400101671</v>
      </c>
      <c r="F3843">
        <v>4.1917798290222699</v>
      </c>
      <c r="G3843">
        <v>5.838402971733049</v>
      </c>
      <c r="H3843">
        <v>16.179559824616181</v>
      </c>
      <c r="I3843">
        <v>30.51195812999222</v>
      </c>
      <c r="J3843">
        <v>25.55876948305357</v>
      </c>
      <c r="K3843">
        <v>1159.3797413256079</v>
      </c>
      <c r="L3843">
        <v>0</v>
      </c>
      <c r="M3843" t="s">
        <v>69</v>
      </c>
    </row>
    <row r="3844" spans="1:13" x14ac:dyDescent="0.3">
      <c r="A3844" t="s">
        <v>25</v>
      </c>
      <c r="B3844" t="s">
        <v>62</v>
      </c>
      <c r="C3844">
        <v>565.26539890887352</v>
      </c>
      <c r="D3844">
        <v>26.198733006584849</v>
      </c>
      <c r="E3844">
        <v>42.656464387200437</v>
      </c>
      <c r="F3844">
        <v>88.423511282818339</v>
      </c>
      <c r="G3844">
        <v>4.5285438732236711</v>
      </c>
      <c r="H3844">
        <v>84.047980375467347</v>
      </c>
      <c r="I3844">
        <v>27.453909941020829</v>
      </c>
      <c r="J3844">
        <v>24.164271628143631</v>
      </c>
      <c r="K3844">
        <v>721.04813813319811</v>
      </c>
      <c r="L3844">
        <v>0</v>
      </c>
      <c r="M3844" t="s">
        <v>69</v>
      </c>
    </row>
    <row r="3845" spans="1:13" x14ac:dyDescent="0.3">
      <c r="A3845" t="s">
        <v>24</v>
      </c>
      <c r="B3845" t="s">
        <v>58</v>
      </c>
      <c r="C3845">
        <v>29.924691774697141</v>
      </c>
      <c r="D3845">
        <v>1.0184157383049011</v>
      </c>
      <c r="E3845">
        <v>2.181967863456471</v>
      </c>
      <c r="F3845">
        <v>3.657359089842974</v>
      </c>
      <c r="G3845">
        <v>6.1416762708957684</v>
      </c>
      <c r="H3845">
        <v>38.52773372159772</v>
      </c>
      <c r="I3845">
        <v>23.448804652801559</v>
      </c>
      <c r="J3845">
        <v>23.40659539200902</v>
      </c>
      <c r="K3845">
        <v>737.69447700452224</v>
      </c>
      <c r="L3845">
        <v>0</v>
      </c>
      <c r="M3845" t="s">
        <v>69</v>
      </c>
    </row>
    <row r="3846" spans="1:13" x14ac:dyDescent="0.3">
      <c r="A3846" t="s">
        <v>21</v>
      </c>
      <c r="B3846" t="s">
        <v>52</v>
      </c>
      <c r="C3846">
        <v>31.456406979989641</v>
      </c>
      <c r="D3846">
        <v>1.023662480059115</v>
      </c>
      <c r="E3846">
        <v>2.0225695516556921</v>
      </c>
      <c r="F3846">
        <v>4.1531356395083687</v>
      </c>
      <c r="G3846">
        <v>6.2646164416676422</v>
      </c>
      <c r="H3846">
        <v>24.103351153066921</v>
      </c>
      <c r="I3846">
        <v>23.270511793910291</v>
      </c>
      <c r="J3846">
        <v>24.064963002856821</v>
      </c>
      <c r="K3846">
        <v>1187.636753444664</v>
      </c>
      <c r="L3846">
        <v>0</v>
      </c>
      <c r="M3846" t="s">
        <v>69</v>
      </c>
    </row>
    <row r="3847" spans="1:13" x14ac:dyDescent="0.3">
      <c r="A3847" t="s">
        <v>25</v>
      </c>
      <c r="B3847" t="s">
        <v>62</v>
      </c>
      <c r="C3847">
        <v>22.863404940906111</v>
      </c>
      <c r="D3847">
        <v>0.96101623562386074</v>
      </c>
      <c r="E3847">
        <v>0.89913132029739717</v>
      </c>
      <c r="F3847">
        <v>3.068818970723044</v>
      </c>
      <c r="G3847">
        <v>6.3824303498663228</v>
      </c>
      <c r="H3847">
        <v>66.775208455188903</v>
      </c>
      <c r="I3847">
        <v>20.07215350063592</v>
      </c>
      <c r="J3847">
        <v>22.990631136292059</v>
      </c>
      <c r="K3847">
        <v>1165.0809444670369</v>
      </c>
      <c r="L3847">
        <v>0</v>
      </c>
      <c r="M3847" t="s">
        <v>69</v>
      </c>
    </row>
    <row r="3848" spans="1:13" x14ac:dyDescent="0.3">
      <c r="A3848" t="s">
        <v>24</v>
      </c>
      <c r="B3848" t="s">
        <v>59</v>
      </c>
      <c r="C3848">
        <v>59.773299559276118</v>
      </c>
      <c r="D3848">
        <v>1.758903801375125</v>
      </c>
      <c r="E3848">
        <v>3.69052105056796</v>
      </c>
      <c r="F3848">
        <v>10.02083907554208</v>
      </c>
      <c r="G3848">
        <v>6.6943542353835728</v>
      </c>
      <c r="H3848">
        <v>60.416741465590327</v>
      </c>
      <c r="I3848">
        <v>27.4461185361892</v>
      </c>
      <c r="J3848">
        <v>22.72053646728067</v>
      </c>
      <c r="K3848">
        <v>738.84826087279453</v>
      </c>
      <c r="L3848">
        <v>0</v>
      </c>
      <c r="M3848" t="s">
        <v>69</v>
      </c>
    </row>
    <row r="3849" spans="1:13" x14ac:dyDescent="0.3">
      <c r="A3849" t="s">
        <v>19</v>
      </c>
      <c r="B3849" t="s">
        <v>44</v>
      </c>
      <c r="C3849">
        <v>20.403070130838511</v>
      </c>
      <c r="D3849">
        <v>0.99507334119449053</v>
      </c>
      <c r="E3849">
        <v>1.047281992160517</v>
      </c>
      <c r="F3849">
        <v>2.9529209134045762</v>
      </c>
      <c r="G3849">
        <v>6.1839053038212954</v>
      </c>
      <c r="H3849">
        <v>15.51149554563756</v>
      </c>
      <c r="I3849">
        <v>25.945830374144329</v>
      </c>
      <c r="J3849">
        <v>24.07567754484473</v>
      </c>
      <c r="K3849">
        <v>1323.2894014455569</v>
      </c>
      <c r="L3849">
        <v>0</v>
      </c>
      <c r="M3849" t="s">
        <v>69</v>
      </c>
    </row>
    <row r="3850" spans="1:13" x14ac:dyDescent="0.3">
      <c r="A3850" t="s">
        <v>24</v>
      </c>
      <c r="B3850" t="s">
        <v>58</v>
      </c>
      <c r="C3850">
        <v>12.878164982505741</v>
      </c>
      <c r="D3850">
        <v>0</v>
      </c>
      <c r="E3850">
        <v>0</v>
      </c>
      <c r="F3850">
        <v>2.024093399490523</v>
      </c>
      <c r="G3850">
        <v>6.471219493337836</v>
      </c>
      <c r="H3850">
        <v>42.658880309646861</v>
      </c>
      <c r="I3850">
        <v>25.141313895770839</v>
      </c>
      <c r="J3850">
        <v>22.941929094355029</v>
      </c>
      <c r="K3850">
        <v>739.79119491168228</v>
      </c>
      <c r="L3850">
        <v>0</v>
      </c>
      <c r="M3850" t="s">
        <v>69</v>
      </c>
    </row>
    <row r="3851" spans="1:13" x14ac:dyDescent="0.3">
      <c r="A3851" t="s">
        <v>19</v>
      </c>
      <c r="B3851" t="s">
        <v>48</v>
      </c>
      <c r="C3851">
        <v>65.458948045058605</v>
      </c>
      <c r="D3851">
        <v>2.9275260934573071</v>
      </c>
      <c r="E3851">
        <v>3.7683704508046652</v>
      </c>
      <c r="F3851">
        <v>9.3299905895673163</v>
      </c>
      <c r="G3851">
        <v>6.397487130369881</v>
      </c>
      <c r="H3851">
        <v>18.875448130108609</v>
      </c>
      <c r="I3851">
        <v>32.835684142384473</v>
      </c>
      <c r="J3851">
        <v>25.749388785520729</v>
      </c>
      <c r="K3851">
        <v>1195.8198732366111</v>
      </c>
      <c r="L3851">
        <v>0</v>
      </c>
      <c r="M3851" t="s">
        <v>69</v>
      </c>
    </row>
    <row r="3852" spans="1:13" x14ac:dyDescent="0.3">
      <c r="A3852" t="s">
        <v>25</v>
      </c>
      <c r="B3852" t="s">
        <v>62</v>
      </c>
      <c r="C3852">
        <v>24.334811888409021</v>
      </c>
      <c r="D3852">
        <v>0.88366232474339146</v>
      </c>
      <c r="E3852">
        <v>0.98494836371050098</v>
      </c>
      <c r="F3852">
        <v>2.7978437850460729</v>
      </c>
      <c r="G3852">
        <v>6.2248094411884853</v>
      </c>
      <c r="H3852">
        <v>63.728835110561008</v>
      </c>
      <c r="I3852">
        <v>19.796234190553271</v>
      </c>
      <c r="J3852">
        <v>24.084318359047661</v>
      </c>
      <c r="K3852">
        <v>1206.106723532409</v>
      </c>
      <c r="L3852">
        <v>0</v>
      </c>
      <c r="M3852" t="s">
        <v>69</v>
      </c>
    </row>
    <row r="3853" spans="1:13" x14ac:dyDescent="0.3">
      <c r="A3853" t="s">
        <v>25</v>
      </c>
      <c r="B3853" t="s">
        <v>62</v>
      </c>
      <c r="C3853">
        <v>24.547394832091332</v>
      </c>
      <c r="D3853">
        <v>0.99122395841158895</v>
      </c>
      <c r="E3853">
        <v>0.97993762664324802</v>
      </c>
      <c r="F3853">
        <v>3.02001187803066</v>
      </c>
      <c r="G3853">
        <v>6.3171462780904166</v>
      </c>
      <c r="H3853">
        <v>66.384127404947748</v>
      </c>
      <c r="I3853">
        <v>20.403072144923609</v>
      </c>
      <c r="J3853">
        <v>23.838329448298051</v>
      </c>
      <c r="K3853">
        <v>1200.876565998848</v>
      </c>
      <c r="L3853">
        <v>0</v>
      </c>
      <c r="M3853" t="s">
        <v>69</v>
      </c>
    </row>
    <row r="3854" spans="1:13" x14ac:dyDescent="0.3">
      <c r="A3854" t="s">
        <v>21</v>
      </c>
      <c r="B3854" t="s">
        <v>52</v>
      </c>
      <c r="C3854">
        <v>128.4036871319681</v>
      </c>
      <c r="D3854">
        <v>6.0774452779907069</v>
      </c>
      <c r="E3854">
        <v>8.2782878905229946</v>
      </c>
      <c r="F3854">
        <v>20.997304967621339</v>
      </c>
      <c r="G3854">
        <v>5.4849508282041981</v>
      </c>
      <c r="H3854">
        <v>58.284249597627273</v>
      </c>
      <c r="I3854">
        <v>28.606021772921931</v>
      </c>
      <c r="J3854">
        <v>24.88822420652728</v>
      </c>
      <c r="K3854">
        <v>738.1254882046253</v>
      </c>
      <c r="L3854">
        <v>0</v>
      </c>
      <c r="M3854" t="s">
        <v>69</v>
      </c>
    </row>
    <row r="3855" spans="1:13" x14ac:dyDescent="0.3">
      <c r="A3855" t="s">
        <v>25</v>
      </c>
      <c r="B3855" t="s">
        <v>62</v>
      </c>
      <c r="C3855">
        <v>31.562684056937801</v>
      </c>
      <c r="D3855">
        <v>1.0541102646480489</v>
      </c>
      <c r="E3855">
        <v>2.355050038984015</v>
      </c>
      <c r="F3855">
        <v>3.972373550074471</v>
      </c>
      <c r="G3855">
        <v>6.3244785614579584</v>
      </c>
      <c r="H3855">
        <v>23.73183029442945</v>
      </c>
      <c r="I3855">
        <v>22.424091119768569</v>
      </c>
      <c r="J3855">
        <v>24.149144194358779</v>
      </c>
      <c r="K3855">
        <v>1210.121812733049</v>
      </c>
      <c r="L3855">
        <v>0</v>
      </c>
      <c r="M3855" t="s">
        <v>69</v>
      </c>
    </row>
    <row r="3856" spans="1:13" x14ac:dyDescent="0.3">
      <c r="A3856" t="s">
        <v>19</v>
      </c>
      <c r="B3856" t="s">
        <v>48</v>
      </c>
      <c r="C3856">
        <v>28.134545579179761</v>
      </c>
      <c r="D3856">
        <v>0.998832289622265</v>
      </c>
      <c r="E3856">
        <v>1.8571059915104819</v>
      </c>
      <c r="F3856">
        <v>6.1331691239565771</v>
      </c>
      <c r="G3856">
        <v>6.0850486967269077</v>
      </c>
      <c r="H3856">
        <v>23.659495639210451</v>
      </c>
      <c r="I3856">
        <v>32.473997029355438</v>
      </c>
      <c r="J3856">
        <v>27.72005571503896</v>
      </c>
      <c r="K3856">
        <v>1169.0502949746681</v>
      </c>
      <c r="L3856">
        <v>0</v>
      </c>
      <c r="M3856" t="s">
        <v>69</v>
      </c>
    </row>
    <row r="3857" spans="1:13" x14ac:dyDescent="0.3">
      <c r="A3857" t="s">
        <v>19</v>
      </c>
      <c r="B3857" t="s">
        <v>44</v>
      </c>
      <c r="C3857">
        <v>22.630629996511349</v>
      </c>
      <c r="D3857">
        <v>1.0862486672072</v>
      </c>
      <c r="E3857">
        <v>0.98695942840060003</v>
      </c>
      <c r="F3857">
        <v>3.18478929171693</v>
      </c>
      <c r="G3857">
        <v>6.5526973097468124</v>
      </c>
      <c r="H3857">
        <v>19.746709245543901</v>
      </c>
      <c r="I3857">
        <v>27.440141010149411</v>
      </c>
      <c r="J3857">
        <v>24.151702568282449</v>
      </c>
      <c r="K3857">
        <v>1331.425783218122</v>
      </c>
      <c r="L3857">
        <v>0</v>
      </c>
      <c r="M3857" t="s">
        <v>69</v>
      </c>
    </row>
    <row r="3858" spans="1:13" x14ac:dyDescent="0.3">
      <c r="A3858" t="s">
        <v>19</v>
      </c>
      <c r="B3858" t="s">
        <v>44</v>
      </c>
      <c r="C3858">
        <v>23.009205349209569</v>
      </c>
      <c r="D3858">
        <v>1.0035665978324491</v>
      </c>
      <c r="E3858">
        <v>1.0042924737083521</v>
      </c>
      <c r="F3858">
        <v>3.23486524442262</v>
      </c>
      <c r="G3858">
        <v>6.5692731837458176</v>
      </c>
      <c r="H3858">
        <v>19.301974351578121</v>
      </c>
      <c r="I3858">
        <v>27.106226347662631</v>
      </c>
      <c r="J3858">
        <v>24.18200869946229</v>
      </c>
      <c r="K3858">
        <v>1320.399058539726</v>
      </c>
      <c r="L3858">
        <v>0</v>
      </c>
      <c r="M3858" t="s">
        <v>69</v>
      </c>
    </row>
    <row r="3859" spans="1:13" x14ac:dyDescent="0.3">
      <c r="A3859" t="s">
        <v>20</v>
      </c>
      <c r="B3859" t="s">
        <v>49</v>
      </c>
      <c r="C3859">
        <v>34.87582852852217</v>
      </c>
      <c r="D3859">
        <v>0.94758146438748181</v>
      </c>
      <c r="E3859">
        <v>2.2874546341859352</v>
      </c>
      <c r="F3859">
        <v>6.8431248788986281</v>
      </c>
      <c r="G3859">
        <v>6.3310724593540106</v>
      </c>
      <c r="H3859">
        <v>16.708867404511292</v>
      </c>
      <c r="I3859">
        <v>32.581720688107637</v>
      </c>
      <c r="J3859">
        <v>26.556870347938251</v>
      </c>
      <c r="K3859">
        <v>1121.4856650077149</v>
      </c>
      <c r="L3859">
        <v>0</v>
      </c>
      <c r="M3859" t="s">
        <v>69</v>
      </c>
    </row>
    <row r="3860" spans="1:13" x14ac:dyDescent="0.3">
      <c r="A3860" t="s">
        <v>19</v>
      </c>
      <c r="B3860" t="s">
        <v>48</v>
      </c>
      <c r="C3860">
        <v>39.548637000743312</v>
      </c>
      <c r="D3860">
        <v>1.211133510070503</v>
      </c>
      <c r="E3860">
        <v>2.1387629120365892</v>
      </c>
      <c r="F3860">
        <v>6.3509890176510702</v>
      </c>
      <c r="G3860">
        <v>6.0892718911442367</v>
      </c>
      <c r="H3860">
        <v>17.451126635320168</v>
      </c>
      <c r="I3860">
        <v>32.502965935914922</v>
      </c>
      <c r="J3860">
        <v>26.31930979062237</v>
      </c>
      <c r="K3860">
        <v>1158.1795197597321</v>
      </c>
      <c r="L3860">
        <v>0</v>
      </c>
      <c r="M3860" t="s">
        <v>69</v>
      </c>
    </row>
    <row r="3861" spans="1:13" x14ac:dyDescent="0.3">
      <c r="A3861" t="s">
        <v>25</v>
      </c>
      <c r="B3861" t="s">
        <v>62</v>
      </c>
      <c r="C3861">
        <v>31.761250534821428</v>
      </c>
      <c r="D3861">
        <v>1.1008897857596129</v>
      </c>
      <c r="E3861">
        <v>2.063282061373775</v>
      </c>
      <c r="F3861">
        <v>5.0623228169396928</v>
      </c>
      <c r="G3861">
        <v>6.3893386057340971</v>
      </c>
      <c r="H3861">
        <v>34.982605629981819</v>
      </c>
      <c r="I3861">
        <v>20.282863896601182</v>
      </c>
      <c r="J3861">
        <v>24.45967672858988</v>
      </c>
      <c r="K3861">
        <v>1093.2340863273009</v>
      </c>
      <c r="L3861">
        <v>0</v>
      </c>
      <c r="M3861" t="s">
        <v>69</v>
      </c>
    </row>
    <row r="3862" spans="1:13" x14ac:dyDescent="0.3">
      <c r="A3862" t="s">
        <v>19</v>
      </c>
      <c r="B3862" t="s">
        <v>44</v>
      </c>
      <c r="C3862">
        <v>18.9420925568716</v>
      </c>
      <c r="D3862">
        <v>0</v>
      </c>
      <c r="E3862">
        <v>1.0091353984065461</v>
      </c>
      <c r="F3862">
        <v>3.02377572047499</v>
      </c>
      <c r="G3862">
        <v>5.1902115284068229</v>
      </c>
      <c r="H3862">
        <v>14.572656499995521</v>
      </c>
      <c r="I3862">
        <v>31.60428913530178</v>
      </c>
      <c r="J3862">
        <v>23.935577353306741</v>
      </c>
      <c r="K3862">
        <v>1324.602589256516</v>
      </c>
      <c r="L3862">
        <v>0</v>
      </c>
      <c r="M3862" t="s">
        <v>69</v>
      </c>
    </row>
    <row r="3863" spans="1:13" x14ac:dyDescent="0.3">
      <c r="A3863" t="s">
        <v>19</v>
      </c>
      <c r="B3863" t="s">
        <v>44</v>
      </c>
      <c r="C3863">
        <v>18.345573958025621</v>
      </c>
      <c r="D3863">
        <v>0</v>
      </c>
      <c r="E3863">
        <v>1.0666975102403631</v>
      </c>
      <c r="F3863">
        <v>2.7043859077691259</v>
      </c>
      <c r="G3863">
        <v>5.3599951874098144</v>
      </c>
      <c r="H3863">
        <v>14.810560533714369</v>
      </c>
      <c r="I3863">
        <v>31.403143878891719</v>
      </c>
      <c r="J3863">
        <v>23.200333146064249</v>
      </c>
      <c r="K3863">
        <v>1335.0858245302079</v>
      </c>
      <c r="L3863">
        <v>0</v>
      </c>
      <c r="M3863" t="s">
        <v>69</v>
      </c>
    </row>
    <row r="3864" spans="1:13" x14ac:dyDescent="0.3">
      <c r="A3864" t="s">
        <v>21</v>
      </c>
      <c r="B3864" t="s">
        <v>52</v>
      </c>
      <c r="C3864">
        <v>142.2434595688357</v>
      </c>
      <c r="D3864">
        <v>5.8347380883356106</v>
      </c>
      <c r="E3864">
        <v>9.6955180282334226</v>
      </c>
      <c r="F3864">
        <v>22.274130037629661</v>
      </c>
      <c r="G3864">
        <v>5.5866168648981036</v>
      </c>
      <c r="H3864">
        <v>55.838496254184449</v>
      </c>
      <c r="I3864">
        <v>26.990282153913231</v>
      </c>
      <c r="J3864">
        <v>24.244234954610381</v>
      </c>
      <c r="K3864">
        <v>762.98148556858291</v>
      </c>
      <c r="L3864">
        <v>0</v>
      </c>
      <c r="M3864" t="s">
        <v>69</v>
      </c>
    </row>
    <row r="3865" spans="1:13" x14ac:dyDescent="0.3">
      <c r="A3865" t="s">
        <v>20</v>
      </c>
      <c r="B3865" t="s">
        <v>49</v>
      </c>
      <c r="C3865">
        <v>38.833149633450482</v>
      </c>
      <c r="D3865">
        <v>0.98862757025817283</v>
      </c>
      <c r="E3865">
        <v>1.9820066761518691</v>
      </c>
      <c r="F3865">
        <v>5.6786902804988344</v>
      </c>
      <c r="G3865">
        <v>6.1911209797551354</v>
      </c>
      <c r="H3865">
        <v>16.8199128003798</v>
      </c>
      <c r="I3865">
        <v>29.206491755627169</v>
      </c>
      <c r="J3865">
        <v>26.791205878612139</v>
      </c>
      <c r="K3865">
        <v>1159.5725674514999</v>
      </c>
      <c r="L3865">
        <v>0</v>
      </c>
      <c r="M3865" t="s">
        <v>69</v>
      </c>
    </row>
    <row r="3866" spans="1:13" x14ac:dyDescent="0.3">
      <c r="A3866" t="s">
        <v>25</v>
      </c>
      <c r="B3866" t="s">
        <v>62</v>
      </c>
      <c r="C3866">
        <v>39.869100934108289</v>
      </c>
      <c r="D3866">
        <v>1.753780379336519</v>
      </c>
      <c r="E3866">
        <v>2.8211920050268811</v>
      </c>
      <c r="F3866">
        <v>6.5464802595982619</v>
      </c>
      <c r="G3866">
        <v>6.0575607057738434</v>
      </c>
      <c r="H3866">
        <v>20.968219794321008</v>
      </c>
      <c r="I3866">
        <v>31.91086650886205</v>
      </c>
      <c r="J3866">
        <v>25.400923735591</v>
      </c>
      <c r="K3866">
        <v>1196.50550769133</v>
      </c>
      <c r="L3866">
        <v>0</v>
      </c>
      <c r="M3866" t="s">
        <v>69</v>
      </c>
    </row>
    <row r="3867" spans="1:13" x14ac:dyDescent="0.3">
      <c r="A3867" t="s">
        <v>19</v>
      </c>
      <c r="B3867" t="s">
        <v>44</v>
      </c>
      <c r="C3867">
        <v>22.99514563916652</v>
      </c>
      <c r="D3867">
        <v>0.9999124221621889</v>
      </c>
      <c r="E3867">
        <v>0.99927625426279576</v>
      </c>
      <c r="F3867">
        <v>2.997981484506969</v>
      </c>
      <c r="G3867">
        <v>6.4980925589226253</v>
      </c>
      <c r="H3867">
        <v>19.202969492539271</v>
      </c>
      <c r="I3867">
        <v>27.00407572562678</v>
      </c>
      <c r="J3867">
        <v>23.97983499484755</v>
      </c>
      <c r="K3867">
        <v>1319.592007143468</v>
      </c>
      <c r="L3867">
        <v>0</v>
      </c>
      <c r="M3867" t="s">
        <v>69</v>
      </c>
    </row>
    <row r="3868" spans="1:13" x14ac:dyDescent="0.3">
      <c r="A3868" t="s">
        <v>24</v>
      </c>
      <c r="B3868" t="s">
        <v>58</v>
      </c>
      <c r="C3868">
        <v>35.005542073909922</v>
      </c>
      <c r="D3868">
        <v>0.97483750019402571</v>
      </c>
      <c r="E3868">
        <v>1.9387112637794499</v>
      </c>
      <c r="F3868">
        <v>4.9087223930898123</v>
      </c>
      <c r="G3868">
        <v>6.8953136470512426</v>
      </c>
      <c r="H3868">
        <v>57.233299841867478</v>
      </c>
      <c r="I3868">
        <v>24.565831429121289</v>
      </c>
      <c r="J3868">
        <v>23.107918973680128</v>
      </c>
      <c r="K3868">
        <v>733.42775433664508</v>
      </c>
      <c r="L3868">
        <v>0</v>
      </c>
      <c r="M3868" t="s">
        <v>69</v>
      </c>
    </row>
    <row r="3869" spans="1:13" x14ac:dyDescent="0.3">
      <c r="A3869" t="s">
        <v>25</v>
      </c>
      <c r="B3869" t="s">
        <v>62</v>
      </c>
      <c r="C3869">
        <v>549.70381911217407</v>
      </c>
      <c r="D3869">
        <v>26.17736578749615</v>
      </c>
      <c r="E3869">
        <v>39.849070424084289</v>
      </c>
      <c r="F3869">
        <v>95.696773041878942</v>
      </c>
      <c r="G3869">
        <v>4.5698457937328776</v>
      </c>
      <c r="H3869">
        <v>82.697606921816146</v>
      </c>
      <c r="I3869">
        <v>27.227272014778759</v>
      </c>
      <c r="J3869">
        <v>23.35917252546453</v>
      </c>
      <c r="K3869">
        <v>715.02390525968394</v>
      </c>
      <c r="L3869">
        <v>0</v>
      </c>
      <c r="M3869" t="s">
        <v>69</v>
      </c>
    </row>
    <row r="3870" spans="1:13" x14ac:dyDescent="0.3">
      <c r="A3870" t="s">
        <v>25</v>
      </c>
      <c r="B3870" t="s">
        <v>62</v>
      </c>
      <c r="C3870">
        <v>24.511294400733082</v>
      </c>
      <c r="D3870">
        <v>1.071495762052797</v>
      </c>
      <c r="E3870">
        <v>0.95471342134945658</v>
      </c>
      <c r="F3870">
        <v>2.7387415622225362</v>
      </c>
      <c r="G3870">
        <v>6.2147612505285572</v>
      </c>
      <c r="H3870">
        <v>63.733016891699293</v>
      </c>
      <c r="I3870">
        <v>20.234416638828659</v>
      </c>
      <c r="J3870">
        <v>24.162751649733469</v>
      </c>
      <c r="K3870">
        <v>1206.7914636877399</v>
      </c>
      <c r="L3870">
        <v>0</v>
      </c>
      <c r="M3870" t="s">
        <v>69</v>
      </c>
    </row>
    <row r="3871" spans="1:13" x14ac:dyDescent="0.3">
      <c r="A3871" t="s">
        <v>24</v>
      </c>
      <c r="B3871" t="s">
        <v>59</v>
      </c>
      <c r="C3871">
        <v>59.931757438268313</v>
      </c>
      <c r="D3871">
        <v>1.7691521212735539</v>
      </c>
      <c r="E3871">
        <v>3.7239739409406871</v>
      </c>
      <c r="F3871">
        <v>9.8602071908224751</v>
      </c>
      <c r="G3871">
        <v>6.6937090121988376</v>
      </c>
      <c r="H3871">
        <v>60.757482229709098</v>
      </c>
      <c r="I3871">
        <v>27.28597403686377</v>
      </c>
      <c r="J3871">
        <v>22.715102894978671</v>
      </c>
      <c r="K3871">
        <v>737.18549451750539</v>
      </c>
      <c r="L3871">
        <v>0</v>
      </c>
      <c r="M3871" t="s">
        <v>69</v>
      </c>
    </row>
    <row r="3872" spans="1:13" x14ac:dyDescent="0.3">
      <c r="A3872" t="s">
        <v>19</v>
      </c>
      <c r="B3872" t="s">
        <v>48</v>
      </c>
      <c r="C3872">
        <v>34.678727978476033</v>
      </c>
      <c r="D3872">
        <v>1.592740105807035</v>
      </c>
      <c r="E3872">
        <v>2.580484435315253</v>
      </c>
      <c r="F3872">
        <v>6.7483022512620314</v>
      </c>
      <c r="G3872">
        <v>6.0421458229161056</v>
      </c>
      <c r="H3872">
        <v>22.43203383548985</v>
      </c>
      <c r="I3872">
        <v>33.733001127278499</v>
      </c>
      <c r="J3872">
        <v>26.314236646457051</v>
      </c>
      <c r="K3872">
        <v>1178.5720786836271</v>
      </c>
      <c r="L3872">
        <v>0</v>
      </c>
      <c r="M3872" t="s">
        <v>69</v>
      </c>
    </row>
    <row r="3873" spans="1:13" x14ac:dyDescent="0.3">
      <c r="A3873" t="s">
        <v>19</v>
      </c>
      <c r="B3873" t="s">
        <v>48</v>
      </c>
      <c r="C3873">
        <v>53.37138173002306</v>
      </c>
      <c r="D3873">
        <v>2.4455712145309789</v>
      </c>
      <c r="E3873">
        <v>3.927741582789352</v>
      </c>
      <c r="F3873">
        <v>7.1816614878050311</v>
      </c>
      <c r="G3873">
        <v>6.143730357476791</v>
      </c>
      <c r="H3873">
        <v>19.414881174940149</v>
      </c>
      <c r="I3873">
        <v>32.186413820445338</v>
      </c>
      <c r="J3873">
        <v>26.790731857805451</v>
      </c>
      <c r="K3873">
        <v>1155.3527440227119</v>
      </c>
      <c r="L3873">
        <v>0</v>
      </c>
      <c r="M3873" t="s">
        <v>69</v>
      </c>
    </row>
    <row r="3874" spans="1:13" x14ac:dyDescent="0.3">
      <c r="A3874" t="s">
        <v>25</v>
      </c>
      <c r="B3874" t="s">
        <v>62</v>
      </c>
      <c r="C3874">
        <v>584.79461719086476</v>
      </c>
      <c r="D3874">
        <v>28.950226727182759</v>
      </c>
      <c r="E3874">
        <v>41.342932798213852</v>
      </c>
      <c r="F3874">
        <v>93.7003893297167</v>
      </c>
      <c r="G3874">
        <v>4.4826008512974891</v>
      </c>
      <c r="H3874">
        <v>88.4</v>
      </c>
      <c r="I3874">
        <v>27.305885845260949</v>
      </c>
      <c r="J3874">
        <v>23.923571517830428</v>
      </c>
      <c r="K3874">
        <v>715.58605508943901</v>
      </c>
      <c r="L3874">
        <v>0</v>
      </c>
      <c r="M3874" t="s">
        <v>69</v>
      </c>
    </row>
    <row r="3875" spans="1:13" x14ac:dyDescent="0.3">
      <c r="A3875" t="s">
        <v>21</v>
      </c>
      <c r="B3875" t="s">
        <v>52</v>
      </c>
      <c r="C3875">
        <v>126.64565334067341</v>
      </c>
      <c r="D3875">
        <v>5.9876800719567109</v>
      </c>
      <c r="E3875">
        <v>7.835613380291278</v>
      </c>
      <c r="F3875">
        <v>20.7437778394515</v>
      </c>
      <c r="G3875">
        <v>5.5023406359914331</v>
      </c>
      <c r="H3875">
        <v>58.405533604694398</v>
      </c>
      <c r="I3875">
        <v>28.42831747964015</v>
      </c>
      <c r="J3875">
        <v>25.19868939720908</v>
      </c>
      <c r="K3875">
        <v>739.19242038232449</v>
      </c>
      <c r="L3875">
        <v>0</v>
      </c>
      <c r="M3875" t="s">
        <v>69</v>
      </c>
    </row>
    <row r="3876" spans="1:13" x14ac:dyDescent="0.3">
      <c r="A3876" t="s">
        <v>19</v>
      </c>
      <c r="B3876" t="s">
        <v>48</v>
      </c>
      <c r="C3876">
        <v>26.48780769559713</v>
      </c>
      <c r="D3876">
        <v>1.051508125504669</v>
      </c>
      <c r="E3876">
        <v>0.95332804360875922</v>
      </c>
      <c r="F3876">
        <v>3.8119690884864572</v>
      </c>
      <c r="G3876">
        <v>5.974921342424067</v>
      </c>
      <c r="H3876">
        <v>16.570854099602851</v>
      </c>
      <c r="I3876">
        <v>30.944668758453311</v>
      </c>
      <c r="J3876">
        <v>26.759648672760228</v>
      </c>
      <c r="K3876">
        <v>1177.161557953508</v>
      </c>
      <c r="L3876">
        <v>0</v>
      </c>
      <c r="M3876" t="s">
        <v>69</v>
      </c>
    </row>
    <row r="3877" spans="1:13" x14ac:dyDescent="0.3">
      <c r="A3877" t="s">
        <v>25</v>
      </c>
      <c r="B3877" t="s">
        <v>62</v>
      </c>
      <c r="C3877">
        <v>576.03803953975648</v>
      </c>
      <c r="D3877">
        <v>26.057200765103019</v>
      </c>
      <c r="E3877">
        <v>43.518963142208179</v>
      </c>
      <c r="F3877">
        <v>83.140992881138942</v>
      </c>
      <c r="G3877">
        <v>4.4895053654283954</v>
      </c>
      <c r="H3877">
        <v>84.96717983450614</v>
      </c>
      <c r="I3877">
        <v>27.293927575382071</v>
      </c>
      <c r="J3877">
        <v>24.638842844763008</v>
      </c>
      <c r="K3877">
        <v>722.96903777613136</v>
      </c>
      <c r="L3877">
        <v>0</v>
      </c>
      <c r="M3877" t="s">
        <v>69</v>
      </c>
    </row>
    <row r="3878" spans="1:13" x14ac:dyDescent="0.3">
      <c r="A3878" t="s">
        <v>20</v>
      </c>
      <c r="B3878" t="s">
        <v>49</v>
      </c>
      <c r="C3878">
        <v>46.859468502089207</v>
      </c>
      <c r="D3878">
        <v>1.983797461717338</v>
      </c>
      <c r="E3878">
        <v>2.8790843611063099</v>
      </c>
      <c r="F3878">
        <v>6.5695496932877333</v>
      </c>
      <c r="G3878">
        <v>5.4425776117844276</v>
      </c>
      <c r="H3878">
        <v>19.751195627291001</v>
      </c>
      <c r="I3878">
        <v>32.538902294854537</v>
      </c>
      <c r="J3878">
        <v>25.376727957451951</v>
      </c>
      <c r="K3878">
        <v>1134.7155303385</v>
      </c>
      <c r="L3878">
        <v>0</v>
      </c>
      <c r="M3878" t="s">
        <v>69</v>
      </c>
    </row>
    <row r="3879" spans="1:13" x14ac:dyDescent="0.3">
      <c r="A3879" t="s">
        <v>19</v>
      </c>
      <c r="B3879" t="s">
        <v>48</v>
      </c>
      <c r="C3879">
        <v>39.449876959344131</v>
      </c>
      <c r="D3879">
        <v>2.0277722000237559</v>
      </c>
      <c r="E3879">
        <v>1.9499846259927971</v>
      </c>
      <c r="F3879">
        <v>5.7844882124600918</v>
      </c>
      <c r="G3879">
        <v>6.2284614416984603</v>
      </c>
      <c r="H3879">
        <v>16.80381432057046</v>
      </c>
      <c r="I3879">
        <v>32.764133494047478</v>
      </c>
      <c r="J3879">
        <v>25.925657739269109</v>
      </c>
      <c r="K3879">
        <v>1148.8395165845409</v>
      </c>
      <c r="L3879">
        <v>0</v>
      </c>
      <c r="M3879" t="s">
        <v>69</v>
      </c>
    </row>
    <row r="3880" spans="1:13" x14ac:dyDescent="0.3">
      <c r="A3880" t="s">
        <v>20</v>
      </c>
      <c r="B3880" t="s">
        <v>49</v>
      </c>
      <c r="C3880">
        <v>33.726920992536073</v>
      </c>
      <c r="D3880">
        <v>0.82204225571535883</v>
      </c>
      <c r="E3880">
        <v>1.2156074945390321</v>
      </c>
      <c r="F3880">
        <v>4.744226433356582</v>
      </c>
      <c r="G3880">
        <v>6.0620053589226366</v>
      </c>
      <c r="H3880">
        <v>16.743678761380341</v>
      </c>
      <c r="I3880">
        <v>31.90783234493172</v>
      </c>
      <c r="J3880">
        <v>25.024017630317068</v>
      </c>
      <c r="K3880">
        <v>1160.174909916416</v>
      </c>
      <c r="L3880">
        <v>0</v>
      </c>
      <c r="M3880" t="s">
        <v>69</v>
      </c>
    </row>
    <row r="3881" spans="1:13" x14ac:dyDescent="0.3">
      <c r="A3881" t="s">
        <v>24</v>
      </c>
      <c r="B3881" t="s">
        <v>59</v>
      </c>
      <c r="C3881">
        <v>58.190904677367961</v>
      </c>
      <c r="D3881">
        <v>1.9764017274592709</v>
      </c>
      <c r="E3881">
        <v>3.6328868788876938</v>
      </c>
      <c r="F3881">
        <v>9.0622181992113262</v>
      </c>
      <c r="G3881">
        <v>6.7200418177656758</v>
      </c>
      <c r="H3881">
        <v>58.160944504444181</v>
      </c>
      <c r="I3881">
        <v>26.848453788234909</v>
      </c>
      <c r="J3881">
        <v>22.51857767147666</v>
      </c>
      <c r="K3881">
        <v>734.61775304914056</v>
      </c>
      <c r="L3881">
        <v>0</v>
      </c>
      <c r="M3881" t="s">
        <v>69</v>
      </c>
    </row>
    <row r="3882" spans="1:13" x14ac:dyDescent="0.3">
      <c r="A3882" t="s">
        <v>24</v>
      </c>
      <c r="B3882" t="s">
        <v>58</v>
      </c>
      <c r="C3882">
        <v>30.151059879528301</v>
      </c>
      <c r="D3882">
        <v>0.98166799677243777</v>
      </c>
      <c r="E3882">
        <v>2.0054316570811239</v>
      </c>
      <c r="F3882">
        <v>4.0295574999910837</v>
      </c>
      <c r="G3882">
        <v>6.901945825123919</v>
      </c>
      <c r="H3882">
        <v>33.204115848952121</v>
      </c>
      <c r="I3882">
        <v>25.377413144203999</v>
      </c>
      <c r="J3882">
        <v>23.363785181158288</v>
      </c>
      <c r="K3882">
        <v>739.48066101854795</v>
      </c>
      <c r="L3882">
        <v>0</v>
      </c>
      <c r="M3882" t="s">
        <v>69</v>
      </c>
    </row>
    <row r="3883" spans="1:13" x14ac:dyDescent="0.3">
      <c r="A3883" t="s">
        <v>20</v>
      </c>
      <c r="B3883" t="s">
        <v>49</v>
      </c>
      <c r="C3883">
        <v>30.2565490244024</v>
      </c>
      <c r="D3883">
        <v>1.113658806003083</v>
      </c>
      <c r="E3883">
        <v>1.9963026645355191</v>
      </c>
      <c r="F3883">
        <v>5.5493682753008731</v>
      </c>
      <c r="G3883">
        <v>6.0002958579728771</v>
      </c>
      <c r="H3883">
        <v>22.365260799268299</v>
      </c>
      <c r="I3883">
        <v>32.413318677099817</v>
      </c>
      <c r="J3883">
        <v>25.334348995005211</v>
      </c>
      <c r="K3883">
        <v>1152.8061713741599</v>
      </c>
      <c r="L3883">
        <v>0</v>
      </c>
      <c r="M3883" t="s">
        <v>69</v>
      </c>
    </row>
    <row r="3884" spans="1:13" x14ac:dyDescent="0.3">
      <c r="A3884" t="s">
        <v>19</v>
      </c>
      <c r="B3884" t="s">
        <v>48</v>
      </c>
      <c r="C3884">
        <v>27.294310954133341</v>
      </c>
      <c r="D3884">
        <v>1.006050801199958</v>
      </c>
      <c r="E3884">
        <v>0.96121431539650448</v>
      </c>
      <c r="F3884">
        <v>4.2684700669226707</v>
      </c>
      <c r="G3884">
        <v>5.8892016510853624</v>
      </c>
      <c r="H3884">
        <v>15.91347020461866</v>
      </c>
      <c r="I3884">
        <v>30.40066640314684</v>
      </c>
      <c r="J3884">
        <v>26.63236906704935</v>
      </c>
      <c r="K3884">
        <v>1177.839594077592</v>
      </c>
      <c r="L3884">
        <v>0</v>
      </c>
      <c r="M3884" t="s">
        <v>69</v>
      </c>
    </row>
    <row r="3885" spans="1:13" x14ac:dyDescent="0.3">
      <c r="A3885" t="s">
        <v>19</v>
      </c>
      <c r="B3885" t="s">
        <v>48</v>
      </c>
      <c r="C3885">
        <v>57.374887236065668</v>
      </c>
      <c r="D3885">
        <v>3.0240107030302759</v>
      </c>
      <c r="E3885">
        <v>3.8623793237925259</v>
      </c>
      <c r="F3885">
        <v>9.1404416090475777</v>
      </c>
      <c r="G3885">
        <v>6.2691787436062567</v>
      </c>
      <c r="H3885">
        <v>17.51098728483694</v>
      </c>
      <c r="I3885">
        <v>31.604378596267161</v>
      </c>
      <c r="J3885">
        <v>25.34827445787548</v>
      </c>
      <c r="K3885">
        <v>1135.729654542024</v>
      </c>
      <c r="L3885">
        <v>0</v>
      </c>
      <c r="M3885" t="s">
        <v>69</v>
      </c>
    </row>
    <row r="3886" spans="1:13" x14ac:dyDescent="0.3">
      <c r="A3886" t="s">
        <v>19</v>
      </c>
      <c r="B3886" t="s">
        <v>44</v>
      </c>
      <c r="C3886">
        <v>19.832166623439889</v>
      </c>
      <c r="D3886">
        <v>1.0192009347219051</v>
      </c>
      <c r="E3886">
        <v>1.060685345946325</v>
      </c>
      <c r="F3886">
        <v>2.6987129075365162</v>
      </c>
      <c r="G3886">
        <v>6.1941516204060028</v>
      </c>
      <c r="H3886">
        <v>15.24022445677423</v>
      </c>
      <c r="I3886">
        <v>24.915212468976691</v>
      </c>
      <c r="J3886">
        <v>23.988661246421049</v>
      </c>
      <c r="K3886">
        <v>1316.5860262993981</v>
      </c>
      <c r="L3886">
        <v>0</v>
      </c>
      <c r="M3886" t="s">
        <v>69</v>
      </c>
    </row>
    <row r="3887" spans="1:13" x14ac:dyDescent="0.3">
      <c r="A3887" t="s">
        <v>19</v>
      </c>
      <c r="B3887" t="s">
        <v>48</v>
      </c>
      <c r="C3887">
        <v>40.54734447672562</v>
      </c>
      <c r="D3887">
        <v>2.0259047247072748</v>
      </c>
      <c r="E3887">
        <v>2.130312086247252</v>
      </c>
      <c r="F3887">
        <v>5.3962548736442741</v>
      </c>
      <c r="G3887">
        <v>6.1557640449571354</v>
      </c>
      <c r="H3887">
        <v>17.049344581963901</v>
      </c>
      <c r="I3887">
        <v>32.880692033871561</v>
      </c>
      <c r="J3887">
        <v>26.324069607092259</v>
      </c>
      <c r="K3887">
        <v>1151.978918100649</v>
      </c>
      <c r="L3887">
        <v>0</v>
      </c>
      <c r="M3887" t="s">
        <v>69</v>
      </c>
    </row>
    <row r="3888" spans="1:13" x14ac:dyDescent="0.3">
      <c r="A3888" t="s">
        <v>24</v>
      </c>
      <c r="B3888" t="s">
        <v>58</v>
      </c>
      <c r="C3888">
        <v>35.359144576111802</v>
      </c>
      <c r="D3888">
        <v>1.0384907216753081</v>
      </c>
      <c r="E3888">
        <v>1.964866723220553</v>
      </c>
      <c r="F3888">
        <v>4.7916679200877983</v>
      </c>
      <c r="G3888">
        <v>6.9182388971447191</v>
      </c>
      <c r="H3888">
        <v>56.835715508086857</v>
      </c>
      <c r="I3888">
        <v>24.737933057372022</v>
      </c>
      <c r="J3888">
        <v>22.940896714236221</v>
      </c>
      <c r="K3888">
        <v>731.05466248904395</v>
      </c>
      <c r="L3888">
        <v>0</v>
      </c>
      <c r="M3888" t="s">
        <v>69</v>
      </c>
    </row>
    <row r="3889" spans="1:13" x14ac:dyDescent="0.3">
      <c r="A3889" t="s">
        <v>21</v>
      </c>
      <c r="B3889" t="s">
        <v>52</v>
      </c>
      <c r="C3889">
        <v>29.406108487552331</v>
      </c>
      <c r="D3889">
        <v>0.99514336978544149</v>
      </c>
      <c r="E3889">
        <v>2.0594902442699592</v>
      </c>
      <c r="F3889">
        <v>3.8242911987732491</v>
      </c>
      <c r="G3889">
        <v>6.1437253215107646</v>
      </c>
      <c r="H3889">
        <v>24.908350513045239</v>
      </c>
      <c r="I3889">
        <v>22.925149450060751</v>
      </c>
      <c r="J3889">
        <v>24.945629406796581</v>
      </c>
      <c r="K3889">
        <v>1217.9648224050441</v>
      </c>
      <c r="L3889">
        <v>0</v>
      </c>
      <c r="M3889" t="s">
        <v>69</v>
      </c>
    </row>
    <row r="3890" spans="1:13" x14ac:dyDescent="0.3">
      <c r="A3890" t="s">
        <v>20</v>
      </c>
      <c r="B3890" t="s">
        <v>49</v>
      </c>
      <c r="C3890">
        <v>42.475122938282553</v>
      </c>
      <c r="D3890">
        <v>1.987978337284626</v>
      </c>
      <c r="E3890">
        <v>3.116275485727888</v>
      </c>
      <c r="F3890">
        <v>6.2701505351900106</v>
      </c>
      <c r="G3890">
        <v>5.5704039837699417</v>
      </c>
      <c r="H3890">
        <v>19.378294159570441</v>
      </c>
      <c r="I3890">
        <v>32.677188207350369</v>
      </c>
      <c r="J3890">
        <v>26.02038277448851</v>
      </c>
      <c r="K3890">
        <v>1148.1613059626241</v>
      </c>
      <c r="L3890">
        <v>0</v>
      </c>
      <c r="M3890" t="s">
        <v>69</v>
      </c>
    </row>
    <row r="3891" spans="1:13" x14ac:dyDescent="0.3">
      <c r="A3891" t="s">
        <v>24</v>
      </c>
      <c r="B3891" t="s">
        <v>58</v>
      </c>
      <c r="C3891">
        <v>13.23054131279611</v>
      </c>
      <c r="D3891">
        <v>0</v>
      </c>
      <c r="E3891">
        <v>0</v>
      </c>
      <c r="F3891">
        <v>1.863977043574311</v>
      </c>
      <c r="G3891">
        <v>6.4950061154393994</v>
      </c>
      <c r="H3891">
        <v>42.136813382277097</v>
      </c>
      <c r="I3891">
        <v>24.00830062588728</v>
      </c>
      <c r="J3891">
        <v>22.675198395634752</v>
      </c>
      <c r="K3891">
        <v>745.44408451525442</v>
      </c>
      <c r="L3891">
        <v>0</v>
      </c>
      <c r="M3891" t="s">
        <v>69</v>
      </c>
    </row>
    <row r="3892" spans="1:13" x14ac:dyDescent="0.3">
      <c r="A3892" t="s">
        <v>19</v>
      </c>
      <c r="B3892" t="s">
        <v>45</v>
      </c>
      <c r="C3892">
        <v>19.603449890901761</v>
      </c>
      <c r="D3892">
        <v>0.94268991259283519</v>
      </c>
      <c r="E3892">
        <v>0.97966777811483841</v>
      </c>
      <c r="F3892">
        <v>3.3602517052527858</v>
      </c>
      <c r="G3892">
        <v>6.3868607234017176</v>
      </c>
      <c r="H3892">
        <v>18.958933910947469</v>
      </c>
      <c r="I3892">
        <v>31.639237844407031</v>
      </c>
      <c r="J3892">
        <v>24.294037798431379</v>
      </c>
      <c r="K3892">
        <v>1336.0847786531931</v>
      </c>
      <c r="L3892">
        <v>0</v>
      </c>
      <c r="M3892" t="s">
        <v>69</v>
      </c>
    </row>
    <row r="3893" spans="1:13" x14ac:dyDescent="0.3">
      <c r="A3893" t="s">
        <v>24</v>
      </c>
      <c r="B3893" t="s">
        <v>58</v>
      </c>
      <c r="C3893">
        <v>13.01434268081114</v>
      </c>
      <c r="D3893">
        <v>0</v>
      </c>
      <c r="E3893">
        <v>0</v>
      </c>
      <c r="F3893">
        <v>1.997301482878362</v>
      </c>
      <c r="G3893">
        <v>6.5000217946929588</v>
      </c>
      <c r="H3893">
        <v>42.183295160587008</v>
      </c>
      <c r="I3893">
        <v>25.052859623354021</v>
      </c>
      <c r="J3893">
        <v>22.982124858092138</v>
      </c>
      <c r="K3893">
        <v>738.07638469960136</v>
      </c>
      <c r="L3893">
        <v>0</v>
      </c>
      <c r="M3893" t="s">
        <v>69</v>
      </c>
    </row>
    <row r="3894" spans="1:13" x14ac:dyDescent="0.3">
      <c r="A3894" t="s">
        <v>21</v>
      </c>
      <c r="B3894" t="s">
        <v>52</v>
      </c>
      <c r="C3894">
        <v>131.337751270654</v>
      </c>
      <c r="D3894">
        <v>6.264058619259786</v>
      </c>
      <c r="E3894">
        <v>9.258490122817248</v>
      </c>
      <c r="F3894">
        <v>21.762052793801921</v>
      </c>
      <c r="G3894">
        <v>5.6129163499782324</v>
      </c>
      <c r="H3894">
        <v>55.036066773871219</v>
      </c>
      <c r="I3894">
        <v>28.02319430199903</v>
      </c>
      <c r="J3894">
        <v>24.677788284087189</v>
      </c>
      <c r="K3894">
        <v>752.93492423919565</v>
      </c>
      <c r="L3894">
        <v>0</v>
      </c>
      <c r="M3894" t="s">
        <v>69</v>
      </c>
    </row>
    <row r="3895" spans="1:13" x14ac:dyDescent="0.3">
      <c r="A3895" t="s">
        <v>25</v>
      </c>
      <c r="B3895" t="s">
        <v>62</v>
      </c>
      <c r="C3895">
        <v>274.88821038852097</v>
      </c>
      <c r="D3895">
        <v>18.507370389672761</v>
      </c>
      <c r="E3895">
        <v>28.268663834454109</v>
      </c>
      <c r="F3895">
        <v>57.164466394945592</v>
      </c>
      <c r="G3895">
        <v>4.4196126690145796</v>
      </c>
      <c r="H3895">
        <v>74.993401816936085</v>
      </c>
      <c r="I3895">
        <v>30.570292915666592</v>
      </c>
      <c r="J3895">
        <v>24.072486030694989</v>
      </c>
      <c r="K3895">
        <v>727.71384596106441</v>
      </c>
      <c r="L3895">
        <v>0</v>
      </c>
      <c r="M3895" t="s">
        <v>69</v>
      </c>
    </row>
    <row r="3896" spans="1:13" x14ac:dyDescent="0.3">
      <c r="A3896" t="s">
        <v>25</v>
      </c>
      <c r="B3896" t="s">
        <v>62</v>
      </c>
      <c r="C3896">
        <v>588.5186462165392</v>
      </c>
      <c r="D3896">
        <v>25.362185899563059</v>
      </c>
      <c r="E3896">
        <v>40.754385298996397</v>
      </c>
      <c r="F3896">
        <v>86.85880758552662</v>
      </c>
      <c r="G3896">
        <v>4.4595206238725078</v>
      </c>
      <c r="H3896">
        <v>87.168966816166801</v>
      </c>
      <c r="I3896">
        <v>27.132485252390989</v>
      </c>
      <c r="J3896">
        <v>23.934299798105609</v>
      </c>
      <c r="K3896">
        <v>712.0448269152522</v>
      </c>
      <c r="L3896">
        <v>0</v>
      </c>
      <c r="M3896" t="s">
        <v>69</v>
      </c>
    </row>
    <row r="3897" spans="1:13" x14ac:dyDescent="0.3">
      <c r="A3897" t="s">
        <v>24</v>
      </c>
      <c r="B3897" t="s">
        <v>59</v>
      </c>
      <c r="C3897">
        <v>61.444642567691062</v>
      </c>
      <c r="D3897">
        <v>2.02853154560803</v>
      </c>
      <c r="E3897">
        <v>4.4481787918358853</v>
      </c>
      <c r="F3897">
        <v>9.740979590500535</v>
      </c>
      <c r="G3897">
        <v>6.7908004216671216</v>
      </c>
      <c r="H3897">
        <v>59.755529694780392</v>
      </c>
      <c r="I3897">
        <v>25.79050923753822</v>
      </c>
      <c r="J3897">
        <v>22.454365891921771</v>
      </c>
      <c r="K3897">
        <v>740.38929951572857</v>
      </c>
      <c r="L3897">
        <v>0</v>
      </c>
      <c r="M3897" t="s">
        <v>69</v>
      </c>
    </row>
    <row r="3898" spans="1:13" x14ac:dyDescent="0.3">
      <c r="A3898" t="s">
        <v>24</v>
      </c>
      <c r="B3898" t="s">
        <v>58</v>
      </c>
      <c r="C3898">
        <v>28.981116691117901</v>
      </c>
      <c r="D3898">
        <v>1.0148643889154181</v>
      </c>
      <c r="E3898">
        <v>1.987457540744114</v>
      </c>
      <c r="F3898">
        <v>3.9246370496658329</v>
      </c>
      <c r="G3898">
        <v>6.9927778827064753</v>
      </c>
      <c r="H3898">
        <v>34.071340946987519</v>
      </c>
      <c r="I3898">
        <v>26.616186813098469</v>
      </c>
      <c r="J3898">
        <v>23.649479962522019</v>
      </c>
      <c r="K3898">
        <v>742.71716439490342</v>
      </c>
      <c r="L3898">
        <v>0</v>
      </c>
      <c r="M3898" t="s">
        <v>69</v>
      </c>
    </row>
    <row r="3899" spans="1:13" x14ac:dyDescent="0.3">
      <c r="A3899" t="s">
        <v>24</v>
      </c>
      <c r="B3899" t="s">
        <v>59</v>
      </c>
      <c r="C3899">
        <v>59.976344581090103</v>
      </c>
      <c r="D3899">
        <v>1.965914848894718</v>
      </c>
      <c r="E3899">
        <v>4.1650657412551206</v>
      </c>
      <c r="F3899">
        <v>10.077054557085351</v>
      </c>
      <c r="G3899">
        <v>6.8370752923552578</v>
      </c>
      <c r="H3899">
        <v>60.287863189216722</v>
      </c>
      <c r="I3899">
        <v>25.945841230900481</v>
      </c>
      <c r="J3899">
        <v>22.751138078153168</v>
      </c>
      <c r="K3899">
        <v>733.13443425803007</v>
      </c>
      <c r="L3899">
        <v>0</v>
      </c>
      <c r="M3899" t="s">
        <v>69</v>
      </c>
    </row>
    <row r="3900" spans="1:13" x14ac:dyDescent="0.3">
      <c r="A3900" t="s">
        <v>19</v>
      </c>
      <c r="B3900" t="s">
        <v>48</v>
      </c>
      <c r="C3900">
        <v>58.465688261393282</v>
      </c>
      <c r="D3900">
        <v>2.9338754120602748</v>
      </c>
      <c r="E3900">
        <v>3.9562458786322621</v>
      </c>
      <c r="F3900">
        <v>9.2247013339737265</v>
      </c>
      <c r="G3900">
        <v>6.281161836360841</v>
      </c>
      <c r="H3900">
        <v>18.997787166603771</v>
      </c>
      <c r="I3900">
        <v>34.191376163276352</v>
      </c>
      <c r="J3900">
        <v>25.919347646602201</v>
      </c>
      <c r="K3900">
        <v>1194.142344044144</v>
      </c>
      <c r="L3900">
        <v>0</v>
      </c>
      <c r="M3900" t="s">
        <v>69</v>
      </c>
    </row>
    <row r="3901" spans="1:13" x14ac:dyDescent="0.3">
      <c r="A3901" t="s">
        <v>25</v>
      </c>
      <c r="B3901" t="s">
        <v>62</v>
      </c>
      <c r="C3901">
        <v>30.94491112796587</v>
      </c>
      <c r="D3901">
        <v>0.81503226860518607</v>
      </c>
      <c r="E3901">
        <v>2.007448157270495</v>
      </c>
      <c r="F3901">
        <v>3.8993573320580541</v>
      </c>
      <c r="G3901">
        <v>6.0373616598438469</v>
      </c>
      <c r="H3901">
        <v>23.979921481488869</v>
      </c>
      <c r="I3901">
        <v>23.79835052099752</v>
      </c>
      <c r="J3901">
        <v>24.299617066187949</v>
      </c>
      <c r="K3901">
        <v>1215.2397468246961</v>
      </c>
      <c r="L3901">
        <v>0</v>
      </c>
      <c r="M3901" t="s">
        <v>69</v>
      </c>
    </row>
    <row r="3902" spans="1:13" x14ac:dyDescent="0.3">
      <c r="A3902" t="s">
        <v>25</v>
      </c>
      <c r="B3902" t="s">
        <v>62</v>
      </c>
      <c r="C3902">
        <v>262.01508380857842</v>
      </c>
      <c r="D3902">
        <v>18.62921916949476</v>
      </c>
      <c r="E3902">
        <v>24.751833986735349</v>
      </c>
      <c r="F3902">
        <v>56.145988622292748</v>
      </c>
      <c r="G3902">
        <v>4.5000299187530768</v>
      </c>
      <c r="H3902">
        <v>72.998513131386247</v>
      </c>
      <c r="I3902">
        <v>29.015645663890229</v>
      </c>
      <c r="J3902">
        <v>23.941304481931351</v>
      </c>
      <c r="K3902">
        <v>708.88268197068783</v>
      </c>
      <c r="L3902">
        <v>0</v>
      </c>
      <c r="M3902" t="s">
        <v>69</v>
      </c>
    </row>
    <row r="3903" spans="1:13" x14ac:dyDescent="0.3">
      <c r="A3903" t="s">
        <v>24</v>
      </c>
      <c r="B3903" t="s">
        <v>58</v>
      </c>
      <c r="C3903">
        <v>30.463774770718359</v>
      </c>
      <c r="D3903">
        <v>0.92854056618658909</v>
      </c>
      <c r="E3903">
        <v>2.212874179664635</v>
      </c>
      <c r="F3903">
        <v>3.345008630636352</v>
      </c>
      <c r="G3903">
        <v>7.0597053632812159</v>
      </c>
      <c r="H3903">
        <v>33.6255881574181</v>
      </c>
      <c r="I3903">
        <v>26.64890721747733</v>
      </c>
      <c r="J3903">
        <v>23.38186646021677</v>
      </c>
      <c r="K3903">
        <v>743.89421955425166</v>
      </c>
      <c r="L3903">
        <v>0</v>
      </c>
      <c r="M3903" t="s">
        <v>69</v>
      </c>
    </row>
    <row r="3904" spans="1:13" x14ac:dyDescent="0.3">
      <c r="A3904" t="s">
        <v>25</v>
      </c>
      <c r="B3904" t="s">
        <v>62</v>
      </c>
      <c r="C3904">
        <v>38.685482337545878</v>
      </c>
      <c r="D3904">
        <v>1.728587474764733</v>
      </c>
      <c r="E3904">
        <v>2.797631018783731</v>
      </c>
      <c r="F3904">
        <v>6.0895213797528118</v>
      </c>
      <c r="G3904">
        <v>6.0420716432069144</v>
      </c>
      <c r="H3904">
        <v>20.646429473683849</v>
      </c>
      <c r="I3904">
        <v>31.797233563131019</v>
      </c>
      <c r="J3904">
        <v>25.514118361375491</v>
      </c>
      <c r="K3904">
        <v>1196.6245185856801</v>
      </c>
      <c r="L3904">
        <v>0</v>
      </c>
      <c r="M3904" t="s">
        <v>69</v>
      </c>
    </row>
    <row r="3905" spans="1:13" x14ac:dyDescent="0.3">
      <c r="A3905" t="s">
        <v>25</v>
      </c>
      <c r="B3905" t="s">
        <v>62</v>
      </c>
      <c r="C3905">
        <v>264.26843813653159</v>
      </c>
      <c r="D3905">
        <v>17.993947634079198</v>
      </c>
      <c r="E3905">
        <v>26.21667649983651</v>
      </c>
      <c r="F3905">
        <v>56.960426238625281</v>
      </c>
      <c r="G3905">
        <v>4.4583968079183514</v>
      </c>
      <c r="H3905">
        <v>73.613669492426709</v>
      </c>
      <c r="I3905">
        <v>30.117097350783581</v>
      </c>
      <c r="J3905">
        <v>24.497408487651072</v>
      </c>
      <c r="K3905">
        <v>716.20406232003711</v>
      </c>
      <c r="L3905">
        <v>0</v>
      </c>
      <c r="M3905" t="s">
        <v>69</v>
      </c>
    </row>
    <row r="3906" spans="1:13" x14ac:dyDescent="0.3">
      <c r="A3906" t="s">
        <v>19</v>
      </c>
      <c r="B3906" t="s">
        <v>44</v>
      </c>
      <c r="C3906">
        <v>22.217117320520529</v>
      </c>
      <c r="D3906">
        <v>1.1074430597940199</v>
      </c>
      <c r="E3906">
        <v>1.0870621229624089</v>
      </c>
      <c r="F3906">
        <v>2.6174591842718442</v>
      </c>
      <c r="G3906">
        <v>6.3535070747437619</v>
      </c>
      <c r="H3906">
        <v>20.119610379146739</v>
      </c>
      <c r="I3906">
        <v>26.995060563284849</v>
      </c>
      <c r="J3906">
        <v>24.122659068607479</v>
      </c>
      <c r="K3906">
        <v>1316.930830308979</v>
      </c>
      <c r="L3906">
        <v>0</v>
      </c>
      <c r="M3906" t="s">
        <v>69</v>
      </c>
    </row>
    <row r="3907" spans="1:13" x14ac:dyDescent="0.3">
      <c r="A3907" t="s">
        <v>19</v>
      </c>
      <c r="B3907" t="s">
        <v>48</v>
      </c>
      <c r="C3907">
        <v>38.556454750857768</v>
      </c>
      <c r="D3907">
        <v>1.0282368986924411</v>
      </c>
      <c r="E3907">
        <v>2.0359556049388772</v>
      </c>
      <c r="F3907">
        <v>5.8170037070171174</v>
      </c>
      <c r="G3907">
        <v>6.1616350620911229</v>
      </c>
      <c r="H3907">
        <v>16.89959621322139</v>
      </c>
      <c r="I3907">
        <v>32.190096344440583</v>
      </c>
      <c r="J3907">
        <v>26.814016944795011</v>
      </c>
      <c r="K3907">
        <v>1185.493396260571</v>
      </c>
      <c r="L3907">
        <v>0</v>
      </c>
      <c r="M3907" t="s">
        <v>69</v>
      </c>
    </row>
    <row r="3908" spans="1:13" x14ac:dyDescent="0.3">
      <c r="A3908" t="s">
        <v>24</v>
      </c>
      <c r="B3908" t="s">
        <v>57</v>
      </c>
      <c r="C3908">
        <v>7.7923448328020726</v>
      </c>
      <c r="D3908">
        <v>0</v>
      </c>
      <c r="E3908">
        <v>0</v>
      </c>
      <c r="F3908">
        <v>1.075009851985808</v>
      </c>
      <c r="G3908">
        <v>5.981524181695872</v>
      </c>
      <c r="H3908">
        <v>37.492310975386772</v>
      </c>
      <c r="I3908">
        <v>23.596722726142971</v>
      </c>
      <c r="J3908">
        <v>21.557198506989881</v>
      </c>
      <c r="K3908">
        <v>727.4003208657648</v>
      </c>
      <c r="L3908">
        <v>0</v>
      </c>
      <c r="M3908" t="s">
        <v>69</v>
      </c>
    </row>
    <row r="3909" spans="1:13" x14ac:dyDescent="0.3">
      <c r="A3909" t="s">
        <v>24</v>
      </c>
      <c r="B3909" t="s">
        <v>58</v>
      </c>
      <c r="C3909">
        <v>13.063797295120141</v>
      </c>
      <c r="D3909">
        <v>0</v>
      </c>
      <c r="E3909">
        <v>0</v>
      </c>
      <c r="F3909">
        <v>1.977539268969819</v>
      </c>
      <c r="G3909">
        <v>6.5257077244501627</v>
      </c>
      <c r="H3909">
        <v>42.20577400847985</v>
      </c>
      <c r="I3909">
        <v>25.102216953885069</v>
      </c>
      <c r="J3909">
        <v>23.191041643316431</v>
      </c>
      <c r="K3909">
        <v>742.07866367451788</v>
      </c>
      <c r="L3909">
        <v>0</v>
      </c>
      <c r="M3909" t="s">
        <v>69</v>
      </c>
    </row>
    <row r="3910" spans="1:13" x14ac:dyDescent="0.3">
      <c r="A3910" t="s">
        <v>25</v>
      </c>
      <c r="B3910" t="s">
        <v>62</v>
      </c>
      <c r="C3910">
        <v>30.979919781675282</v>
      </c>
      <c r="D3910">
        <v>0.99127382604229997</v>
      </c>
      <c r="E3910">
        <v>1.971461616159002</v>
      </c>
      <c r="F3910">
        <v>4.9489360882239151</v>
      </c>
      <c r="G3910">
        <v>6.2990479653477376</v>
      </c>
      <c r="H3910">
        <v>39.097174030135683</v>
      </c>
      <c r="I3910">
        <v>20.61429238325498</v>
      </c>
      <c r="J3910">
        <v>23.99308173177316</v>
      </c>
      <c r="K3910">
        <v>1081.2914740037461</v>
      </c>
      <c r="L3910">
        <v>0</v>
      </c>
      <c r="M3910" t="s">
        <v>69</v>
      </c>
    </row>
    <row r="3911" spans="1:13" x14ac:dyDescent="0.3">
      <c r="A3911" t="s">
        <v>19</v>
      </c>
      <c r="B3911" t="s">
        <v>44</v>
      </c>
      <c r="C3911">
        <v>18.48419540528991</v>
      </c>
      <c r="D3911">
        <v>0</v>
      </c>
      <c r="E3911">
        <v>1.038980806816209</v>
      </c>
      <c r="F3911">
        <v>3.1321283310825661</v>
      </c>
      <c r="G3911">
        <v>5.3519625389569176</v>
      </c>
      <c r="H3911">
        <v>14.59834772894065</v>
      </c>
      <c r="I3911">
        <v>32.249548364815453</v>
      </c>
      <c r="J3911">
        <v>23.55219895737207</v>
      </c>
      <c r="K3911">
        <v>1330.836216222651</v>
      </c>
      <c r="L3911">
        <v>0</v>
      </c>
      <c r="M3911" t="s">
        <v>69</v>
      </c>
    </row>
    <row r="3912" spans="1:13" x14ac:dyDescent="0.3">
      <c r="A3912" t="s">
        <v>25</v>
      </c>
      <c r="B3912" t="s">
        <v>62</v>
      </c>
      <c r="C3912">
        <v>550.42270910483501</v>
      </c>
      <c r="D3912">
        <v>30.270736951983881</v>
      </c>
      <c r="E3912">
        <v>42.968401811844998</v>
      </c>
      <c r="F3912">
        <v>100.6425028816476</v>
      </c>
      <c r="G3912">
        <v>4.6311049639430184</v>
      </c>
      <c r="H3912">
        <v>88.4</v>
      </c>
      <c r="I3912">
        <v>28.465862266821201</v>
      </c>
      <c r="J3912">
        <v>24.30004348158149</v>
      </c>
      <c r="K3912">
        <v>703.79214556129659</v>
      </c>
      <c r="L3912">
        <v>0</v>
      </c>
      <c r="M3912" t="s">
        <v>69</v>
      </c>
    </row>
    <row r="3913" spans="1:13" x14ac:dyDescent="0.3">
      <c r="A3913" t="s">
        <v>24</v>
      </c>
      <c r="B3913" t="s">
        <v>58</v>
      </c>
      <c r="C3913">
        <v>34.954441649213102</v>
      </c>
      <c r="D3913">
        <v>1.003875299483469</v>
      </c>
      <c r="E3913">
        <v>1.997552134833362</v>
      </c>
      <c r="F3913">
        <v>5.0052051730497382</v>
      </c>
      <c r="G3913">
        <v>6.8950503089386066</v>
      </c>
      <c r="H3913">
        <v>57.447275536101962</v>
      </c>
      <c r="I3913">
        <v>24.597555248955668</v>
      </c>
      <c r="J3913">
        <v>22.937365544449399</v>
      </c>
      <c r="K3913">
        <v>737.85149197771352</v>
      </c>
      <c r="L3913">
        <v>0</v>
      </c>
      <c r="M3913" t="s">
        <v>69</v>
      </c>
    </row>
    <row r="3914" spans="1:13" x14ac:dyDescent="0.3">
      <c r="A3914" t="s">
        <v>24</v>
      </c>
      <c r="B3914" t="s">
        <v>59</v>
      </c>
      <c r="C3914">
        <v>60.882868145366281</v>
      </c>
      <c r="D3914">
        <v>2.0624427904420291</v>
      </c>
      <c r="E3914">
        <v>3.7619752957383801</v>
      </c>
      <c r="F3914">
        <v>9.1968275401627722</v>
      </c>
      <c r="G3914">
        <v>6.6063012288117093</v>
      </c>
      <c r="H3914">
        <v>56.017559992123587</v>
      </c>
      <c r="I3914">
        <v>27.18138069258773</v>
      </c>
      <c r="J3914">
        <v>23.569644641901821</v>
      </c>
      <c r="K3914">
        <v>733.47814003335031</v>
      </c>
      <c r="L3914">
        <v>0</v>
      </c>
      <c r="M3914" t="s">
        <v>69</v>
      </c>
    </row>
    <row r="3915" spans="1:13" x14ac:dyDescent="0.3">
      <c r="A3915" t="s">
        <v>20</v>
      </c>
      <c r="B3915" t="s">
        <v>49</v>
      </c>
      <c r="C3915">
        <v>35.382910163210788</v>
      </c>
      <c r="D3915">
        <v>1.665265141737867</v>
      </c>
      <c r="E3915">
        <v>2.5945187558777012</v>
      </c>
      <c r="F3915">
        <v>6.3286490148528056</v>
      </c>
      <c r="G3915">
        <v>5.6759526196585943</v>
      </c>
      <c r="H3915">
        <v>18.928136388743791</v>
      </c>
      <c r="I3915">
        <v>30.594162199146059</v>
      </c>
      <c r="J3915">
        <v>24.526417376586551</v>
      </c>
      <c r="K3915">
        <v>1163.183274645846</v>
      </c>
      <c r="L3915">
        <v>0</v>
      </c>
      <c r="M3915" t="s">
        <v>69</v>
      </c>
    </row>
    <row r="3916" spans="1:13" x14ac:dyDescent="0.3">
      <c r="A3916" t="s">
        <v>24</v>
      </c>
      <c r="B3916" t="s">
        <v>58</v>
      </c>
      <c r="C3916">
        <v>26.538300308664521</v>
      </c>
      <c r="D3916">
        <v>1.0626079705157709</v>
      </c>
      <c r="E3916">
        <v>2.2090777538932831</v>
      </c>
      <c r="F3916">
        <v>4.2058210533211078</v>
      </c>
      <c r="G3916">
        <v>6.2186543603577569</v>
      </c>
      <c r="H3916">
        <v>38.370351644627988</v>
      </c>
      <c r="I3916">
        <v>23.781051446144879</v>
      </c>
      <c r="J3916">
        <v>22.957047958597471</v>
      </c>
      <c r="K3916">
        <v>733.19136159149605</v>
      </c>
      <c r="L3916">
        <v>0</v>
      </c>
      <c r="M3916" t="s">
        <v>69</v>
      </c>
    </row>
    <row r="3917" spans="1:13" x14ac:dyDescent="0.3">
      <c r="A3917" t="s">
        <v>21</v>
      </c>
      <c r="B3917" t="s">
        <v>52</v>
      </c>
      <c r="C3917">
        <v>62.084060666998241</v>
      </c>
      <c r="D3917">
        <v>3.2404524228034148</v>
      </c>
      <c r="E3917">
        <v>3.8639432482218208</v>
      </c>
      <c r="F3917">
        <v>10.04447914081477</v>
      </c>
      <c r="G3917">
        <v>6.3952202826397286</v>
      </c>
      <c r="H3917">
        <v>19.386336256530381</v>
      </c>
      <c r="I3917">
        <v>33.73388677302917</v>
      </c>
      <c r="J3917">
        <v>25.41466601101148</v>
      </c>
      <c r="K3917">
        <v>1214.6903846506141</v>
      </c>
      <c r="L3917">
        <v>0</v>
      </c>
      <c r="M3917" t="s">
        <v>69</v>
      </c>
    </row>
    <row r="3918" spans="1:13" x14ac:dyDescent="0.3">
      <c r="A3918" t="s">
        <v>20</v>
      </c>
      <c r="B3918" t="s">
        <v>49</v>
      </c>
      <c r="C3918">
        <v>41.614743492180168</v>
      </c>
      <c r="D3918">
        <v>1.5128416702553189</v>
      </c>
      <c r="E3918">
        <v>2.9750498650813322</v>
      </c>
      <c r="F3918">
        <v>6.8525968294170809</v>
      </c>
      <c r="G3918">
        <v>6.0476577955328539</v>
      </c>
      <c r="H3918">
        <v>20.03968294046204</v>
      </c>
      <c r="I3918">
        <v>32.261436718729698</v>
      </c>
      <c r="J3918">
        <v>25.037656495347679</v>
      </c>
      <c r="K3918">
        <v>1150.215786575106</v>
      </c>
      <c r="L3918">
        <v>0</v>
      </c>
      <c r="M3918" t="s">
        <v>69</v>
      </c>
    </row>
    <row r="3919" spans="1:13" x14ac:dyDescent="0.3">
      <c r="A3919" t="s">
        <v>25</v>
      </c>
      <c r="B3919" t="s">
        <v>62</v>
      </c>
      <c r="C3919">
        <v>270.98400122223501</v>
      </c>
      <c r="D3919">
        <v>18.868555803860868</v>
      </c>
      <c r="E3919">
        <v>24.428890592513461</v>
      </c>
      <c r="F3919">
        <v>61.583393194021433</v>
      </c>
      <c r="G3919">
        <v>4.4144653266496006</v>
      </c>
      <c r="H3919">
        <v>73.599270991616919</v>
      </c>
      <c r="I3919">
        <v>29.096001733721462</v>
      </c>
      <c r="J3919">
        <v>22.998119492751151</v>
      </c>
      <c r="K3919">
        <v>719.27760183311659</v>
      </c>
      <c r="L3919">
        <v>0</v>
      </c>
      <c r="M3919" t="s">
        <v>69</v>
      </c>
    </row>
    <row r="3920" spans="1:13" x14ac:dyDescent="0.3">
      <c r="A3920" t="s">
        <v>19</v>
      </c>
      <c r="B3920" t="s">
        <v>48</v>
      </c>
      <c r="C3920">
        <v>28.481613535511929</v>
      </c>
      <c r="D3920">
        <v>0.94852115577633889</v>
      </c>
      <c r="E3920">
        <v>0.8999609330458469</v>
      </c>
      <c r="F3920">
        <v>3.975596489708785</v>
      </c>
      <c r="G3920">
        <v>6.0326507654307671</v>
      </c>
      <c r="H3920">
        <v>16.669264528797889</v>
      </c>
      <c r="I3920">
        <v>31.36500801584604</v>
      </c>
      <c r="J3920">
        <v>25.36161399154971</v>
      </c>
      <c r="K3920">
        <v>1160.484486174749</v>
      </c>
      <c r="L3920">
        <v>0</v>
      </c>
      <c r="M3920" t="s">
        <v>69</v>
      </c>
    </row>
    <row r="3921" spans="1:13" x14ac:dyDescent="0.3">
      <c r="A3921" t="s">
        <v>24</v>
      </c>
      <c r="B3921" t="s">
        <v>58</v>
      </c>
      <c r="C3921">
        <v>12.650620390047051</v>
      </c>
      <c r="D3921">
        <v>0</v>
      </c>
      <c r="E3921">
        <v>0</v>
      </c>
      <c r="F3921">
        <v>2.084389099108622</v>
      </c>
      <c r="G3921">
        <v>6.387651654863709</v>
      </c>
      <c r="H3921">
        <v>44.529137908204511</v>
      </c>
      <c r="I3921">
        <v>25.49564086323694</v>
      </c>
      <c r="J3921">
        <v>22.708320750987049</v>
      </c>
      <c r="K3921">
        <v>744.24830368201776</v>
      </c>
      <c r="L3921">
        <v>0</v>
      </c>
      <c r="M3921" t="s">
        <v>69</v>
      </c>
    </row>
    <row r="3922" spans="1:13" x14ac:dyDescent="0.3">
      <c r="A3922" t="s">
        <v>21</v>
      </c>
      <c r="B3922" t="s">
        <v>52</v>
      </c>
      <c r="C3922">
        <v>130.07627459868149</v>
      </c>
      <c r="D3922">
        <v>6.2902570513490774</v>
      </c>
      <c r="E3922">
        <v>9.5667251076115001</v>
      </c>
      <c r="F3922">
        <v>20.87815264651713</v>
      </c>
      <c r="G3922">
        <v>5.4773266145426938</v>
      </c>
      <c r="H3922">
        <v>58.449112415210443</v>
      </c>
      <c r="I3922">
        <v>27.708790377961851</v>
      </c>
      <c r="J3922">
        <v>24.48833379796546</v>
      </c>
      <c r="K3922">
        <v>751.1464984310021</v>
      </c>
      <c r="L3922">
        <v>0</v>
      </c>
      <c r="M3922" t="s">
        <v>69</v>
      </c>
    </row>
    <row r="3923" spans="1:13" x14ac:dyDescent="0.3">
      <c r="A3923" t="s">
        <v>25</v>
      </c>
      <c r="B3923" t="s">
        <v>62</v>
      </c>
      <c r="C3923">
        <v>30.635801815808609</v>
      </c>
      <c r="D3923">
        <v>1.0373879817059031</v>
      </c>
      <c r="E3923">
        <v>1.942484180249362</v>
      </c>
      <c r="F3923">
        <v>5.1738573337637526</v>
      </c>
      <c r="G3923">
        <v>6.2643687425291343</v>
      </c>
      <c r="H3923">
        <v>38.89372435299299</v>
      </c>
      <c r="I3923">
        <v>20.376273294174101</v>
      </c>
      <c r="J3923">
        <v>24.006544504131941</v>
      </c>
      <c r="K3923">
        <v>1088.51280051</v>
      </c>
      <c r="L3923">
        <v>0</v>
      </c>
      <c r="M3923" t="s">
        <v>69</v>
      </c>
    </row>
    <row r="3924" spans="1:13" x14ac:dyDescent="0.3">
      <c r="A3924" t="s">
        <v>19</v>
      </c>
      <c r="B3924" t="s">
        <v>48</v>
      </c>
      <c r="C3924">
        <v>29.888757788542321</v>
      </c>
      <c r="D3924">
        <v>0.98892001756477077</v>
      </c>
      <c r="E3924">
        <v>1.209161561387551</v>
      </c>
      <c r="F3924">
        <v>4.493150489181108</v>
      </c>
      <c r="G3924">
        <v>6.0259315700024976</v>
      </c>
      <c r="H3924">
        <v>16.42911998826278</v>
      </c>
      <c r="I3924">
        <v>30.51688596652923</v>
      </c>
      <c r="J3924">
        <v>26.079431105584149</v>
      </c>
      <c r="K3924">
        <v>1165.681589719351</v>
      </c>
      <c r="L3924">
        <v>0</v>
      </c>
      <c r="M3924" t="s">
        <v>69</v>
      </c>
    </row>
    <row r="3925" spans="1:13" x14ac:dyDescent="0.3">
      <c r="A3925" t="s">
        <v>20</v>
      </c>
      <c r="B3925" t="s">
        <v>49</v>
      </c>
      <c r="C3925">
        <v>26.71414064221317</v>
      </c>
      <c r="D3925">
        <v>0.99522786469911129</v>
      </c>
      <c r="E3925">
        <v>0.98785239705776728</v>
      </c>
      <c r="F3925">
        <v>3.9726201597661119</v>
      </c>
      <c r="G3925">
        <v>6.0215270814243134</v>
      </c>
      <c r="H3925">
        <v>16.050800251452809</v>
      </c>
      <c r="I3925">
        <v>29.989413864993161</v>
      </c>
      <c r="J3925">
        <v>23.91381747690135</v>
      </c>
      <c r="K3925">
        <v>1149.565599888067</v>
      </c>
      <c r="L3925">
        <v>0</v>
      </c>
      <c r="M3925" t="s">
        <v>69</v>
      </c>
    </row>
    <row r="3926" spans="1:13" x14ac:dyDescent="0.3">
      <c r="A3926" t="s">
        <v>19</v>
      </c>
      <c r="B3926" t="s">
        <v>48</v>
      </c>
      <c r="C3926">
        <v>59.688614521803537</v>
      </c>
      <c r="D3926">
        <v>3.104043879802155</v>
      </c>
      <c r="E3926">
        <v>3.746774803801117</v>
      </c>
      <c r="F3926">
        <v>11.656879767655999</v>
      </c>
      <c r="G3926">
        <v>6.1781738132181987</v>
      </c>
      <c r="H3926">
        <v>17.73866520365787</v>
      </c>
      <c r="I3926">
        <v>33.34483097425052</v>
      </c>
      <c r="J3926">
        <v>27.465082919518629</v>
      </c>
      <c r="K3926">
        <v>1161.194688996786</v>
      </c>
      <c r="L3926">
        <v>0</v>
      </c>
      <c r="M3926" t="s">
        <v>69</v>
      </c>
    </row>
    <row r="3927" spans="1:13" x14ac:dyDescent="0.3">
      <c r="A3927" t="s">
        <v>25</v>
      </c>
      <c r="B3927" t="s">
        <v>62</v>
      </c>
      <c r="C3927">
        <v>281.41387082995988</v>
      </c>
      <c r="D3927">
        <v>18.932448929138239</v>
      </c>
      <c r="E3927">
        <v>28.249386609646429</v>
      </c>
      <c r="F3927">
        <v>57.879708309027762</v>
      </c>
      <c r="G3927">
        <v>4.3605715273803503</v>
      </c>
      <c r="H3927">
        <v>74.455878387396439</v>
      </c>
      <c r="I3927">
        <v>30.109405115003131</v>
      </c>
      <c r="J3927">
        <v>23.91345259291889</v>
      </c>
      <c r="K3927">
        <v>714.95913447697842</v>
      </c>
      <c r="L3927">
        <v>0</v>
      </c>
      <c r="M3927" t="s">
        <v>69</v>
      </c>
    </row>
    <row r="3928" spans="1:13" x14ac:dyDescent="0.3">
      <c r="A3928" t="s">
        <v>25</v>
      </c>
      <c r="B3928" t="s">
        <v>62</v>
      </c>
      <c r="C3928">
        <v>25.006257280761631</v>
      </c>
      <c r="D3928">
        <v>1.0093362223874509</v>
      </c>
      <c r="E3928">
        <v>0.99857165760160438</v>
      </c>
      <c r="F3928">
        <v>2.9915302516688569</v>
      </c>
      <c r="G3928">
        <v>6.2974526196362177</v>
      </c>
      <c r="H3928">
        <v>66.317119541989769</v>
      </c>
      <c r="I3928">
        <v>20.497280561411891</v>
      </c>
      <c r="J3928">
        <v>24.01749816159813</v>
      </c>
      <c r="K3928">
        <v>1209.711718120383</v>
      </c>
      <c r="L3928">
        <v>0</v>
      </c>
      <c r="M3928" t="s">
        <v>69</v>
      </c>
    </row>
    <row r="3929" spans="1:13" x14ac:dyDescent="0.3">
      <c r="A3929" t="s">
        <v>25</v>
      </c>
      <c r="B3929" t="s">
        <v>62</v>
      </c>
      <c r="C3929">
        <v>249.7319888139501</v>
      </c>
      <c r="D3929">
        <v>17.496768392496431</v>
      </c>
      <c r="E3929">
        <v>23.64852778022081</v>
      </c>
      <c r="F3929">
        <v>65.265563726105796</v>
      </c>
      <c r="G3929">
        <v>4.4069267468054907</v>
      </c>
      <c r="H3929">
        <v>74.323504518567844</v>
      </c>
      <c r="I3929">
        <v>28.09591251831689</v>
      </c>
      <c r="J3929">
        <v>24.421178399834169</v>
      </c>
      <c r="K3929">
        <v>707.14288150272182</v>
      </c>
      <c r="L3929">
        <v>0</v>
      </c>
      <c r="M3929" t="s">
        <v>69</v>
      </c>
    </row>
    <row r="3930" spans="1:13" x14ac:dyDescent="0.3">
      <c r="A3930" t="s">
        <v>19</v>
      </c>
      <c r="B3930" t="s">
        <v>48</v>
      </c>
      <c r="C3930">
        <v>37.295544710387802</v>
      </c>
      <c r="D3930">
        <v>0.96473927695757311</v>
      </c>
      <c r="E3930">
        <v>2.0481233202242128</v>
      </c>
      <c r="F3930">
        <v>5.6152333054025618</v>
      </c>
      <c r="G3930">
        <v>6.3081180458447674</v>
      </c>
      <c r="H3930">
        <v>16.44996222918035</v>
      </c>
      <c r="I3930">
        <v>31.537437231669209</v>
      </c>
      <c r="J3930">
        <v>25.499818972291969</v>
      </c>
      <c r="K3930">
        <v>1173.083161679705</v>
      </c>
      <c r="L3930">
        <v>0</v>
      </c>
      <c r="M3930" t="s">
        <v>69</v>
      </c>
    </row>
    <row r="3931" spans="1:13" x14ac:dyDescent="0.3">
      <c r="A3931" t="s">
        <v>25</v>
      </c>
      <c r="B3931" t="s">
        <v>62</v>
      </c>
      <c r="C3931">
        <v>548.1370329334477</v>
      </c>
      <c r="D3931">
        <v>29.838896428769491</v>
      </c>
      <c r="E3931">
        <v>44.450504428471817</v>
      </c>
      <c r="F3931">
        <v>105.5103020645995</v>
      </c>
      <c r="G3931">
        <v>4.6224481387176759</v>
      </c>
      <c r="H3931">
        <v>88.4</v>
      </c>
      <c r="I3931">
        <v>27.675859879441699</v>
      </c>
      <c r="J3931">
        <v>23.738547881786189</v>
      </c>
      <c r="K3931">
        <v>702.01362253698835</v>
      </c>
      <c r="L3931">
        <v>0</v>
      </c>
      <c r="M3931" t="s">
        <v>69</v>
      </c>
    </row>
    <row r="3932" spans="1:13" x14ac:dyDescent="0.3">
      <c r="A3932" t="s">
        <v>19</v>
      </c>
      <c r="B3932" t="s">
        <v>44</v>
      </c>
      <c r="C3932">
        <v>17.760509284316729</v>
      </c>
      <c r="D3932">
        <v>0</v>
      </c>
      <c r="E3932">
        <v>1.10557084971429</v>
      </c>
      <c r="F3932">
        <v>3.3930066169567308</v>
      </c>
      <c r="G3932">
        <v>5.2911389912477027</v>
      </c>
      <c r="H3932">
        <v>14.55631440042948</v>
      </c>
      <c r="I3932">
        <v>31.451412863348601</v>
      </c>
      <c r="J3932">
        <v>24.138500222125138</v>
      </c>
      <c r="K3932">
        <v>1350.979161164073</v>
      </c>
      <c r="L3932">
        <v>0</v>
      </c>
      <c r="M3932" t="s">
        <v>69</v>
      </c>
    </row>
    <row r="3933" spans="1:13" x14ac:dyDescent="0.3">
      <c r="A3933" t="s">
        <v>20</v>
      </c>
      <c r="B3933" t="s">
        <v>49</v>
      </c>
      <c r="C3933">
        <v>38.009277695746583</v>
      </c>
      <c r="D3933">
        <v>1.111772340943002</v>
      </c>
      <c r="E3933">
        <v>2.2055939593972531</v>
      </c>
      <c r="F3933">
        <v>5.8385555927902342</v>
      </c>
      <c r="G3933">
        <v>6.348938843309476</v>
      </c>
      <c r="H3933">
        <v>15.998138790738221</v>
      </c>
      <c r="I3933">
        <v>31.17423614887829</v>
      </c>
      <c r="J3933">
        <v>25.783476909011071</v>
      </c>
      <c r="K3933">
        <v>1144.678256679789</v>
      </c>
      <c r="L3933">
        <v>0</v>
      </c>
      <c r="M3933" t="s">
        <v>69</v>
      </c>
    </row>
    <row r="3934" spans="1:13" x14ac:dyDescent="0.3">
      <c r="A3934" t="s">
        <v>25</v>
      </c>
      <c r="B3934" t="s">
        <v>62</v>
      </c>
      <c r="C3934">
        <v>30.353792366539921</v>
      </c>
      <c r="D3934">
        <v>0.88559129684021132</v>
      </c>
      <c r="E3934">
        <v>1.6376854942486401</v>
      </c>
      <c r="F3934">
        <v>4.3502151512955116</v>
      </c>
      <c r="G3934">
        <v>6.284357244662135</v>
      </c>
      <c r="H3934">
        <v>37.581983931272752</v>
      </c>
      <c r="I3934">
        <v>19.64614142786866</v>
      </c>
      <c r="J3934">
        <v>23.85134820364738</v>
      </c>
      <c r="K3934">
        <v>1063.1554241583381</v>
      </c>
      <c r="L3934">
        <v>0</v>
      </c>
      <c r="M3934" t="s">
        <v>69</v>
      </c>
    </row>
    <row r="3935" spans="1:13" x14ac:dyDescent="0.3">
      <c r="A3935" t="s">
        <v>24</v>
      </c>
      <c r="B3935" t="s">
        <v>58</v>
      </c>
      <c r="C3935">
        <v>12.937988562025129</v>
      </c>
      <c r="D3935">
        <v>0</v>
      </c>
      <c r="E3935">
        <v>0</v>
      </c>
      <c r="F3935">
        <v>2.332141126494125</v>
      </c>
      <c r="G3935">
        <v>6.5756222347593063</v>
      </c>
      <c r="H3935">
        <v>43.435652568905041</v>
      </c>
      <c r="I3935">
        <v>24.415706631453428</v>
      </c>
      <c r="J3935">
        <v>22.91557668167092</v>
      </c>
      <c r="K3935">
        <v>751.49510397843335</v>
      </c>
      <c r="L3935">
        <v>0</v>
      </c>
      <c r="M3935" t="s">
        <v>69</v>
      </c>
    </row>
    <row r="3936" spans="1:13" x14ac:dyDescent="0.3">
      <c r="A3936" t="s">
        <v>19</v>
      </c>
      <c r="B3936" t="s">
        <v>48</v>
      </c>
      <c r="C3936">
        <v>42.400020805434387</v>
      </c>
      <c r="D3936">
        <v>1.7439982652114741</v>
      </c>
      <c r="E3936">
        <v>3.359177619175381</v>
      </c>
      <c r="F3936">
        <v>5.8373928299846156</v>
      </c>
      <c r="G3936">
        <v>5.6090968830133274</v>
      </c>
      <c r="H3936">
        <v>18.950436799686781</v>
      </c>
      <c r="I3936">
        <v>32.675317276470032</v>
      </c>
      <c r="J3936">
        <v>26.586614483091509</v>
      </c>
      <c r="K3936">
        <v>1172.151561848973</v>
      </c>
      <c r="L3936">
        <v>0</v>
      </c>
      <c r="M3936" t="s">
        <v>69</v>
      </c>
    </row>
    <row r="3937" spans="1:13" x14ac:dyDescent="0.3">
      <c r="A3937" t="s">
        <v>19</v>
      </c>
      <c r="B3937" t="s">
        <v>45</v>
      </c>
      <c r="C3937">
        <v>20.22077853595977</v>
      </c>
      <c r="D3937">
        <v>1.047016546390013</v>
      </c>
      <c r="E3937">
        <v>1.015654959383081</v>
      </c>
      <c r="F3937">
        <v>2.740548186453216</v>
      </c>
      <c r="G3937">
        <v>6.2331327503598519</v>
      </c>
      <c r="H3937">
        <v>18.77546405032157</v>
      </c>
      <c r="I3937">
        <v>31.188960305326731</v>
      </c>
      <c r="J3937">
        <v>24.345467063884819</v>
      </c>
      <c r="K3937">
        <v>1310.2241111032331</v>
      </c>
      <c r="L3937">
        <v>0</v>
      </c>
      <c r="M3937" t="s">
        <v>69</v>
      </c>
    </row>
    <row r="3938" spans="1:13" x14ac:dyDescent="0.3">
      <c r="A3938" t="s">
        <v>25</v>
      </c>
      <c r="B3938" t="s">
        <v>62</v>
      </c>
      <c r="C3938">
        <v>268.97516603880422</v>
      </c>
      <c r="D3938">
        <v>19.427165709549389</v>
      </c>
      <c r="E3938">
        <v>26.814112734176149</v>
      </c>
      <c r="F3938">
        <v>58.684574593080633</v>
      </c>
      <c r="G3938">
        <v>4.4225878600867894</v>
      </c>
      <c r="H3938">
        <v>72.506733512053344</v>
      </c>
      <c r="I3938">
        <v>28.947065019332889</v>
      </c>
      <c r="J3938">
        <v>24.853751086821219</v>
      </c>
      <c r="K3938">
        <v>700.50440568302054</v>
      </c>
      <c r="L3938">
        <v>0</v>
      </c>
      <c r="M3938" t="s">
        <v>69</v>
      </c>
    </row>
    <row r="3939" spans="1:13" x14ac:dyDescent="0.3">
      <c r="A3939" t="s">
        <v>19</v>
      </c>
      <c r="B3939" t="s">
        <v>48</v>
      </c>
      <c r="C3939">
        <v>63.316327287931017</v>
      </c>
      <c r="D3939">
        <v>3.1886225704563809</v>
      </c>
      <c r="E3939">
        <v>4.3352854572054289</v>
      </c>
      <c r="F3939">
        <v>10.184032828633461</v>
      </c>
      <c r="G3939">
        <v>6.3312179725972344</v>
      </c>
      <c r="H3939">
        <v>18.748981591707309</v>
      </c>
      <c r="I3939">
        <v>30.70321656496472</v>
      </c>
      <c r="J3939">
        <v>26.01802022862212</v>
      </c>
      <c r="K3939">
        <v>1179.1234809410521</v>
      </c>
      <c r="L3939">
        <v>0</v>
      </c>
      <c r="M3939" t="s">
        <v>69</v>
      </c>
    </row>
    <row r="3940" spans="1:13" x14ac:dyDescent="0.3">
      <c r="A3940" t="s">
        <v>25</v>
      </c>
      <c r="B3940" t="s">
        <v>62</v>
      </c>
      <c r="C3940">
        <v>568.39223631000618</v>
      </c>
      <c r="D3940">
        <v>33.648180800915959</v>
      </c>
      <c r="E3940">
        <v>40.219655912417352</v>
      </c>
      <c r="F3940">
        <v>82.997732207620544</v>
      </c>
      <c r="G3940">
        <v>4.4703895145181738</v>
      </c>
      <c r="H3940">
        <v>88.4</v>
      </c>
      <c r="I3940">
        <v>26.52705784638858</v>
      </c>
      <c r="J3940">
        <v>23.909613575935609</v>
      </c>
      <c r="K3940">
        <v>727.2259045469126</v>
      </c>
      <c r="L3940">
        <v>0</v>
      </c>
      <c r="M3940" t="s">
        <v>69</v>
      </c>
    </row>
    <row r="3941" spans="1:13" x14ac:dyDescent="0.3">
      <c r="A3941" t="s">
        <v>24</v>
      </c>
      <c r="B3941" t="s">
        <v>58</v>
      </c>
      <c r="C3941">
        <v>35.622844433380138</v>
      </c>
      <c r="D3941">
        <v>1.073415823050258</v>
      </c>
      <c r="E3941">
        <v>1.9110078611978349</v>
      </c>
      <c r="F3941">
        <v>4.4630323842766986</v>
      </c>
      <c r="G3941">
        <v>6.9597205016135906</v>
      </c>
      <c r="H3941">
        <v>56.71767266108391</v>
      </c>
      <c r="I3941">
        <v>24.953048550501229</v>
      </c>
      <c r="J3941">
        <v>23.092210513842069</v>
      </c>
      <c r="K3941">
        <v>717.67597480470204</v>
      </c>
      <c r="L3941">
        <v>0</v>
      </c>
      <c r="M3941" t="s">
        <v>69</v>
      </c>
    </row>
    <row r="3942" spans="1:13" x14ac:dyDescent="0.3">
      <c r="A3942" t="s">
        <v>19</v>
      </c>
      <c r="B3942" t="s">
        <v>44</v>
      </c>
      <c r="C3942">
        <v>18.72979744121891</v>
      </c>
      <c r="D3942">
        <v>0</v>
      </c>
      <c r="E3942">
        <v>1.031807166142626</v>
      </c>
      <c r="F3942">
        <v>2.7806180570240731</v>
      </c>
      <c r="G3942">
        <v>5.2468860167360774</v>
      </c>
      <c r="H3942">
        <v>14.660675526177609</v>
      </c>
      <c r="I3942">
        <v>31.080324207330879</v>
      </c>
      <c r="J3942">
        <v>23.672920258926499</v>
      </c>
      <c r="K3942">
        <v>1326.7364015170219</v>
      </c>
      <c r="L3942">
        <v>0</v>
      </c>
      <c r="M3942" t="s">
        <v>69</v>
      </c>
    </row>
    <row r="3943" spans="1:13" x14ac:dyDescent="0.3">
      <c r="A3943" t="s">
        <v>19</v>
      </c>
      <c r="B3943" t="s">
        <v>45</v>
      </c>
      <c r="C3943">
        <v>18.503617143440849</v>
      </c>
      <c r="D3943">
        <v>0.90808498821763184</v>
      </c>
      <c r="E3943">
        <v>0.85849545328986299</v>
      </c>
      <c r="F3943">
        <v>2.8794859397223171</v>
      </c>
      <c r="G3943">
        <v>6.3051641482187017</v>
      </c>
      <c r="H3943">
        <v>17.841906345145549</v>
      </c>
      <c r="I3943">
        <v>31.467503807023121</v>
      </c>
      <c r="J3943">
        <v>24.584331757653459</v>
      </c>
      <c r="K3943">
        <v>1335.3417236464529</v>
      </c>
      <c r="L3943">
        <v>0</v>
      </c>
      <c r="M3943" t="s">
        <v>69</v>
      </c>
    </row>
    <row r="3944" spans="1:13" x14ac:dyDescent="0.3">
      <c r="A3944" t="s">
        <v>24</v>
      </c>
      <c r="B3944" t="s">
        <v>58</v>
      </c>
      <c r="C3944">
        <v>34.616623137523</v>
      </c>
      <c r="D3944">
        <v>0.89222112423898459</v>
      </c>
      <c r="E3944">
        <v>2.0223332551623541</v>
      </c>
      <c r="F3944">
        <v>4.7669619290721599</v>
      </c>
      <c r="G3944">
        <v>6.9305280361955264</v>
      </c>
      <c r="H3944">
        <v>58.446203824280332</v>
      </c>
      <c r="I3944">
        <v>24.697079429189969</v>
      </c>
      <c r="J3944">
        <v>23.609261333856129</v>
      </c>
      <c r="K3944">
        <v>733.79251539256347</v>
      </c>
      <c r="L3944">
        <v>0</v>
      </c>
      <c r="M3944" t="s">
        <v>69</v>
      </c>
    </row>
    <row r="3945" spans="1:13" x14ac:dyDescent="0.3">
      <c r="A3945" t="s">
        <v>19</v>
      </c>
      <c r="B3945" t="s">
        <v>45</v>
      </c>
      <c r="C3945">
        <v>19.362175946283131</v>
      </c>
      <c r="D3945">
        <v>0.99893486684593924</v>
      </c>
      <c r="E3945">
        <v>0.93373457234393964</v>
      </c>
      <c r="F3945">
        <v>2.6328012725178862</v>
      </c>
      <c r="G3945">
        <v>6.300247531726197</v>
      </c>
      <c r="H3945">
        <v>18.05591690686791</v>
      </c>
      <c r="I3945">
        <v>31.199697630718539</v>
      </c>
      <c r="J3945">
        <v>24.74084875093757</v>
      </c>
      <c r="K3945">
        <v>1317.981061089135</v>
      </c>
      <c r="L3945">
        <v>0</v>
      </c>
      <c r="M3945" t="s">
        <v>69</v>
      </c>
    </row>
    <row r="3946" spans="1:13" x14ac:dyDescent="0.3">
      <c r="A3946" t="s">
        <v>19</v>
      </c>
      <c r="B3946" t="s">
        <v>48</v>
      </c>
      <c r="C3946">
        <v>37.259505175144277</v>
      </c>
      <c r="D3946">
        <v>1.0942986754204469</v>
      </c>
      <c r="E3946">
        <v>1.7504662715389261</v>
      </c>
      <c r="F3946">
        <v>6.9790889946414101</v>
      </c>
      <c r="G3946">
        <v>6.1208068252479499</v>
      </c>
      <c r="H3946">
        <v>16.474083286301919</v>
      </c>
      <c r="I3946">
        <v>30.719267788384279</v>
      </c>
      <c r="J3946">
        <v>25.967980709132359</v>
      </c>
      <c r="K3946">
        <v>1178.321299157976</v>
      </c>
      <c r="L3946">
        <v>0</v>
      </c>
      <c r="M3946" t="s">
        <v>69</v>
      </c>
    </row>
    <row r="3947" spans="1:13" x14ac:dyDescent="0.3">
      <c r="A3947" t="s">
        <v>21</v>
      </c>
      <c r="B3947" t="s">
        <v>52</v>
      </c>
      <c r="C3947">
        <v>137.0742022365159</v>
      </c>
      <c r="D3947">
        <v>5.9165758665289694</v>
      </c>
      <c r="E3947">
        <v>10.250628267602361</v>
      </c>
      <c r="F3947">
        <v>21.581874268233449</v>
      </c>
      <c r="G3947">
        <v>5.6598754549777137</v>
      </c>
      <c r="H3947">
        <v>56.000031838842283</v>
      </c>
      <c r="I3947">
        <v>27.862650244670341</v>
      </c>
      <c r="J3947">
        <v>24.389962887688132</v>
      </c>
      <c r="K3947">
        <v>748.84046298746068</v>
      </c>
      <c r="L3947">
        <v>0</v>
      </c>
      <c r="M3947" t="s">
        <v>69</v>
      </c>
    </row>
    <row r="3948" spans="1:13" x14ac:dyDescent="0.3">
      <c r="A3948" t="s">
        <v>21</v>
      </c>
      <c r="B3948" t="s">
        <v>52</v>
      </c>
      <c r="C3948">
        <v>138.43588911088031</v>
      </c>
      <c r="D3948">
        <v>5.6797380390079351</v>
      </c>
      <c r="E3948">
        <v>9.390227506490314</v>
      </c>
      <c r="F3948">
        <v>21.604749208526901</v>
      </c>
      <c r="G3948">
        <v>5.5049454108944911</v>
      </c>
      <c r="H3948">
        <v>56.589297637777562</v>
      </c>
      <c r="I3948">
        <v>28.29826219496665</v>
      </c>
      <c r="J3948">
        <v>24.58981427857729</v>
      </c>
      <c r="K3948">
        <v>737.87437892444632</v>
      </c>
      <c r="L3948">
        <v>0</v>
      </c>
      <c r="M3948" t="s">
        <v>69</v>
      </c>
    </row>
    <row r="3949" spans="1:13" x14ac:dyDescent="0.3">
      <c r="A3949" t="s">
        <v>21</v>
      </c>
      <c r="B3949" t="s">
        <v>52</v>
      </c>
      <c r="C3949">
        <v>127.6000009594292</v>
      </c>
      <c r="D3949">
        <v>4.7825634265338763</v>
      </c>
      <c r="E3949">
        <v>9.1485168055340065</v>
      </c>
      <c r="F3949">
        <v>20.845222657772279</v>
      </c>
      <c r="G3949">
        <v>5.5142472661493898</v>
      </c>
      <c r="H3949">
        <v>58.303439314012451</v>
      </c>
      <c r="I3949">
        <v>29.433958534562329</v>
      </c>
      <c r="J3949">
        <v>25.621692227613579</v>
      </c>
      <c r="K3949">
        <v>739.28389459317737</v>
      </c>
      <c r="L3949">
        <v>0</v>
      </c>
      <c r="M3949" t="s">
        <v>69</v>
      </c>
    </row>
    <row r="3950" spans="1:13" x14ac:dyDescent="0.3">
      <c r="A3950" t="s">
        <v>24</v>
      </c>
      <c r="B3950" t="s">
        <v>59</v>
      </c>
      <c r="C3950">
        <v>58.720283851878669</v>
      </c>
      <c r="D3950">
        <v>1.9677764427408331</v>
      </c>
      <c r="E3950">
        <v>3.9998503513864341</v>
      </c>
      <c r="F3950">
        <v>9.4206407903554563</v>
      </c>
      <c r="G3950">
        <v>6.6734826694630804</v>
      </c>
      <c r="H3950">
        <v>58.430746296829028</v>
      </c>
      <c r="I3950">
        <v>26.804890039495309</v>
      </c>
      <c r="J3950">
        <v>23.291556562752842</v>
      </c>
      <c r="K3950">
        <v>732.78836801710474</v>
      </c>
      <c r="L3950">
        <v>0</v>
      </c>
      <c r="M3950" t="s">
        <v>69</v>
      </c>
    </row>
    <row r="3951" spans="1:13" x14ac:dyDescent="0.3">
      <c r="A3951" t="s">
        <v>21</v>
      </c>
      <c r="B3951" t="s">
        <v>52</v>
      </c>
      <c r="C3951">
        <v>130.98159254910911</v>
      </c>
      <c r="D3951">
        <v>6.3614140300807804</v>
      </c>
      <c r="E3951">
        <v>9.2331114758016799</v>
      </c>
      <c r="F3951">
        <v>21.712386774360169</v>
      </c>
      <c r="G3951">
        <v>5.6312515052385059</v>
      </c>
      <c r="H3951">
        <v>54.866823351740862</v>
      </c>
      <c r="I3951">
        <v>27.923166147251681</v>
      </c>
      <c r="J3951">
        <v>24.675099091317868</v>
      </c>
      <c r="K3951">
        <v>754.30366940374483</v>
      </c>
      <c r="L3951">
        <v>0</v>
      </c>
      <c r="M3951" t="s">
        <v>69</v>
      </c>
    </row>
    <row r="3952" spans="1:13" x14ac:dyDescent="0.3">
      <c r="A3952" t="s">
        <v>19</v>
      </c>
      <c r="B3952" t="s">
        <v>44</v>
      </c>
      <c r="C3952">
        <v>19.135931690225259</v>
      </c>
      <c r="D3952">
        <v>1.048637602977978</v>
      </c>
      <c r="E3952">
        <v>0.9445654596622246</v>
      </c>
      <c r="F3952">
        <v>3.0716706800709939</v>
      </c>
      <c r="G3952">
        <v>6.1262272118898293</v>
      </c>
      <c r="H3952">
        <v>15.831243807763469</v>
      </c>
      <c r="I3952">
        <v>25.403267203970731</v>
      </c>
      <c r="J3952">
        <v>23.758273610773252</v>
      </c>
      <c r="K3952">
        <v>1325.4103267104131</v>
      </c>
      <c r="L3952">
        <v>0</v>
      </c>
      <c r="M3952" t="s">
        <v>69</v>
      </c>
    </row>
    <row r="3953" spans="1:13" x14ac:dyDescent="0.3">
      <c r="A3953" t="s">
        <v>25</v>
      </c>
      <c r="B3953" t="s">
        <v>62</v>
      </c>
      <c r="C3953">
        <v>569.76745197080538</v>
      </c>
      <c r="D3953">
        <v>26.466136001559921</v>
      </c>
      <c r="E3953">
        <v>45.158423638984523</v>
      </c>
      <c r="F3953">
        <v>88.016962661879944</v>
      </c>
      <c r="G3953">
        <v>4.5007824782378991</v>
      </c>
      <c r="H3953">
        <v>86.269662696635748</v>
      </c>
      <c r="I3953">
        <v>27.348782484682221</v>
      </c>
      <c r="J3953">
        <v>24.310995610663401</v>
      </c>
      <c r="K3953">
        <v>716.93576571670826</v>
      </c>
      <c r="L3953">
        <v>0</v>
      </c>
      <c r="M3953" t="s">
        <v>69</v>
      </c>
    </row>
    <row r="3954" spans="1:13" x14ac:dyDescent="0.3">
      <c r="A3954" t="s">
        <v>24</v>
      </c>
      <c r="B3954" t="s">
        <v>58</v>
      </c>
      <c r="C3954">
        <v>29.86963230306571</v>
      </c>
      <c r="D3954">
        <v>1.036067325417908</v>
      </c>
      <c r="E3954">
        <v>2.4258070875969651</v>
      </c>
      <c r="F3954">
        <v>3.864196650214399</v>
      </c>
      <c r="G3954">
        <v>6.1730186005592076</v>
      </c>
      <c r="H3954">
        <v>37.814240322616619</v>
      </c>
      <c r="I3954">
        <v>23.186729955580262</v>
      </c>
      <c r="J3954">
        <v>23.243024282737519</v>
      </c>
      <c r="K3954">
        <v>733.57190838558563</v>
      </c>
      <c r="L3954">
        <v>0</v>
      </c>
      <c r="M3954" t="s">
        <v>69</v>
      </c>
    </row>
    <row r="3955" spans="1:13" x14ac:dyDescent="0.3">
      <c r="A3955" t="s">
        <v>24</v>
      </c>
      <c r="B3955" t="s">
        <v>57</v>
      </c>
      <c r="C3955">
        <v>53.584588944337177</v>
      </c>
      <c r="D3955">
        <v>2.0667906628341619</v>
      </c>
      <c r="E3955">
        <v>3.135134965675114</v>
      </c>
      <c r="F3955">
        <v>9.3055771973864196</v>
      </c>
      <c r="G3955">
        <v>5.5703370712078328</v>
      </c>
      <c r="H3955">
        <v>50.607195756733233</v>
      </c>
      <c r="I3955">
        <v>23.357681285795771</v>
      </c>
      <c r="J3955">
        <v>22.69859218879267</v>
      </c>
      <c r="K3955">
        <v>736.62847148516073</v>
      </c>
      <c r="L3955">
        <v>0</v>
      </c>
      <c r="M3955" t="s">
        <v>69</v>
      </c>
    </row>
    <row r="3956" spans="1:13" x14ac:dyDescent="0.3">
      <c r="A3956" t="s">
        <v>24</v>
      </c>
      <c r="B3956" t="s">
        <v>57</v>
      </c>
      <c r="C3956">
        <v>53.807223792666221</v>
      </c>
      <c r="D3956">
        <v>1.9100580192555749</v>
      </c>
      <c r="E3956">
        <v>2.9105335260942198</v>
      </c>
      <c r="F3956">
        <v>7.8468113476742563</v>
      </c>
      <c r="G3956">
        <v>5.5675768163304662</v>
      </c>
      <c r="H3956">
        <v>49.311521003281172</v>
      </c>
      <c r="I3956">
        <v>23.28562515396295</v>
      </c>
      <c r="J3956">
        <v>23.091198627076949</v>
      </c>
      <c r="K3956">
        <v>747.72198089591654</v>
      </c>
      <c r="L3956">
        <v>0</v>
      </c>
      <c r="M3956" t="s">
        <v>69</v>
      </c>
    </row>
    <row r="3957" spans="1:13" x14ac:dyDescent="0.3">
      <c r="A3957" t="s">
        <v>19</v>
      </c>
      <c r="B3957" t="s">
        <v>44</v>
      </c>
      <c r="C3957">
        <v>20.50869251494986</v>
      </c>
      <c r="D3957">
        <v>0</v>
      </c>
      <c r="E3957">
        <v>0.98969549211927266</v>
      </c>
      <c r="F3957">
        <v>3.0685983106305361</v>
      </c>
      <c r="G3957">
        <v>5.1142164521459224</v>
      </c>
      <c r="H3957">
        <v>15.727414221876201</v>
      </c>
      <c r="I3957">
        <v>31.47532126392953</v>
      </c>
      <c r="J3957">
        <v>24.20531781198709</v>
      </c>
      <c r="K3957">
        <v>1325.3208694502141</v>
      </c>
      <c r="L3957">
        <v>0</v>
      </c>
      <c r="M3957" t="s">
        <v>69</v>
      </c>
    </row>
    <row r="3958" spans="1:13" x14ac:dyDescent="0.3">
      <c r="A3958" t="s">
        <v>19</v>
      </c>
      <c r="B3958" t="s">
        <v>48</v>
      </c>
      <c r="C3958">
        <v>38.316128458597419</v>
      </c>
      <c r="D3958">
        <v>0.93876593665781405</v>
      </c>
      <c r="E3958">
        <v>2.0315761977765932</v>
      </c>
      <c r="F3958">
        <v>5.7920274003241614</v>
      </c>
      <c r="G3958">
        <v>6.3312717743962166</v>
      </c>
      <c r="H3958">
        <v>15.98447752418029</v>
      </c>
      <c r="I3958">
        <v>31.822868554220829</v>
      </c>
      <c r="J3958">
        <v>25.896264273653351</v>
      </c>
      <c r="K3958">
        <v>1179.9019183533389</v>
      </c>
      <c r="L3958">
        <v>0</v>
      </c>
      <c r="M3958" t="s">
        <v>69</v>
      </c>
    </row>
    <row r="3959" spans="1:13" x14ac:dyDescent="0.3">
      <c r="A3959" t="s">
        <v>20</v>
      </c>
      <c r="B3959" t="s">
        <v>49</v>
      </c>
      <c r="C3959">
        <v>37.5285990766913</v>
      </c>
      <c r="D3959">
        <v>1.968609961140164</v>
      </c>
      <c r="E3959">
        <v>1.8312101307976749</v>
      </c>
      <c r="F3959">
        <v>5.2557594520879292</v>
      </c>
      <c r="G3959">
        <v>6.2995236968931261</v>
      </c>
      <c r="H3959">
        <v>15.20505215398714</v>
      </c>
      <c r="I3959">
        <v>32.917838244438187</v>
      </c>
      <c r="J3959">
        <v>25.65244433053595</v>
      </c>
      <c r="K3959">
        <v>1127.629710934023</v>
      </c>
      <c r="L3959">
        <v>0</v>
      </c>
      <c r="M3959" t="s">
        <v>69</v>
      </c>
    </row>
    <row r="3960" spans="1:13" x14ac:dyDescent="0.3">
      <c r="A3960" t="s">
        <v>20</v>
      </c>
      <c r="B3960" t="s">
        <v>49</v>
      </c>
      <c r="C3960">
        <v>36.838898129612588</v>
      </c>
      <c r="D3960">
        <v>0.9622623887366033</v>
      </c>
      <c r="E3960">
        <v>1.7123890079276121</v>
      </c>
      <c r="F3960">
        <v>5.6796345629482232</v>
      </c>
      <c r="G3960">
        <v>6.0883210342547418</v>
      </c>
      <c r="H3960">
        <v>16.980365952769279</v>
      </c>
      <c r="I3960">
        <v>30.076326970517481</v>
      </c>
      <c r="J3960">
        <v>26.270536546630741</v>
      </c>
      <c r="K3960">
        <v>1155.291809856232</v>
      </c>
      <c r="L3960">
        <v>0</v>
      </c>
      <c r="M3960" t="s">
        <v>69</v>
      </c>
    </row>
    <row r="3961" spans="1:13" x14ac:dyDescent="0.3">
      <c r="A3961" t="s">
        <v>25</v>
      </c>
      <c r="B3961" t="s">
        <v>62</v>
      </c>
      <c r="C3961">
        <v>39.14726349655011</v>
      </c>
      <c r="D3961">
        <v>1.0328599368151969</v>
      </c>
      <c r="E3961">
        <v>1.88526289279521</v>
      </c>
      <c r="F3961">
        <v>6.6534620004252059</v>
      </c>
      <c r="G3961">
        <v>6.259162962898543</v>
      </c>
      <c r="H3961">
        <v>17.149534864836809</v>
      </c>
      <c r="I3961">
        <v>32.030737495377622</v>
      </c>
      <c r="J3961">
        <v>25.03664942839789</v>
      </c>
      <c r="K3961">
        <v>1199.970750061472</v>
      </c>
      <c r="L3961">
        <v>0</v>
      </c>
      <c r="M3961" t="s">
        <v>69</v>
      </c>
    </row>
    <row r="3962" spans="1:13" x14ac:dyDescent="0.3">
      <c r="A3962" t="s">
        <v>19</v>
      </c>
      <c r="B3962" t="s">
        <v>48</v>
      </c>
      <c r="C3962">
        <v>30.555149278729761</v>
      </c>
      <c r="D3962">
        <v>0.97790235063988273</v>
      </c>
      <c r="E3962">
        <v>2.0879783429164971</v>
      </c>
      <c r="F3962">
        <v>6.242796992085708</v>
      </c>
      <c r="G3962">
        <v>5.9991026474873896</v>
      </c>
      <c r="H3962">
        <v>23.032258273258481</v>
      </c>
      <c r="I3962">
        <v>32.518328660883341</v>
      </c>
      <c r="J3962">
        <v>25.860122952367959</v>
      </c>
      <c r="K3962">
        <v>1174.3840685349189</v>
      </c>
      <c r="L3962">
        <v>0</v>
      </c>
      <c r="M3962" t="s">
        <v>69</v>
      </c>
    </row>
    <row r="3963" spans="1:13" x14ac:dyDescent="0.3">
      <c r="A3963" t="s">
        <v>19</v>
      </c>
      <c r="B3963" t="s">
        <v>48</v>
      </c>
      <c r="C3963">
        <v>43.302068668165752</v>
      </c>
      <c r="D3963">
        <v>2.0157949809370481</v>
      </c>
      <c r="E3963">
        <v>2.9199628882081901</v>
      </c>
      <c r="F3963">
        <v>7.2291906539094928</v>
      </c>
      <c r="G3963">
        <v>6.1044908589182612</v>
      </c>
      <c r="H3963">
        <v>20.285730681455519</v>
      </c>
      <c r="I3963">
        <v>32.260442551293522</v>
      </c>
      <c r="J3963">
        <v>26.096581809022268</v>
      </c>
      <c r="K3963">
        <v>1164.246005008325</v>
      </c>
      <c r="L3963">
        <v>0</v>
      </c>
      <c r="M3963" t="s">
        <v>69</v>
      </c>
    </row>
    <row r="3964" spans="1:13" x14ac:dyDescent="0.3">
      <c r="A3964" t="s">
        <v>25</v>
      </c>
      <c r="B3964" t="s">
        <v>62</v>
      </c>
      <c r="C3964">
        <v>264.14712726134019</v>
      </c>
      <c r="D3964">
        <v>18.456994182782179</v>
      </c>
      <c r="E3964">
        <v>25.239999776189201</v>
      </c>
      <c r="F3964">
        <v>57.744278264401217</v>
      </c>
      <c r="G3964">
        <v>4.4348909214908074</v>
      </c>
      <c r="H3964">
        <v>72.100450463364496</v>
      </c>
      <c r="I3964">
        <v>29.156628106506659</v>
      </c>
      <c r="J3964">
        <v>24.817135162195271</v>
      </c>
      <c r="K3964">
        <v>695.9155795123296</v>
      </c>
      <c r="L3964">
        <v>0</v>
      </c>
      <c r="M3964" t="s">
        <v>69</v>
      </c>
    </row>
    <row r="3965" spans="1:13" x14ac:dyDescent="0.3">
      <c r="A3965" t="s">
        <v>25</v>
      </c>
      <c r="B3965" t="s">
        <v>62</v>
      </c>
      <c r="C3965">
        <v>258.64930154856938</v>
      </c>
      <c r="D3965">
        <v>18.946189475774279</v>
      </c>
      <c r="E3965">
        <v>25.724583713955749</v>
      </c>
      <c r="F3965">
        <v>61.532262960747893</v>
      </c>
      <c r="G3965">
        <v>4.3921594442899394</v>
      </c>
      <c r="H3965">
        <v>72.618554229572496</v>
      </c>
      <c r="I3965">
        <v>29.295623506901322</v>
      </c>
      <c r="J3965">
        <v>23.850357845489139</v>
      </c>
      <c r="K3965">
        <v>711.83534726742914</v>
      </c>
      <c r="L3965">
        <v>0</v>
      </c>
      <c r="M3965" t="s">
        <v>69</v>
      </c>
    </row>
    <row r="3966" spans="1:13" x14ac:dyDescent="0.3">
      <c r="A3966" t="s">
        <v>24</v>
      </c>
      <c r="B3966" t="s">
        <v>58</v>
      </c>
      <c r="C3966">
        <v>28.851997219711929</v>
      </c>
      <c r="D3966">
        <v>1.001162617391282</v>
      </c>
      <c r="E3966">
        <v>2.0464110229597461</v>
      </c>
      <c r="F3966">
        <v>4.0012486945295382</v>
      </c>
      <c r="G3966">
        <v>6.9038791827049293</v>
      </c>
      <c r="H3966">
        <v>33.252198816932243</v>
      </c>
      <c r="I3966">
        <v>24.96649245427626</v>
      </c>
      <c r="J3966">
        <v>22.980026915459359</v>
      </c>
      <c r="K3966">
        <v>733.37979758033862</v>
      </c>
      <c r="L3966">
        <v>0</v>
      </c>
      <c r="M3966" t="s">
        <v>69</v>
      </c>
    </row>
    <row r="3967" spans="1:13" x14ac:dyDescent="0.3">
      <c r="A3967" t="s">
        <v>24</v>
      </c>
      <c r="B3967" t="s">
        <v>59</v>
      </c>
      <c r="C3967">
        <v>61.714553081875081</v>
      </c>
      <c r="D3967">
        <v>1.8900384234533409</v>
      </c>
      <c r="E3967">
        <v>4.4947027581524104</v>
      </c>
      <c r="F3967">
        <v>10.269589480880191</v>
      </c>
      <c r="G3967">
        <v>6.8167883010668948</v>
      </c>
      <c r="H3967">
        <v>58.655436233610232</v>
      </c>
      <c r="I3967">
        <v>26.118999718057839</v>
      </c>
      <c r="J3967">
        <v>22.490160444180098</v>
      </c>
      <c r="K3967">
        <v>738.33149465948418</v>
      </c>
      <c r="L3967">
        <v>0</v>
      </c>
      <c r="M3967" t="s">
        <v>69</v>
      </c>
    </row>
    <row r="3968" spans="1:13" x14ac:dyDescent="0.3">
      <c r="A3968" t="s">
        <v>25</v>
      </c>
      <c r="B3968" t="s">
        <v>62</v>
      </c>
      <c r="C3968">
        <v>23.646012507937829</v>
      </c>
      <c r="D3968">
        <v>1.070248125787727</v>
      </c>
      <c r="E3968">
        <v>0.99226782567319649</v>
      </c>
      <c r="F3968">
        <v>2.941517304042701</v>
      </c>
      <c r="G3968">
        <v>6.3731939637692934</v>
      </c>
      <c r="H3968">
        <v>67.399680932162681</v>
      </c>
      <c r="I3968">
        <v>20.450783194450601</v>
      </c>
      <c r="J3968">
        <v>24.07753083394719</v>
      </c>
      <c r="K3968">
        <v>1200.316350887108</v>
      </c>
      <c r="L3968">
        <v>0</v>
      </c>
      <c r="M3968" t="s">
        <v>69</v>
      </c>
    </row>
    <row r="3969" spans="1:13" x14ac:dyDescent="0.3">
      <c r="A3969" t="s">
        <v>25</v>
      </c>
      <c r="B3969" t="s">
        <v>62</v>
      </c>
      <c r="C3969">
        <v>579.36799803804161</v>
      </c>
      <c r="D3969">
        <v>31.55243973779362</v>
      </c>
      <c r="E3969">
        <v>31.474321861746098</v>
      </c>
      <c r="F3969">
        <v>90.889574017707901</v>
      </c>
      <c r="G3969">
        <v>4.4301745622582116</v>
      </c>
      <c r="H3969">
        <v>88.4</v>
      </c>
      <c r="I3969">
        <v>26.938871024153141</v>
      </c>
      <c r="J3969">
        <v>24.279406949930991</v>
      </c>
      <c r="K3969">
        <v>715.15252873206077</v>
      </c>
      <c r="L3969">
        <v>0</v>
      </c>
      <c r="M3969" t="s">
        <v>69</v>
      </c>
    </row>
    <row r="3970" spans="1:13" x14ac:dyDescent="0.3">
      <c r="A3970" t="s">
        <v>25</v>
      </c>
      <c r="B3970" t="s">
        <v>62</v>
      </c>
      <c r="C3970">
        <v>258.71684023292022</v>
      </c>
      <c r="D3970">
        <v>18.36984082733921</v>
      </c>
      <c r="E3970">
        <v>25.042852518340499</v>
      </c>
      <c r="F3970">
        <v>58.916822271780418</v>
      </c>
      <c r="G3970">
        <v>4.4230987846983343</v>
      </c>
      <c r="H3970">
        <v>72.143235924438386</v>
      </c>
      <c r="I3970">
        <v>29.295500084848989</v>
      </c>
      <c r="J3970">
        <v>24.428084549675599</v>
      </c>
      <c r="K3970">
        <v>701.26748745602413</v>
      </c>
      <c r="L3970">
        <v>0</v>
      </c>
      <c r="M3970" t="s">
        <v>69</v>
      </c>
    </row>
    <row r="3971" spans="1:13" x14ac:dyDescent="0.3">
      <c r="A3971" t="s">
        <v>24</v>
      </c>
      <c r="B3971" t="s">
        <v>59</v>
      </c>
      <c r="C3971">
        <v>57.380237366056548</v>
      </c>
      <c r="D3971">
        <v>1.9355914567603749</v>
      </c>
      <c r="E3971">
        <v>3.692208077244334</v>
      </c>
      <c r="F3971">
        <v>10.191235407545131</v>
      </c>
      <c r="G3971">
        <v>6.6889336143903151</v>
      </c>
      <c r="H3971">
        <v>56.071374603315022</v>
      </c>
      <c r="I3971">
        <v>27.992699827342239</v>
      </c>
      <c r="J3971">
        <v>23.105218977073221</v>
      </c>
      <c r="K3971">
        <v>750.21935033301042</v>
      </c>
      <c r="L3971">
        <v>0</v>
      </c>
      <c r="M3971" t="s">
        <v>69</v>
      </c>
    </row>
    <row r="3972" spans="1:13" x14ac:dyDescent="0.3">
      <c r="A3972" t="s">
        <v>19</v>
      </c>
      <c r="B3972" t="s">
        <v>48</v>
      </c>
      <c r="C3972">
        <v>60.264741803585501</v>
      </c>
      <c r="D3972">
        <v>3.0924586779469481</v>
      </c>
      <c r="E3972">
        <v>4.1021346405319754</v>
      </c>
      <c r="F3972">
        <v>8.6017201953051412</v>
      </c>
      <c r="G3972">
        <v>6.1817028317137162</v>
      </c>
      <c r="H3972">
        <v>18.34754534990536</v>
      </c>
      <c r="I3972">
        <v>32.702863249130687</v>
      </c>
      <c r="J3972">
        <v>27.224463242296181</v>
      </c>
      <c r="K3972">
        <v>1171.2423463424441</v>
      </c>
      <c r="L3972">
        <v>0</v>
      </c>
      <c r="M3972" t="s">
        <v>69</v>
      </c>
    </row>
    <row r="3973" spans="1:13" x14ac:dyDescent="0.3">
      <c r="A3973" t="s">
        <v>19</v>
      </c>
      <c r="B3973" t="s">
        <v>44</v>
      </c>
      <c r="C3973">
        <v>20.573527327304902</v>
      </c>
      <c r="D3973">
        <v>0.96998301185761848</v>
      </c>
      <c r="E3973">
        <v>1.0478287274889651</v>
      </c>
      <c r="F3973">
        <v>2.889266077969225</v>
      </c>
      <c r="G3973">
        <v>6.2031166588956754</v>
      </c>
      <c r="H3973">
        <v>15.46705255604477</v>
      </c>
      <c r="I3973">
        <v>25.780675962354</v>
      </c>
      <c r="J3973">
        <v>23.854969919293548</v>
      </c>
      <c r="K3973">
        <v>1325.8544436619341</v>
      </c>
      <c r="L3973">
        <v>0</v>
      </c>
      <c r="M3973" t="s">
        <v>69</v>
      </c>
    </row>
    <row r="3974" spans="1:13" x14ac:dyDescent="0.3">
      <c r="A3974" t="s">
        <v>24</v>
      </c>
      <c r="B3974" t="s">
        <v>58</v>
      </c>
      <c r="C3974">
        <v>29.59223731270863</v>
      </c>
      <c r="D3974">
        <v>0.97108780401470796</v>
      </c>
      <c r="E3974">
        <v>2.0861280264092592</v>
      </c>
      <c r="F3974">
        <v>3.7349931586476881</v>
      </c>
      <c r="G3974">
        <v>6.9646161397688298</v>
      </c>
      <c r="H3974">
        <v>33.491272050045389</v>
      </c>
      <c r="I3974">
        <v>25.786221961198169</v>
      </c>
      <c r="J3974">
        <v>23.154501615095711</v>
      </c>
      <c r="K3974">
        <v>740.3847772342815</v>
      </c>
      <c r="L3974">
        <v>0</v>
      </c>
      <c r="M3974" t="s">
        <v>69</v>
      </c>
    </row>
    <row r="3975" spans="1:13" x14ac:dyDescent="0.3">
      <c r="A3975" t="s">
        <v>20</v>
      </c>
      <c r="B3975" t="s">
        <v>49</v>
      </c>
      <c r="C3975">
        <v>44.643250007727708</v>
      </c>
      <c r="D3975">
        <v>1.7550624117948059</v>
      </c>
      <c r="E3975">
        <v>3.219976069982962</v>
      </c>
      <c r="F3975">
        <v>6.4361124508059557</v>
      </c>
      <c r="G3975">
        <v>6.1018610762307093</v>
      </c>
      <c r="H3975">
        <v>20.430235667089811</v>
      </c>
      <c r="I3975">
        <v>32.293035555737553</v>
      </c>
      <c r="J3975">
        <v>26.70024040838392</v>
      </c>
      <c r="K3975">
        <v>1152.9424292534561</v>
      </c>
      <c r="L3975">
        <v>0</v>
      </c>
      <c r="M3975" t="s">
        <v>69</v>
      </c>
    </row>
    <row r="3976" spans="1:13" x14ac:dyDescent="0.3">
      <c r="A3976" t="s">
        <v>19</v>
      </c>
      <c r="B3976" t="s">
        <v>48</v>
      </c>
      <c r="C3976">
        <v>65.750389431709991</v>
      </c>
      <c r="D3976">
        <v>2.782362701557175</v>
      </c>
      <c r="E3976">
        <v>3.869503162846732</v>
      </c>
      <c r="F3976">
        <v>9.0655371881354796</v>
      </c>
      <c r="G3976">
        <v>6.3644753135899492</v>
      </c>
      <c r="H3976">
        <v>19.278934249824271</v>
      </c>
      <c r="I3976">
        <v>33.098096106792262</v>
      </c>
      <c r="J3976">
        <v>26.190894649107801</v>
      </c>
      <c r="K3976">
        <v>1182.8162128666229</v>
      </c>
      <c r="L3976">
        <v>0</v>
      </c>
      <c r="M3976" t="s">
        <v>69</v>
      </c>
    </row>
    <row r="3977" spans="1:13" x14ac:dyDescent="0.3">
      <c r="A3977" t="s">
        <v>24</v>
      </c>
      <c r="B3977" t="s">
        <v>58</v>
      </c>
      <c r="C3977">
        <v>27.996710932087339</v>
      </c>
      <c r="D3977">
        <v>1.0015286386944999</v>
      </c>
      <c r="E3977">
        <v>1.991883992690006</v>
      </c>
      <c r="F3977">
        <v>4.0011551014331648</v>
      </c>
      <c r="G3977">
        <v>6.1988586233876273</v>
      </c>
      <c r="H3977">
        <v>38.999439574825352</v>
      </c>
      <c r="I3977">
        <v>23.61522886709189</v>
      </c>
      <c r="J3977">
        <v>23.012746108200378</v>
      </c>
      <c r="K3977">
        <v>738.01278076255414</v>
      </c>
      <c r="L3977">
        <v>0</v>
      </c>
      <c r="M3977" t="s">
        <v>69</v>
      </c>
    </row>
    <row r="3978" spans="1:13" x14ac:dyDescent="0.3">
      <c r="A3978" t="s">
        <v>19</v>
      </c>
      <c r="B3978" t="s">
        <v>48</v>
      </c>
      <c r="C3978">
        <v>38.554918658625724</v>
      </c>
      <c r="D3978">
        <v>1.0235466323476949</v>
      </c>
      <c r="E3978">
        <v>2.0220231411469469</v>
      </c>
      <c r="F3978">
        <v>5.765764503250896</v>
      </c>
      <c r="G3978">
        <v>6.1644245130084521</v>
      </c>
      <c r="H3978">
        <v>16.769827475052232</v>
      </c>
      <c r="I3978">
        <v>32.115131419815697</v>
      </c>
      <c r="J3978">
        <v>26.866171728091889</v>
      </c>
      <c r="K3978">
        <v>1184.852784232992</v>
      </c>
      <c r="L3978">
        <v>0</v>
      </c>
      <c r="M3978" t="s">
        <v>69</v>
      </c>
    </row>
    <row r="3979" spans="1:13" x14ac:dyDescent="0.3">
      <c r="A3979" t="s">
        <v>19</v>
      </c>
      <c r="B3979" t="s">
        <v>48</v>
      </c>
      <c r="C3979">
        <v>38.597593395870383</v>
      </c>
      <c r="D3979">
        <v>1.0770051933455089</v>
      </c>
      <c r="E3979">
        <v>2.0395634391164918</v>
      </c>
      <c r="F3979">
        <v>5.7531072233104554</v>
      </c>
      <c r="G3979">
        <v>6.1647673651846464</v>
      </c>
      <c r="H3979">
        <v>16.874523152120538</v>
      </c>
      <c r="I3979">
        <v>32.214457576773768</v>
      </c>
      <c r="J3979">
        <v>26.810088034479431</v>
      </c>
      <c r="K3979">
        <v>1185.206287341136</v>
      </c>
      <c r="L3979">
        <v>0</v>
      </c>
      <c r="M3979" t="s">
        <v>69</v>
      </c>
    </row>
    <row r="3980" spans="1:13" x14ac:dyDescent="0.3">
      <c r="A3980" t="s">
        <v>20</v>
      </c>
      <c r="B3980" t="s">
        <v>49</v>
      </c>
      <c r="C3980">
        <v>35.315120460858488</v>
      </c>
      <c r="D3980">
        <v>1.163117808816662</v>
      </c>
      <c r="E3980">
        <v>1.9583278507495629</v>
      </c>
      <c r="F3980">
        <v>5.7039946518984923</v>
      </c>
      <c r="G3980">
        <v>6.2475878319586533</v>
      </c>
      <c r="H3980">
        <v>15.64559144887907</v>
      </c>
      <c r="I3980">
        <v>32.763079999430452</v>
      </c>
      <c r="J3980">
        <v>25.273572561748018</v>
      </c>
      <c r="K3980">
        <v>1121.1267393502351</v>
      </c>
      <c r="L3980">
        <v>0</v>
      </c>
      <c r="M3980" t="s">
        <v>69</v>
      </c>
    </row>
    <row r="3981" spans="1:13" x14ac:dyDescent="0.3">
      <c r="A3981" t="s">
        <v>25</v>
      </c>
      <c r="B3981" t="s">
        <v>62</v>
      </c>
      <c r="C3981">
        <v>30.163422378243641</v>
      </c>
      <c r="D3981">
        <v>1.050142592788839</v>
      </c>
      <c r="E3981">
        <v>2.109948253163449</v>
      </c>
      <c r="F3981">
        <v>4.4810949812216556</v>
      </c>
      <c r="G3981">
        <v>6.1307066358576474</v>
      </c>
      <c r="H3981">
        <v>23.838620876565042</v>
      </c>
      <c r="I3981">
        <v>23.40691265636929</v>
      </c>
      <c r="J3981">
        <v>24.921284581903311</v>
      </c>
      <c r="K3981">
        <v>1208.3760974196321</v>
      </c>
      <c r="L3981">
        <v>0</v>
      </c>
      <c r="M3981" t="s">
        <v>69</v>
      </c>
    </row>
    <row r="3982" spans="1:13" x14ac:dyDescent="0.3">
      <c r="A3982" t="s">
        <v>21</v>
      </c>
      <c r="B3982" t="s">
        <v>52</v>
      </c>
      <c r="C3982">
        <v>124.3255922416582</v>
      </c>
      <c r="D3982">
        <v>4.8271519927549278</v>
      </c>
      <c r="E3982">
        <v>8.9108281907531044</v>
      </c>
      <c r="F3982">
        <v>19.781658038613379</v>
      </c>
      <c r="G3982">
        <v>5.5531668381293899</v>
      </c>
      <c r="H3982">
        <v>57.851186080140607</v>
      </c>
      <c r="I3982">
        <v>28.183884789015089</v>
      </c>
      <c r="J3982">
        <v>25.549871303639691</v>
      </c>
      <c r="K3982">
        <v>745.54751875540592</v>
      </c>
      <c r="L3982">
        <v>0</v>
      </c>
      <c r="M3982" t="s">
        <v>69</v>
      </c>
    </row>
    <row r="3983" spans="1:13" x14ac:dyDescent="0.3">
      <c r="A3983" t="s">
        <v>25</v>
      </c>
      <c r="B3983" t="s">
        <v>62</v>
      </c>
      <c r="C3983">
        <v>25.690363685399621</v>
      </c>
      <c r="D3983">
        <v>1.1538859614990631</v>
      </c>
      <c r="E3983">
        <v>1.051677008249988</v>
      </c>
      <c r="F3983">
        <v>3.175224809369197</v>
      </c>
      <c r="G3983">
        <v>6.2974691584347191</v>
      </c>
      <c r="H3983">
        <v>68.834351090236794</v>
      </c>
      <c r="I3983">
        <v>20.380355006901301</v>
      </c>
      <c r="J3983">
        <v>23.095782382991668</v>
      </c>
      <c r="K3983">
        <v>1240.7319748423149</v>
      </c>
      <c r="L3983">
        <v>0</v>
      </c>
      <c r="M3983" t="s">
        <v>69</v>
      </c>
    </row>
    <row r="3984" spans="1:13" x14ac:dyDescent="0.3">
      <c r="A3984" t="s">
        <v>19</v>
      </c>
      <c r="B3984" t="s">
        <v>48</v>
      </c>
      <c r="C3984">
        <v>38.838959543764418</v>
      </c>
      <c r="D3984">
        <v>1.239537371139666</v>
      </c>
      <c r="E3984">
        <v>2.025478767004858</v>
      </c>
      <c r="F3984">
        <v>5.8243632959287686</v>
      </c>
      <c r="G3984">
        <v>6.1729756191374596</v>
      </c>
      <c r="H3984">
        <v>16.982186558835611</v>
      </c>
      <c r="I3984">
        <v>32.293226045577477</v>
      </c>
      <c r="J3984">
        <v>26.656478961859921</v>
      </c>
      <c r="K3984">
        <v>1180.0796036434199</v>
      </c>
      <c r="L3984">
        <v>0</v>
      </c>
      <c r="M3984" t="s">
        <v>69</v>
      </c>
    </row>
    <row r="3985" spans="1:13" x14ac:dyDescent="0.3">
      <c r="A3985" t="s">
        <v>24</v>
      </c>
      <c r="B3985" t="s">
        <v>58</v>
      </c>
      <c r="C3985">
        <v>12.948295395658359</v>
      </c>
      <c r="D3985">
        <v>0</v>
      </c>
      <c r="E3985">
        <v>0</v>
      </c>
      <c r="F3985">
        <v>2.0901261117526091</v>
      </c>
      <c r="G3985">
        <v>6.5361835552706093</v>
      </c>
      <c r="H3985">
        <v>44.076060061550152</v>
      </c>
      <c r="I3985">
        <v>24.129090061999609</v>
      </c>
      <c r="J3985">
        <v>22.726627831005089</v>
      </c>
      <c r="K3985">
        <v>760.19818395436369</v>
      </c>
      <c r="L3985">
        <v>0</v>
      </c>
      <c r="M3985" t="s">
        <v>69</v>
      </c>
    </row>
    <row r="3986" spans="1:13" x14ac:dyDescent="0.3">
      <c r="A3986" t="s">
        <v>19</v>
      </c>
      <c r="B3986" t="s">
        <v>45</v>
      </c>
      <c r="C3986">
        <v>19.680286250539879</v>
      </c>
      <c r="D3986">
        <v>0.93342389694951455</v>
      </c>
      <c r="E3986">
        <v>1.0342097665180829</v>
      </c>
      <c r="F3986">
        <v>3.2601546202277838</v>
      </c>
      <c r="G3986">
        <v>6.3621838571521749</v>
      </c>
      <c r="H3986">
        <v>19.133381965325999</v>
      </c>
      <c r="I3986">
        <v>31.198534014701949</v>
      </c>
      <c r="J3986">
        <v>24.083853660572832</v>
      </c>
      <c r="K3986">
        <v>1341.338069158415</v>
      </c>
      <c r="L3986">
        <v>0</v>
      </c>
      <c r="M3986" t="s">
        <v>69</v>
      </c>
    </row>
    <row r="3987" spans="1:13" x14ac:dyDescent="0.3">
      <c r="A3987" t="s">
        <v>19</v>
      </c>
      <c r="B3987" t="s">
        <v>48</v>
      </c>
      <c r="C3987">
        <v>44.887893970362633</v>
      </c>
      <c r="D3987">
        <v>2.0723852394965721</v>
      </c>
      <c r="E3987">
        <v>2.7367105385928259</v>
      </c>
      <c r="F3987">
        <v>6.0453319078876451</v>
      </c>
      <c r="G3987">
        <v>5.4698079080264206</v>
      </c>
      <c r="H3987">
        <v>19.56356700812211</v>
      </c>
      <c r="I3987">
        <v>32.348178735181349</v>
      </c>
      <c r="J3987">
        <v>25.532860736245159</v>
      </c>
      <c r="K3987">
        <v>1163.690103752687</v>
      </c>
      <c r="L3987">
        <v>0</v>
      </c>
      <c r="M3987" t="s">
        <v>69</v>
      </c>
    </row>
    <row r="3988" spans="1:13" x14ac:dyDescent="0.3">
      <c r="A3988" t="s">
        <v>19</v>
      </c>
      <c r="B3988" t="s">
        <v>45</v>
      </c>
      <c r="C3988">
        <v>20.292557730351621</v>
      </c>
      <c r="D3988">
        <v>0.86430045782064946</v>
      </c>
      <c r="E3988">
        <v>0.99613898541547652</v>
      </c>
      <c r="F3988">
        <v>3.3343270820993891</v>
      </c>
      <c r="G3988">
        <v>6.1832238806908411</v>
      </c>
      <c r="H3988">
        <v>19.306299975406429</v>
      </c>
      <c r="I3988">
        <v>31.430106449795691</v>
      </c>
      <c r="J3988">
        <v>24.09040712337611</v>
      </c>
      <c r="K3988">
        <v>1345.6650941813309</v>
      </c>
      <c r="L3988">
        <v>0</v>
      </c>
      <c r="M3988" t="s">
        <v>69</v>
      </c>
    </row>
    <row r="3989" spans="1:13" x14ac:dyDescent="0.3">
      <c r="A3989" t="s">
        <v>25</v>
      </c>
      <c r="B3989" t="s">
        <v>62</v>
      </c>
      <c r="C3989">
        <v>577.87472156926412</v>
      </c>
      <c r="D3989">
        <v>25.45236665956341</v>
      </c>
      <c r="E3989">
        <v>41.090287769674163</v>
      </c>
      <c r="F3989">
        <v>80.973963951337225</v>
      </c>
      <c r="G3989">
        <v>4.4523139970818191</v>
      </c>
      <c r="H3989">
        <v>84.850799995635953</v>
      </c>
      <c r="I3989">
        <v>26.408304821631571</v>
      </c>
      <c r="J3989">
        <v>24.616334854869429</v>
      </c>
      <c r="K3989">
        <v>717.03077947082079</v>
      </c>
      <c r="L3989">
        <v>0</v>
      </c>
      <c r="M3989" t="s">
        <v>69</v>
      </c>
    </row>
    <row r="3990" spans="1:13" x14ac:dyDescent="0.3">
      <c r="A3990" t="s">
        <v>19</v>
      </c>
      <c r="B3990" t="s">
        <v>44</v>
      </c>
      <c r="C3990">
        <v>22.812688516957021</v>
      </c>
      <c r="D3990">
        <v>0.96432982012557789</v>
      </c>
      <c r="E3990">
        <v>0.97692099577848435</v>
      </c>
      <c r="F3990">
        <v>3.126560294944754</v>
      </c>
      <c r="G3990">
        <v>6.344555953847073</v>
      </c>
      <c r="H3990">
        <v>18.788017969281629</v>
      </c>
      <c r="I3990">
        <v>27.446004373740241</v>
      </c>
      <c r="J3990">
        <v>23.573763646511171</v>
      </c>
      <c r="K3990">
        <v>1295.1254202966811</v>
      </c>
      <c r="L3990">
        <v>0</v>
      </c>
      <c r="M3990" t="s">
        <v>69</v>
      </c>
    </row>
    <row r="3991" spans="1:13" x14ac:dyDescent="0.3">
      <c r="A3991" t="s">
        <v>25</v>
      </c>
      <c r="B3991" t="s">
        <v>62</v>
      </c>
      <c r="C3991">
        <v>265.05398304291498</v>
      </c>
      <c r="D3991">
        <v>20.433929386243531</v>
      </c>
      <c r="E3991">
        <v>29.74832351595678</v>
      </c>
      <c r="F3991">
        <v>61.238336733122992</v>
      </c>
      <c r="G3991">
        <v>4.3700675166003364</v>
      </c>
      <c r="H3991">
        <v>73.623733205773561</v>
      </c>
      <c r="I3991">
        <v>28.723918546275389</v>
      </c>
      <c r="J3991">
        <v>24.44638655705559</v>
      </c>
      <c r="K3991">
        <v>710.4443374897603</v>
      </c>
      <c r="L3991">
        <v>0</v>
      </c>
      <c r="M3991" t="s">
        <v>69</v>
      </c>
    </row>
    <row r="3992" spans="1:13" x14ac:dyDescent="0.3">
      <c r="A3992" t="s">
        <v>21</v>
      </c>
      <c r="B3992" t="s">
        <v>52</v>
      </c>
      <c r="C3992">
        <v>131.2052252835262</v>
      </c>
      <c r="D3992">
        <v>6.1412695779479201</v>
      </c>
      <c r="E3992">
        <v>9.6892256030778352</v>
      </c>
      <c r="F3992">
        <v>21.09368439971416</v>
      </c>
      <c r="G3992">
        <v>5.466138583026761</v>
      </c>
      <c r="H3992">
        <v>58.073551025719709</v>
      </c>
      <c r="I3992">
        <v>28.310580773165139</v>
      </c>
      <c r="J3992">
        <v>24.289983535678299</v>
      </c>
      <c r="K3992">
        <v>744.22526708535474</v>
      </c>
      <c r="L3992">
        <v>0</v>
      </c>
      <c r="M3992" t="s">
        <v>69</v>
      </c>
    </row>
    <row r="3993" spans="1:13" x14ac:dyDescent="0.3">
      <c r="A3993" t="s">
        <v>24</v>
      </c>
      <c r="B3993" t="s">
        <v>57</v>
      </c>
      <c r="C3993">
        <v>7.5801940512237707</v>
      </c>
      <c r="D3993">
        <v>0</v>
      </c>
      <c r="E3993">
        <v>0</v>
      </c>
      <c r="F3993">
        <v>1.021600635769421</v>
      </c>
      <c r="G3993">
        <v>6.0530677451038946</v>
      </c>
      <c r="H3993">
        <v>41.265227708641717</v>
      </c>
      <c r="I3993">
        <v>23.276619887287129</v>
      </c>
      <c r="J3993">
        <v>23.97695853116188</v>
      </c>
      <c r="K3993">
        <v>738.76843488529971</v>
      </c>
      <c r="L3993">
        <v>0</v>
      </c>
      <c r="M3993" t="s">
        <v>69</v>
      </c>
    </row>
    <row r="3994" spans="1:13" x14ac:dyDescent="0.3">
      <c r="A3994" t="s">
        <v>19</v>
      </c>
      <c r="B3994" t="s">
        <v>44</v>
      </c>
      <c r="C3994">
        <v>19.777284798758419</v>
      </c>
      <c r="D3994">
        <v>1.0053625821863761</v>
      </c>
      <c r="E3994">
        <v>1.0363270602912851</v>
      </c>
      <c r="F3994">
        <v>2.707881918576684</v>
      </c>
      <c r="G3994">
        <v>6.2121635168089133</v>
      </c>
      <c r="H3994">
        <v>15.182871714838059</v>
      </c>
      <c r="I3994">
        <v>24.98678354161704</v>
      </c>
      <c r="J3994">
        <v>23.833425203219051</v>
      </c>
      <c r="K3994">
        <v>1316.9788709701911</v>
      </c>
      <c r="L3994">
        <v>0</v>
      </c>
      <c r="M3994" t="s">
        <v>69</v>
      </c>
    </row>
    <row r="3995" spans="1:13" x14ac:dyDescent="0.3">
      <c r="A3995" t="s">
        <v>24</v>
      </c>
      <c r="B3995" t="s">
        <v>58</v>
      </c>
      <c r="C3995">
        <v>13.69442139517751</v>
      </c>
      <c r="D3995">
        <v>0</v>
      </c>
      <c r="E3995">
        <v>0</v>
      </c>
      <c r="F3995">
        <v>1.9059597495379259</v>
      </c>
      <c r="G3995">
        <v>6.5687137628426013</v>
      </c>
      <c r="H3995">
        <v>43.602913749785053</v>
      </c>
      <c r="I3995">
        <v>25.908024724307619</v>
      </c>
      <c r="J3995">
        <v>23.079562054673669</v>
      </c>
      <c r="K3995">
        <v>738.28575416401986</v>
      </c>
      <c r="L3995">
        <v>0</v>
      </c>
      <c r="M3995" t="s">
        <v>69</v>
      </c>
    </row>
    <row r="3996" spans="1:13" x14ac:dyDescent="0.3">
      <c r="A3996" t="s">
        <v>20</v>
      </c>
      <c r="B3996" t="s">
        <v>49</v>
      </c>
      <c r="C3996">
        <v>46.005659328206931</v>
      </c>
      <c r="D3996">
        <v>2.21506159730543</v>
      </c>
      <c r="E3996">
        <v>2.3281437358829442</v>
      </c>
      <c r="F3996">
        <v>7.3627084230223634</v>
      </c>
      <c r="G3996">
        <v>6.189866137203035</v>
      </c>
      <c r="H3996">
        <v>17.3451921165898</v>
      </c>
      <c r="I3996">
        <v>32.888093612284997</v>
      </c>
      <c r="J3996">
        <v>26.760576923224068</v>
      </c>
      <c r="K3996">
        <v>1148.4673186945879</v>
      </c>
      <c r="L3996">
        <v>0</v>
      </c>
      <c r="M3996" t="s">
        <v>69</v>
      </c>
    </row>
    <row r="3997" spans="1:13" x14ac:dyDescent="0.3">
      <c r="A3997" t="s">
        <v>24</v>
      </c>
      <c r="B3997" t="s">
        <v>58</v>
      </c>
      <c r="C3997">
        <v>35.402919989522381</v>
      </c>
      <c r="D3997">
        <v>1.0104809826209911</v>
      </c>
      <c r="E3997">
        <v>1.956943390673739</v>
      </c>
      <c r="F3997">
        <v>5.0409819397318394</v>
      </c>
      <c r="G3997">
        <v>6.7835970345894303</v>
      </c>
      <c r="H3997">
        <v>55.926197478933403</v>
      </c>
      <c r="I3997">
        <v>23.656202019034279</v>
      </c>
      <c r="J3997">
        <v>21.96989150560163</v>
      </c>
      <c r="K3997">
        <v>732.83570908501974</v>
      </c>
      <c r="L3997">
        <v>0</v>
      </c>
      <c r="M3997" t="s">
        <v>69</v>
      </c>
    </row>
    <row r="3998" spans="1:13" x14ac:dyDescent="0.3">
      <c r="A3998" t="s">
        <v>24</v>
      </c>
      <c r="B3998" t="s">
        <v>58</v>
      </c>
      <c r="C3998">
        <v>13.51841586907166</v>
      </c>
      <c r="D3998">
        <v>0</v>
      </c>
      <c r="E3998">
        <v>0</v>
      </c>
      <c r="F3998">
        <v>1.9447902287354639</v>
      </c>
      <c r="G3998">
        <v>6.5302551331550456</v>
      </c>
      <c r="H3998">
        <v>43.380909232972883</v>
      </c>
      <c r="I3998">
        <v>25.781361448726699</v>
      </c>
      <c r="J3998">
        <v>22.86005461198706</v>
      </c>
      <c r="K3998">
        <v>733.81662705661313</v>
      </c>
      <c r="L3998">
        <v>0</v>
      </c>
      <c r="M3998" t="s">
        <v>69</v>
      </c>
    </row>
    <row r="3999" spans="1:13" x14ac:dyDescent="0.3">
      <c r="A3999" t="s">
        <v>25</v>
      </c>
      <c r="B3999" t="s">
        <v>62</v>
      </c>
      <c r="C3999">
        <v>23.309476224347009</v>
      </c>
      <c r="D3999">
        <v>1.019045943357985</v>
      </c>
      <c r="E3999">
        <v>1.01544711743269</v>
      </c>
      <c r="F3999">
        <v>4.6102784359319031</v>
      </c>
      <c r="G3999">
        <v>5.6147198043476187</v>
      </c>
      <c r="H3999">
        <v>48.376175752015882</v>
      </c>
      <c r="I3999">
        <v>21.481039601464229</v>
      </c>
      <c r="J3999">
        <v>22.756924656201701</v>
      </c>
      <c r="K3999">
        <v>1076.703628565851</v>
      </c>
      <c r="L3999">
        <v>0</v>
      </c>
      <c r="M3999" t="s">
        <v>69</v>
      </c>
    </row>
    <row r="4000" spans="1:13" x14ac:dyDescent="0.3">
      <c r="A4000" t="s">
        <v>19</v>
      </c>
      <c r="B4000" t="s">
        <v>48</v>
      </c>
      <c r="C4000">
        <v>30.51817874749543</v>
      </c>
      <c r="D4000">
        <v>0.93126197212159623</v>
      </c>
      <c r="E4000">
        <v>2.2270671400614068</v>
      </c>
      <c r="F4000">
        <v>5.3632231076477446</v>
      </c>
      <c r="G4000">
        <v>5.957881757576347</v>
      </c>
      <c r="H4000">
        <v>22.331560448287259</v>
      </c>
      <c r="I4000">
        <v>31.671138754254571</v>
      </c>
      <c r="J4000">
        <v>25.91334961705434</v>
      </c>
      <c r="K4000">
        <v>1183.8604738658021</v>
      </c>
      <c r="L4000">
        <v>0</v>
      </c>
      <c r="M4000" t="s">
        <v>69</v>
      </c>
    </row>
    <row r="4001" spans="1:13" x14ac:dyDescent="0.3">
      <c r="A4001" t="s">
        <v>25</v>
      </c>
      <c r="B4001" t="s">
        <v>62</v>
      </c>
      <c r="C4001">
        <v>30.591964936700439</v>
      </c>
      <c r="D4001">
        <v>1.0845084087533721</v>
      </c>
      <c r="E4001">
        <v>1.8728708259414391</v>
      </c>
      <c r="F4001">
        <v>5.2126937294097733</v>
      </c>
      <c r="G4001">
        <v>6.2295535551172874</v>
      </c>
      <c r="H4001">
        <v>38.758214914169223</v>
      </c>
      <c r="I4001">
        <v>19.95258931593909</v>
      </c>
      <c r="J4001">
        <v>24.077974075711118</v>
      </c>
      <c r="K4001">
        <v>1089.3677893711431</v>
      </c>
      <c r="L4001">
        <v>0</v>
      </c>
      <c r="M4001" t="s">
        <v>69</v>
      </c>
    </row>
    <row r="4002" spans="1:13" x14ac:dyDescent="0.3">
      <c r="A4002" t="s">
        <v>25</v>
      </c>
      <c r="B4002" t="s">
        <v>62</v>
      </c>
      <c r="C4002">
        <v>581.1996756418522</v>
      </c>
      <c r="D4002">
        <v>28.997380892538828</v>
      </c>
      <c r="E4002">
        <v>41.018045384593847</v>
      </c>
      <c r="F4002">
        <v>93.036855019076569</v>
      </c>
      <c r="G4002">
        <v>4.4990844435656854</v>
      </c>
      <c r="H4002">
        <v>88.4</v>
      </c>
      <c r="I4002">
        <v>27.300309717652979</v>
      </c>
      <c r="J4002">
        <v>23.995978275155199</v>
      </c>
      <c r="K4002">
        <v>711.24132170585165</v>
      </c>
      <c r="L4002">
        <v>0</v>
      </c>
      <c r="M4002" t="s">
        <v>69</v>
      </c>
    </row>
    <row r="4003" spans="1:13" x14ac:dyDescent="0.3">
      <c r="A4003" t="s">
        <v>25</v>
      </c>
      <c r="B4003" t="s">
        <v>62</v>
      </c>
      <c r="C4003">
        <v>579.16984685612488</v>
      </c>
      <c r="D4003">
        <v>25.02587152765965</v>
      </c>
      <c r="E4003">
        <v>39.377721937368477</v>
      </c>
      <c r="F4003">
        <v>79.445896534519676</v>
      </c>
      <c r="G4003">
        <v>4.4260887273700478</v>
      </c>
      <c r="H4003">
        <v>84.768735452192942</v>
      </c>
      <c r="I4003">
        <v>25.783813263172231</v>
      </c>
      <c r="J4003">
        <v>24.600463481164422</v>
      </c>
      <c r="K4003">
        <v>712.84345234094201</v>
      </c>
      <c r="L4003">
        <v>0</v>
      </c>
      <c r="M4003" t="s">
        <v>69</v>
      </c>
    </row>
    <row r="4004" spans="1:13" x14ac:dyDescent="0.3">
      <c r="A4004" t="s">
        <v>19</v>
      </c>
      <c r="B4004" t="s">
        <v>48</v>
      </c>
      <c r="C4004">
        <v>42.360721863062807</v>
      </c>
      <c r="D4004">
        <v>1.856805337021747</v>
      </c>
      <c r="E4004">
        <v>1.884574445488679</v>
      </c>
      <c r="F4004">
        <v>5.0303352048573782</v>
      </c>
      <c r="G4004">
        <v>6.3532351738981649</v>
      </c>
      <c r="H4004">
        <v>17.359836633389751</v>
      </c>
      <c r="I4004">
        <v>31.855896134169111</v>
      </c>
      <c r="J4004">
        <v>26.891652422204839</v>
      </c>
      <c r="K4004">
        <v>1152.5441012497579</v>
      </c>
      <c r="L4004">
        <v>0</v>
      </c>
      <c r="M4004" t="s">
        <v>69</v>
      </c>
    </row>
    <row r="4005" spans="1:13" x14ac:dyDescent="0.3">
      <c r="A4005" t="s">
        <v>25</v>
      </c>
      <c r="B4005" t="s">
        <v>62</v>
      </c>
      <c r="C4005">
        <v>600.50595057697763</v>
      </c>
      <c r="D4005">
        <v>28.744144151888388</v>
      </c>
      <c r="E4005">
        <v>42.762820826640407</v>
      </c>
      <c r="F4005">
        <v>96.600299836037692</v>
      </c>
      <c r="G4005">
        <v>4.4105609557955674</v>
      </c>
      <c r="H4005">
        <v>88.4</v>
      </c>
      <c r="I4005">
        <v>27.330255754662229</v>
      </c>
      <c r="J4005">
        <v>23.607125008693359</v>
      </c>
      <c r="K4005">
        <v>734.57427888463963</v>
      </c>
      <c r="L4005">
        <v>0</v>
      </c>
      <c r="M4005" t="s">
        <v>69</v>
      </c>
    </row>
    <row r="4006" spans="1:13" x14ac:dyDescent="0.3">
      <c r="A4006" t="s">
        <v>25</v>
      </c>
      <c r="B4006" t="s">
        <v>62</v>
      </c>
      <c r="C4006">
        <v>23.180344420594238</v>
      </c>
      <c r="D4006">
        <v>1.0566821422591111</v>
      </c>
      <c r="E4006">
        <v>0.974243244666126</v>
      </c>
      <c r="F4006">
        <v>4.5439871484869521</v>
      </c>
      <c r="G4006">
        <v>5.5928293990348834</v>
      </c>
      <c r="H4006">
        <v>48.284218379953273</v>
      </c>
      <c r="I4006">
        <v>21.149833861277621</v>
      </c>
      <c r="J4006">
        <v>22.909831920174511</v>
      </c>
      <c r="K4006">
        <v>1075.115521800207</v>
      </c>
      <c r="L4006">
        <v>0</v>
      </c>
      <c r="M4006" t="s">
        <v>69</v>
      </c>
    </row>
    <row r="4007" spans="1:13" x14ac:dyDescent="0.3">
      <c r="A4007" t="s">
        <v>19</v>
      </c>
      <c r="B4007" t="s">
        <v>48</v>
      </c>
      <c r="C4007">
        <v>31.53429584992298</v>
      </c>
      <c r="D4007">
        <v>0.94089034535455651</v>
      </c>
      <c r="E4007">
        <v>2.0312702143885848</v>
      </c>
      <c r="F4007">
        <v>4.140105097723513</v>
      </c>
      <c r="G4007">
        <v>6.2018338636995551</v>
      </c>
      <c r="H4007">
        <v>23.694435686024491</v>
      </c>
      <c r="I4007">
        <v>23.501340109748391</v>
      </c>
      <c r="J4007">
        <v>24.22261075570157</v>
      </c>
      <c r="K4007">
        <v>1185.031329981721</v>
      </c>
      <c r="L4007">
        <v>0</v>
      </c>
      <c r="M4007" t="s">
        <v>69</v>
      </c>
    </row>
    <row r="4008" spans="1:13" x14ac:dyDescent="0.3">
      <c r="A4008" t="s">
        <v>19</v>
      </c>
      <c r="B4008" t="s">
        <v>48</v>
      </c>
      <c r="C4008">
        <v>39.555223069817558</v>
      </c>
      <c r="D4008">
        <v>1.219199863014452</v>
      </c>
      <c r="E4008">
        <v>2.1393363910429839</v>
      </c>
      <c r="F4008">
        <v>6.3402188602099319</v>
      </c>
      <c r="G4008">
        <v>6.089811895278781</v>
      </c>
      <c r="H4008">
        <v>17.446811300036021</v>
      </c>
      <c r="I4008">
        <v>32.506937605034658</v>
      </c>
      <c r="J4008">
        <v>26.318785007001249</v>
      </c>
      <c r="K4008">
        <v>1158.1388679853519</v>
      </c>
      <c r="L4008">
        <v>0</v>
      </c>
      <c r="M4008" t="s">
        <v>69</v>
      </c>
    </row>
    <row r="4009" spans="1:13" x14ac:dyDescent="0.3">
      <c r="A4009" t="s">
        <v>24</v>
      </c>
      <c r="B4009" t="s">
        <v>59</v>
      </c>
      <c r="C4009">
        <v>58.837813198180463</v>
      </c>
      <c r="D4009">
        <v>2.0348014002237309</v>
      </c>
      <c r="E4009">
        <v>3.9636276110289468</v>
      </c>
      <c r="F4009">
        <v>9.2213820964767113</v>
      </c>
      <c r="G4009">
        <v>6.7622551777751134</v>
      </c>
      <c r="H4009">
        <v>57.405882864179397</v>
      </c>
      <c r="I4009">
        <v>26.322744942543491</v>
      </c>
      <c r="J4009">
        <v>22.42878556094325</v>
      </c>
      <c r="K4009">
        <v>734.00465653385072</v>
      </c>
      <c r="L4009">
        <v>0</v>
      </c>
      <c r="M4009" t="s">
        <v>69</v>
      </c>
    </row>
    <row r="4010" spans="1:13" x14ac:dyDescent="0.3">
      <c r="A4010" t="s">
        <v>24</v>
      </c>
      <c r="B4010" t="s">
        <v>58</v>
      </c>
      <c r="C4010">
        <v>28.76516149417019</v>
      </c>
      <c r="D4010">
        <v>1.00732117943396</v>
      </c>
      <c r="E4010">
        <v>2.072341350508041</v>
      </c>
      <c r="F4010">
        <v>3.8637830564736331</v>
      </c>
      <c r="G4010">
        <v>6.1768133930358831</v>
      </c>
      <c r="H4010">
        <v>38.812250472528078</v>
      </c>
      <c r="I4010">
        <v>23.539892267793299</v>
      </c>
      <c r="J4010">
        <v>23.161642057061989</v>
      </c>
      <c r="K4010">
        <v>737.8785392888376</v>
      </c>
      <c r="L4010">
        <v>0</v>
      </c>
      <c r="M4010" t="s">
        <v>69</v>
      </c>
    </row>
    <row r="4011" spans="1:13" x14ac:dyDescent="0.3">
      <c r="A4011" t="s">
        <v>25</v>
      </c>
      <c r="B4011" t="s">
        <v>62</v>
      </c>
      <c r="C4011">
        <v>38.687768053286241</v>
      </c>
      <c r="D4011">
        <v>1.017263717704836</v>
      </c>
      <c r="E4011">
        <v>1.9372914327137229</v>
      </c>
      <c r="F4011">
        <v>6.3265804310266258</v>
      </c>
      <c r="G4011">
        <v>6.2749049344000296</v>
      </c>
      <c r="H4011">
        <v>17.088386273797742</v>
      </c>
      <c r="I4011">
        <v>31.75388568423562</v>
      </c>
      <c r="J4011">
        <v>25.127454041984588</v>
      </c>
      <c r="K4011">
        <v>1195.9602571097921</v>
      </c>
      <c r="L4011">
        <v>0</v>
      </c>
      <c r="M4011" t="s">
        <v>69</v>
      </c>
    </row>
    <row r="4012" spans="1:13" x14ac:dyDescent="0.3">
      <c r="A4012" t="s">
        <v>19</v>
      </c>
      <c r="B4012" t="s">
        <v>48</v>
      </c>
      <c r="C4012">
        <v>60.37518257078252</v>
      </c>
      <c r="D4012">
        <v>3.091422817992592</v>
      </c>
      <c r="E4012">
        <v>4.175372817713618</v>
      </c>
      <c r="F4012">
        <v>8.4501974394517774</v>
      </c>
      <c r="G4012">
        <v>6.1782264541377181</v>
      </c>
      <c r="H4012">
        <v>18.375209172407981</v>
      </c>
      <c r="I4012">
        <v>32.596125798402277</v>
      </c>
      <c r="J4012">
        <v>27.163625398900479</v>
      </c>
      <c r="K4012">
        <v>1169.4639761442149</v>
      </c>
      <c r="L4012">
        <v>0</v>
      </c>
      <c r="M4012" t="s">
        <v>69</v>
      </c>
    </row>
    <row r="4013" spans="1:13" x14ac:dyDescent="0.3">
      <c r="A4013" t="s">
        <v>25</v>
      </c>
      <c r="B4013" t="s">
        <v>62</v>
      </c>
      <c r="C4013">
        <v>266.04703759585851</v>
      </c>
      <c r="D4013">
        <v>20.851301692620719</v>
      </c>
      <c r="E4013">
        <v>27.27581389457243</v>
      </c>
      <c r="F4013">
        <v>58.242234820735327</v>
      </c>
      <c r="G4013">
        <v>4.3592869441949524</v>
      </c>
      <c r="H4013">
        <v>70.139097998775298</v>
      </c>
      <c r="I4013">
        <v>28.654646536023279</v>
      </c>
      <c r="J4013">
        <v>24.791612474261491</v>
      </c>
      <c r="K4013">
        <v>715.32035389823443</v>
      </c>
      <c r="L4013">
        <v>0</v>
      </c>
      <c r="M4013" t="s">
        <v>69</v>
      </c>
    </row>
    <row r="4014" spans="1:13" x14ac:dyDescent="0.3">
      <c r="A4014" t="s">
        <v>21</v>
      </c>
      <c r="B4014" t="s">
        <v>52</v>
      </c>
      <c r="C4014">
        <v>129.90928470278931</v>
      </c>
      <c r="D4014">
        <v>6.3194447137236871</v>
      </c>
      <c r="E4014">
        <v>9.5417442213443735</v>
      </c>
      <c r="F4014">
        <v>20.84335654310912</v>
      </c>
      <c r="G4014">
        <v>5.4802070537591581</v>
      </c>
      <c r="H4014">
        <v>58.51584414925513</v>
      </c>
      <c r="I4014">
        <v>27.57923985790563</v>
      </c>
      <c r="J4014">
        <v>24.528454132301839</v>
      </c>
      <c r="K4014">
        <v>752.67427582926871</v>
      </c>
      <c r="L4014">
        <v>0</v>
      </c>
      <c r="M4014" t="s">
        <v>69</v>
      </c>
    </row>
    <row r="4015" spans="1:13" x14ac:dyDescent="0.3">
      <c r="A4015" t="s">
        <v>25</v>
      </c>
      <c r="B4015" t="s">
        <v>62</v>
      </c>
      <c r="C4015">
        <v>256.4568309536221</v>
      </c>
      <c r="D4015">
        <v>17.9429720524221</v>
      </c>
      <c r="E4015">
        <v>23.715384281334089</v>
      </c>
      <c r="F4015">
        <v>66.207421339014303</v>
      </c>
      <c r="G4015">
        <v>4.3103831773906762</v>
      </c>
      <c r="H4015">
        <v>70.138187664355428</v>
      </c>
      <c r="I4015">
        <v>29.728675662170581</v>
      </c>
      <c r="J4015">
        <v>22.385363444099131</v>
      </c>
      <c r="K4015">
        <v>707.99493660429744</v>
      </c>
      <c r="L4015">
        <v>0</v>
      </c>
      <c r="M4015" t="s">
        <v>69</v>
      </c>
    </row>
    <row r="4016" spans="1:13" x14ac:dyDescent="0.3">
      <c r="A4016" t="s">
        <v>25</v>
      </c>
      <c r="B4016" t="s">
        <v>62</v>
      </c>
      <c r="C4016">
        <v>29.250177376563609</v>
      </c>
      <c r="D4016">
        <v>1.0021382013211591</v>
      </c>
      <c r="E4016">
        <v>2.013451883187384</v>
      </c>
      <c r="F4016">
        <v>4.9520961828266996</v>
      </c>
      <c r="G4016">
        <v>6.3682073462555957</v>
      </c>
      <c r="H4016">
        <v>40.100556033258961</v>
      </c>
      <c r="I4016">
        <v>19.930116123687089</v>
      </c>
      <c r="J4016">
        <v>24.02001979605453</v>
      </c>
      <c r="K4016">
        <v>1081.9037309257701</v>
      </c>
      <c r="L4016">
        <v>0</v>
      </c>
      <c r="M4016" t="s">
        <v>69</v>
      </c>
    </row>
    <row r="4017" spans="1:13" x14ac:dyDescent="0.3">
      <c r="A4017" t="s">
        <v>24</v>
      </c>
      <c r="B4017" t="s">
        <v>57</v>
      </c>
      <c r="C4017">
        <v>45.962636392656151</v>
      </c>
      <c r="D4017">
        <v>1.641194104897677</v>
      </c>
      <c r="E4017">
        <v>2.386582734397058</v>
      </c>
      <c r="F4017">
        <v>6.9531927934355684</v>
      </c>
      <c r="G4017">
        <v>5.6116615583091098</v>
      </c>
      <c r="H4017">
        <v>48.985358182495929</v>
      </c>
      <c r="I4017">
        <v>22.774071006619259</v>
      </c>
      <c r="J4017">
        <v>23.046173839501929</v>
      </c>
      <c r="K4017">
        <v>835.93407156408</v>
      </c>
      <c r="L4017">
        <v>0</v>
      </c>
      <c r="M4017" t="s">
        <v>69</v>
      </c>
    </row>
    <row r="4018" spans="1:13" x14ac:dyDescent="0.3">
      <c r="A4018" t="s">
        <v>25</v>
      </c>
      <c r="B4018" t="s">
        <v>62</v>
      </c>
      <c r="C4018">
        <v>24.739059102156869</v>
      </c>
      <c r="D4018">
        <v>1.244086299487668</v>
      </c>
      <c r="E4018">
        <v>0.96266574558294238</v>
      </c>
      <c r="F4018">
        <v>2.7579045082733402</v>
      </c>
      <c r="G4018">
        <v>6.25168820532088</v>
      </c>
      <c r="H4018">
        <v>66.901032606329125</v>
      </c>
      <c r="I4018">
        <v>20.402185838396999</v>
      </c>
      <c r="J4018">
        <v>24.45274238044324</v>
      </c>
      <c r="K4018">
        <v>1201.76085001917</v>
      </c>
      <c r="L4018">
        <v>0</v>
      </c>
      <c r="M4018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200F-9EC1-4D1A-AD07-32553A2D72F5}">
  <dimension ref="A1:K1508"/>
  <sheetViews>
    <sheetView topLeftCell="A41" workbookViewId="0">
      <selection activeCell="M11" sqref="M11"/>
    </sheetView>
  </sheetViews>
  <sheetFormatPr defaultRowHeight="14.4" x14ac:dyDescent="0.3"/>
  <sheetData>
    <row r="1" spans="1:1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10</v>
      </c>
      <c r="K1" s="10" t="s">
        <v>65</v>
      </c>
    </row>
    <row r="2" spans="1:11" x14ac:dyDescent="0.3">
      <c r="A2">
        <v>31.576549066819268</v>
      </c>
      <c r="B2">
        <v>1.031917451041918</v>
      </c>
      <c r="C2">
        <v>2.4542899490845591</v>
      </c>
      <c r="D2">
        <v>4.632883339014481</v>
      </c>
      <c r="E2">
        <v>6.0215987074689483</v>
      </c>
      <c r="F2">
        <v>20.04973037992653</v>
      </c>
      <c r="G2">
        <v>23.86287019843147</v>
      </c>
      <c r="H2">
        <v>20.576656074339251</v>
      </c>
      <c r="I2">
        <v>1261.126981554856</v>
      </c>
      <c r="J2">
        <v>45</v>
      </c>
      <c r="K2" t="s">
        <v>66</v>
      </c>
    </row>
    <row r="3" spans="1:11" x14ac:dyDescent="0.3">
      <c r="A3">
        <v>13.024702260809329</v>
      </c>
      <c r="B3">
        <v>0</v>
      </c>
      <c r="C3">
        <v>0</v>
      </c>
      <c r="D3">
        <v>1.5552851664125611</v>
      </c>
      <c r="E3">
        <v>5.0670496783851533</v>
      </c>
      <c r="F3">
        <v>26.448367912072239</v>
      </c>
      <c r="G3">
        <v>19.682649445702289</v>
      </c>
      <c r="H3">
        <v>21.871507103063589</v>
      </c>
      <c r="I3">
        <v>2082.5219167578998</v>
      </c>
      <c r="J3">
        <v>13</v>
      </c>
      <c r="K3" t="s">
        <v>66</v>
      </c>
    </row>
    <row r="4" spans="1:11" x14ac:dyDescent="0.3">
      <c r="A4">
        <v>539.73659703611838</v>
      </c>
      <c r="B4">
        <v>28.932549313037139</v>
      </c>
      <c r="C4">
        <v>32.11385712347834</v>
      </c>
      <c r="D4">
        <v>82.006195161127678</v>
      </c>
      <c r="E4">
        <v>5.4720624759223586</v>
      </c>
      <c r="F4">
        <v>59.032081659019077</v>
      </c>
      <c r="G4">
        <v>31.476665574411449</v>
      </c>
      <c r="H4">
        <v>30.330256801369941</v>
      </c>
      <c r="I4">
        <v>11</v>
      </c>
      <c r="J4">
        <v>0</v>
      </c>
      <c r="K4" t="s">
        <v>66</v>
      </c>
    </row>
    <row r="5" spans="1:11" x14ac:dyDescent="0.3">
      <c r="A5">
        <v>99.364136742525417</v>
      </c>
      <c r="B5">
        <v>5.1038640155644313</v>
      </c>
      <c r="C5">
        <v>5.3315721299028036</v>
      </c>
      <c r="D5">
        <v>12.412637500471099</v>
      </c>
      <c r="E5">
        <v>5.6133725789065716</v>
      </c>
      <c r="F5">
        <v>27.67744906586244</v>
      </c>
      <c r="G5">
        <v>21.41225550228225</v>
      </c>
      <c r="H5">
        <v>20.36142831931668</v>
      </c>
      <c r="I5">
        <v>1712.4861844952791</v>
      </c>
      <c r="J5">
        <v>25</v>
      </c>
      <c r="K5" t="s">
        <v>66</v>
      </c>
    </row>
    <row r="6" spans="1:11" x14ac:dyDescent="0.3">
      <c r="A6">
        <v>142.32979506936309</v>
      </c>
      <c r="B6">
        <v>6.0588405237233669</v>
      </c>
      <c r="C6">
        <v>8.9522038784727798</v>
      </c>
      <c r="D6">
        <v>21.092040478866899</v>
      </c>
      <c r="E6">
        <v>6.1890379621966503</v>
      </c>
      <c r="F6">
        <v>27.054835344006001</v>
      </c>
      <c r="G6">
        <v>21.89360157867263</v>
      </c>
      <c r="H6">
        <v>20.118511276415941</v>
      </c>
      <c r="I6">
        <v>1615.2700048500719</v>
      </c>
      <c r="J6">
        <v>12</v>
      </c>
      <c r="K6" t="s">
        <v>66</v>
      </c>
    </row>
    <row r="7" spans="1:11" x14ac:dyDescent="0.3">
      <c r="A7">
        <v>56.579324063140383</v>
      </c>
      <c r="B7">
        <v>1.848841699968327</v>
      </c>
      <c r="C7">
        <v>2.8534571759668919</v>
      </c>
      <c r="D7">
        <v>7.6441545294636084</v>
      </c>
      <c r="E7">
        <v>6.5031135619591902</v>
      </c>
      <c r="F7">
        <v>34.729367051260098</v>
      </c>
      <c r="G7">
        <v>22.327060473564948</v>
      </c>
      <c r="H7">
        <v>20.761284593790169</v>
      </c>
      <c r="I7">
        <v>1236.4047598193799</v>
      </c>
      <c r="J7">
        <v>18</v>
      </c>
      <c r="K7" t="s">
        <v>66</v>
      </c>
    </row>
    <row r="8" spans="1:11" x14ac:dyDescent="0.3">
      <c r="A8">
        <v>23.806216676150001</v>
      </c>
      <c r="B8">
        <v>1.025316523803798</v>
      </c>
      <c r="C8">
        <v>1.0994447375508909</v>
      </c>
      <c r="D8">
        <v>3.4771210705720921</v>
      </c>
      <c r="E8">
        <v>6.4823149624447591</v>
      </c>
      <c r="F8">
        <v>24.070856358445599</v>
      </c>
      <c r="G8">
        <v>25.838643263480449</v>
      </c>
      <c r="H8">
        <v>21.788387845637509</v>
      </c>
      <c r="I8">
        <v>1190.4447571717949</v>
      </c>
      <c r="J8">
        <v>18</v>
      </c>
      <c r="K8" t="s">
        <v>66</v>
      </c>
    </row>
    <row r="9" spans="1:11" x14ac:dyDescent="0.3">
      <c r="A9">
        <v>57.486853040267263</v>
      </c>
      <c r="B9">
        <v>1.8788278358482211</v>
      </c>
      <c r="C9">
        <v>2.6704138724466562</v>
      </c>
      <c r="D9">
        <v>7.9796046971318404</v>
      </c>
      <c r="E9">
        <v>5.7477706070177206</v>
      </c>
      <c r="F9">
        <v>61.797446541393462</v>
      </c>
      <c r="G9">
        <v>23.12151882563062</v>
      </c>
      <c r="H9">
        <v>18.534070636521001</v>
      </c>
      <c r="I9">
        <v>1933.122492007341</v>
      </c>
      <c r="J9">
        <v>40</v>
      </c>
      <c r="K9" t="s">
        <v>66</v>
      </c>
    </row>
    <row r="10" spans="1:11" x14ac:dyDescent="0.3">
      <c r="A10">
        <v>22.111345711192069</v>
      </c>
      <c r="B10">
        <v>0.99744256878080051</v>
      </c>
      <c r="C10">
        <v>1.078287373494857</v>
      </c>
      <c r="D10">
        <v>2.5118985237399749</v>
      </c>
      <c r="E10">
        <v>5.9368133840235959</v>
      </c>
      <c r="F10">
        <v>22.32540159226938</v>
      </c>
      <c r="G10">
        <v>20.768960516330811</v>
      </c>
      <c r="H10">
        <v>19.446995239929411</v>
      </c>
      <c r="I10">
        <v>2018.5934554849571</v>
      </c>
      <c r="J10">
        <v>40</v>
      </c>
      <c r="K10" t="s">
        <v>66</v>
      </c>
    </row>
    <row r="11" spans="1:11" x14ac:dyDescent="0.3">
      <c r="A11">
        <v>338</v>
      </c>
      <c r="B11">
        <v>16</v>
      </c>
      <c r="C11">
        <v>23</v>
      </c>
      <c r="D11">
        <v>54</v>
      </c>
      <c r="E11">
        <v>4.3</v>
      </c>
      <c r="F11">
        <v>57.2</v>
      </c>
      <c r="G11">
        <v>29.6</v>
      </c>
      <c r="H11">
        <v>31</v>
      </c>
      <c r="I11">
        <v>14</v>
      </c>
      <c r="J11">
        <v>0</v>
      </c>
      <c r="K11" t="s">
        <v>67</v>
      </c>
    </row>
    <row r="12" spans="1:11" x14ac:dyDescent="0.3">
      <c r="A12">
        <v>21.530430823057841</v>
      </c>
      <c r="B12">
        <v>0.84357583882889486</v>
      </c>
      <c r="C12">
        <v>0.88928431831975485</v>
      </c>
      <c r="D12">
        <v>2.7755711806135062</v>
      </c>
      <c r="E12">
        <v>6.4486727083848461</v>
      </c>
      <c r="F12">
        <v>26.559794156579692</v>
      </c>
      <c r="G12">
        <v>26.063026110909</v>
      </c>
      <c r="H12">
        <v>21.355132383546671</v>
      </c>
      <c r="I12">
        <v>1211.1436629138091</v>
      </c>
      <c r="J12">
        <v>18</v>
      </c>
      <c r="K12" t="s">
        <v>66</v>
      </c>
    </row>
    <row r="13" spans="1:11" x14ac:dyDescent="0.3">
      <c r="A13">
        <v>73.185428122296301</v>
      </c>
      <c r="B13">
        <v>3.2093709817617082</v>
      </c>
      <c r="C13">
        <v>4.8263488555210783</v>
      </c>
      <c r="D13">
        <v>10.80677392124295</v>
      </c>
      <c r="E13">
        <v>6.1926590045769663</v>
      </c>
      <c r="F13">
        <v>47.113194759783859</v>
      </c>
      <c r="G13">
        <v>25.032838860379961</v>
      </c>
      <c r="H13">
        <v>22.02182856751309</v>
      </c>
      <c r="I13">
        <v>1428.34221367807</v>
      </c>
      <c r="J13">
        <v>30</v>
      </c>
      <c r="K13" t="s">
        <v>66</v>
      </c>
    </row>
    <row r="14" spans="1:11" x14ac:dyDescent="0.3">
      <c r="A14">
        <v>21.055091987140191</v>
      </c>
      <c r="B14">
        <v>0</v>
      </c>
      <c r="C14">
        <v>1.1656208252057301</v>
      </c>
      <c r="D14">
        <v>3.0296801361086652</v>
      </c>
      <c r="E14">
        <v>5.5533012135261668</v>
      </c>
      <c r="F14">
        <v>25.41315805789937</v>
      </c>
      <c r="G14">
        <v>21.187367021569621</v>
      </c>
      <c r="H14">
        <v>22.354698197992441</v>
      </c>
      <c r="I14">
        <v>2075.7186216816908</v>
      </c>
      <c r="J14">
        <v>13</v>
      </c>
      <c r="K14" t="s">
        <v>66</v>
      </c>
    </row>
    <row r="15" spans="1:11" x14ac:dyDescent="0.3">
      <c r="A15">
        <v>707.46654117180481</v>
      </c>
      <c r="B15">
        <v>47</v>
      </c>
      <c r="C15">
        <v>49.627702961199219</v>
      </c>
      <c r="D15">
        <v>148.44512642052021</v>
      </c>
      <c r="E15">
        <v>5.5507185835526078</v>
      </c>
      <c r="F15">
        <v>44.673727522102617</v>
      </c>
      <c r="G15">
        <v>18.685152064911879</v>
      </c>
      <c r="H15">
        <v>22.478019724917591</v>
      </c>
      <c r="I15">
        <v>1409.2713248305611</v>
      </c>
      <c r="J15">
        <v>30</v>
      </c>
      <c r="K15" t="s">
        <v>66</v>
      </c>
    </row>
    <row r="16" spans="1:11" x14ac:dyDescent="0.3">
      <c r="A16">
        <v>187.3269481615078</v>
      </c>
      <c r="B16">
        <v>9.3481276686202825</v>
      </c>
      <c r="C16">
        <v>13.05766643677029</v>
      </c>
      <c r="D16">
        <v>33.756850985869917</v>
      </c>
      <c r="E16">
        <v>5.9462585443199201</v>
      </c>
      <c r="F16">
        <v>41.496634937300989</v>
      </c>
      <c r="G16">
        <v>25.44606674491741</v>
      </c>
      <c r="H16">
        <v>19.877861459534099</v>
      </c>
      <c r="I16">
        <v>2066.4332867167168</v>
      </c>
      <c r="J16">
        <v>20</v>
      </c>
      <c r="K16" t="s">
        <v>66</v>
      </c>
    </row>
    <row r="17" spans="1:11" x14ac:dyDescent="0.3">
      <c r="A17">
        <v>23.101816156132131</v>
      </c>
      <c r="B17">
        <v>1.01838495447537</v>
      </c>
      <c r="C17">
        <v>1.0266818396295401</v>
      </c>
      <c r="D17">
        <v>2.99600860938641</v>
      </c>
      <c r="E17">
        <v>6.3066127502764679</v>
      </c>
      <c r="F17">
        <v>29.722576389539771</v>
      </c>
      <c r="G17">
        <v>24.569065274462218</v>
      </c>
      <c r="H17">
        <v>26.598483407820918</v>
      </c>
      <c r="I17">
        <v>1411.7303245866481</v>
      </c>
      <c r="J17">
        <v>7</v>
      </c>
      <c r="K17" t="s">
        <v>66</v>
      </c>
    </row>
    <row r="18" spans="1:11" x14ac:dyDescent="0.3">
      <c r="A18">
        <v>726.3865433978151</v>
      </c>
      <c r="B18">
        <v>35.946127057997288</v>
      </c>
      <c r="C18">
        <v>52.566006232422012</v>
      </c>
      <c r="D18">
        <v>115.747459117815</v>
      </c>
      <c r="E18">
        <v>6.2902533335176152</v>
      </c>
      <c r="F18">
        <v>72.611083835439857</v>
      </c>
      <c r="G18">
        <v>29.151159934595871</v>
      </c>
      <c r="H18">
        <v>31.176896192188838</v>
      </c>
      <c r="I18">
        <v>11.42841226711894</v>
      </c>
      <c r="J18">
        <v>0</v>
      </c>
      <c r="K18" t="s">
        <v>66</v>
      </c>
    </row>
    <row r="19" spans="1:11" x14ac:dyDescent="0.3">
      <c r="A19">
        <v>840.42953860648436</v>
      </c>
      <c r="B19">
        <v>45.460713454503662</v>
      </c>
      <c r="C19">
        <v>61.985096186303103</v>
      </c>
      <c r="D19">
        <v>143.0450124947605</v>
      </c>
      <c r="E19">
        <v>5.3262620071410636</v>
      </c>
      <c r="F19">
        <v>48.033393825041763</v>
      </c>
      <c r="G19">
        <v>19.737446364895291</v>
      </c>
      <c r="H19">
        <v>22.194431715677212</v>
      </c>
      <c r="I19">
        <v>1446.631339285648</v>
      </c>
      <c r="J19">
        <v>30</v>
      </c>
      <c r="K19" t="s">
        <v>66</v>
      </c>
    </row>
    <row r="20" spans="1:11" x14ac:dyDescent="0.3">
      <c r="A20">
        <v>47.525818800037968</v>
      </c>
      <c r="B20">
        <v>2.0048438913345521</v>
      </c>
      <c r="C20">
        <v>3.1809742501714182</v>
      </c>
      <c r="D20">
        <v>6.6669431891965694</v>
      </c>
      <c r="E20">
        <v>5.5041332345269449</v>
      </c>
      <c r="F20">
        <v>18.627043520060891</v>
      </c>
      <c r="G20">
        <v>23.841737926818091</v>
      </c>
      <c r="H20">
        <v>27.17764021963696</v>
      </c>
      <c r="I20">
        <v>1602.282389522622</v>
      </c>
      <c r="J20">
        <v>18</v>
      </c>
      <c r="K20" t="s">
        <v>66</v>
      </c>
    </row>
    <row r="21" spans="1:11" x14ac:dyDescent="0.3">
      <c r="A21">
        <v>11.155521735374069</v>
      </c>
      <c r="B21">
        <v>0</v>
      </c>
      <c r="C21">
        <v>0</v>
      </c>
      <c r="D21">
        <v>0.81469815171024307</v>
      </c>
      <c r="E21">
        <v>6.4505563134254871</v>
      </c>
      <c r="F21">
        <v>36.202729204860297</v>
      </c>
      <c r="G21">
        <v>16.991967178234919</v>
      </c>
      <c r="H21">
        <v>22.8014367390468</v>
      </c>
      <c r="I21">
        <v>1432.408706514148</v>
      </c>
      <c r="J21">
        <v>30</v>
      </c>
      <c r="K21" t="s">
        <v>66</v>
      </c>
    </row>
    <row r="22" spans="1:11" x14ac:dyDescent="0.3">
      <c r="A22">
        <v>21.462265636035099</v>
      </c>
      <c r="B22">
        <v>1.0473471899035229</v>
      </c>
      <c r="C22">
        <v>0.91317390384016672</v>
      </c>
      <c r="D22">
        <v>2.405410654278386</v>
      </c>
      <c r="E22">
        <v>6.2489957821930426</v>
      </c>
      <c r="F22">
        <v>24.120427324071532</v>
      </c>
      <c r="G22">
        <v>26.84877587388894</v>
      </c>
      <c r="H22">
        <v>20.510561430508979</v>
      </c>
      <c r="I22">
        <v>1182.4544703154129</v>
      </c>
      <c r="J22">
        <v>18</v>
      </c>
      <c r="K22" t="s">
        <v>66</v>
      </c>
    </row>
    <row r="23" spans="1:11" x14ac:dyDescent="0.3">
      <c r="A23">
        <v>69.282311286989099</v>
      </c>
      <c r="B23">
        <v>2.5448478909984962</v>
      </c>
      <c r="C23">
        <v>3.928832849678241</v>
      </c>
      <c r="D23">
        <v>12.68336802078985</v>
      </c>
      <c r="E23">
        <v>5.5129478160307057</v>
      </c>
      <c r="F23">
        <v>34.553584410538157</v>
      </c>
      <c r="G23">
        <v>21.165488031401988</v>
      </c>
      <c r="H23">
        <v>17.404500758137029</v>
      </c>
      <c r="I23">
        <v>1839.647370249103</v>
      </c>
      <c r="J23">
        <v>20</v>
      </c>
      <c r="K23" t="s">
        <v>66</v>
      </c>
    </row>
    <row r="24" spans="1:11" x14ac:dyDescent="0.3">
      <c r="A24">
        <v>31.29074839809358</v>
      </c>
      <c r="B24">
        <v>1.0543479378670091</v>
      </c>
      <c r="C24">
        <v>1.908068645545401</v>
      </c>
      <c r="D24">
        <v>3.880471964388319</v>
      </c>
      <c r="E24">
        <v>6.4032678080759773</v>
      </c>
      <c r="F24">
        <v>23.626618065156741</v>
      </c>
      <c r="G24">
        <v>23.353062117726491</v>
      </c>
      <c r="H24">
        <v>19.514725796160349</v>
      </c>
      <c r="I24">
        <v>1856.9233781371011</v>
      </c>
      <c r="J24">
        <v>40</v>
      </c>
      <c r="K24" t="s">
        <v>66</v>
      </c>
    </row>
    <row r="25" spans="1:11" x14ac:dyDescent="0.3">
      <c r="A25">
        <v>29.818577777088329</v>
      </c>
      <c r="B25">
        <v>0.99434115111001042</v>
      </c>
      <c r="C25">
        <v>2.1020314937830369</v>
      </c>
      <c r="D25">
        <v>3.675788548071349</v>
      </c>
      <c r="E25">
        <v>5.37033847506844</v>
      </c>
      <c r="F25">
        <v>31.414468332850909</v>
      </c>
      <c r="G25">
        <v>16.89921671054168</v>
      </c>
      <c r="H25">
        <v>22.24272533980157</v>
      </c>
      <c r="I25">
        <v>1752.510252591976</v>
      </c>
      <c r="J25">
        <v>35</v>
      </c>
      <c r="K25" t="s">
        <v>66</v>
      </c>
    </row>
    <row r="26" spans="1:11" x14ac:dyDescent="0.3">
      <c r="A26">
        <v>72.275664943087506</v>
      </c>
      <c r="B26">
        <v>3.1296788851902471</v>
      </c>
      <c r="C26">
        <v>4.7326216645778381</v>
      </c>
      <c r="D26">
        <v>13.66830639301439</v>
      </c>
      <c r="E26">
        <v>6.2099094927037646</v>
      </c>
      <c r="F26">
        <v>36.482865702917877</v>
      </c>
      <c r="G26">
        <v>25.927962042380909</v>
      </c>
      <c r="H26">
        <v>21.366166985586201</v>
      </c>
      <c r="I26">
        <v>1337.0079422839001</v>
      </c>
      <c r="J26">
        <v>25</v>
      </c>
      <c r="K26" t="s">
        <v>66</v>
      </c>
    </row>
    <row r="27" spans="1:11" x14ac:dyDescent="0.3">
      <c r="A27">
        <v>20.828374970617091</v>
      </c>
      <c r="B27">
        <v>0.98837709568780419</v>
      </c>
      <c r="C27">
        <v>1.0216683118964289</v>
      </c>
      <c r="D27">
        <v>3.0190947184489549</v>
      </c>
      <c r="E27">
        <v>6.3757123882811584</v>
      </c>
      <c r="F27">
        <v>37.189386846340419</v>
      </c>
      <c r="G27">
        <v>25.768877433068109</v>
      </c>
      <c r="H27">
        <v>20.851906692423832</v>
      </c>
      <c r="I27">
        <v>1616.441330982811</v>
      </c>
      <c r="J27">
        <v>25</v>
      </c>
      <c r="K27" t="s">
        <v>66</v>
      </c>
    </row>
    <row r="28" spans="1:11" x14ac:dyDescent="0.3">
      <c r="A28">
        <v>53.050532227717802</v>
      </c>
      <c r="B28">
        <v>1.9818933435391679</v>
      </c>
      <c r="C28">
        <v>3.142550323948615</v>
      </c>
      <c r="D28">
        <v>8.4347126622974482</v>
      </c>
      <c r="E28">
        <v>6.5512499223391183</v>
      </c>
      <c r="F28">
        <v>20.594697295568089</v>
      </c>
      <c r="G28">
        <v>22.692709391930411</v>
      </c>
      <c r="H28">
        <v>19.940732558219381</v>
      </c>
      <c r="I28">
        <v>1665.131079694743</v>
      </c>
      <c r="J28">
        <v>25</v>
      </c>
      <c r="K28" t="s">
        <v>66</v>
      </c>
    </row>
    <row r="29" spans="1:11" x14ac:dyDescent="0.3">
      <c r="A29">
        <v>12.41175611422471</v>
      </c>
      <c r="B29">
        <v>0</v>
      </c>
      <c r="C29">
        <v>0</v>
      </c>
      <c r="D29">
        <v>1.034166023195263</v>
      </c>
      <c r="E29">
        <v>6.1037098061638364</v>
      </c>
      <c r="F29">
        <v>18.299784743237289</v>
      </c>
      <c r="G29">
        <v>18.027246373621349</v>
      </c>
      <c r="H29">
        <v>19.330488624536251</v>
      </c>
      <c r="I29">
        <v>1843.0765620083</v>
      </c>
      <c r="J29">
        <v>40</v>
      </c>
      <c r="K29" t="s">
        <v>66</v>
      </c>
    </row>
    <row r="30" spans="1:11" x14ac:dyDescent="0.3">
      <c r="A30">
        <v>44.29378999052102</v>
      </c>
      <c r="B30">
        <v>2.028251428017493</v>
      </c>
      <c r="C30">
        <v>2.712366463143967</v>
      </c>
      <c r="D30">
        <v>7.7286679216584524</v>
      </c>
      <c r="E30">
        <v>5.8796991196066744</v>
      </c>
      <c r="F30">
        <v>24.301135783677719</v>
      </c>
      <c r="G30">
        <v>20.199678065667818</v>
      </c>
      <c r="H30">
        <v>21.218570996941828</v>
      </c>
      <c r="I30">
        <v>1550.1250123775469</v>
      </c>
      <c r="J30">
        <v>18</v>
      </c>
      <c r="K30" t="s">
        <v>66</v>
      </c>
    </row>
    <row r="31" spans="1:11" x14ac:dyDescent="0.3">
      <c r="A31">
        <v>47.36501070281335</v>
      </c>
      <c r="B31">
        <v>2.1168825960944968</v>
      </c>
      <c r="C31">
        <v>3.1480964542929448</v>
      </c>
      <c r="D31">
        <v>7.4617549986576597</v>
      </c>
      <c r="E31">
        <v>5.7894581622747934</v>
      </c>
      <c r="F31">
        <v>22.816384534192888</v>
      </c>
      <c r="G31">
        <v>20.027226479178228</v>
      </c>
      <c r="H31">
        <v>20.120719515538411</v>
      </c>
      <c r="I31">
        <v>1503.6364589303751</v>
      </c>
      <c r="J31">
        <v>18</v>
      </c>
      <c r="K31" t="s">
        <v>66</v>
      </c>
    </row>
    <row r="32" spans="1:11" x14ac:dyDescent="0.3">
      <c r="A32">
        <v>100.94238127636901</v>
      </c>
      <c r="B32">
        <v>3.5224299974403781</v>
      </c>
      <c r="C32">
        <v>6.7677112018560956</v>
      </c>
      <c r="D32">
        <v>15.224396936278181</v>
      </c>
      <c r="E32">
        <v>6.1405071199410619</v>
      </c>
      <c r="F32">
        <v>36.12471470410842</v>
      </c>
      <c r="G32">
        <v>24.978240707162179</v>
      </c>
      <c r="H32">
        <v>25.529116911112581</v>
      </c>
      <c r="I32">
        <v>673.9614492590581</v>
      </c>
      <c r="J32">
        <v>25</v>
      </c>
      <c r="K32" t="s">
        <v>66</v>
      </c>
    </row>
    <row r="33" spans="1:11" x14ac:dyDescent="0.3">
      <c r="A33">
        <v>179.79884035452099</v>
      </c>
      <c r="B33">
        <v>9.9720432591431845</v>
      </c>
      <c r="C33">
        <v>12.2273757854653</v>
      </c>
      <c r="D33">
        <v>30.53982941969586</v>
      </c>
      <c r="E33">
        <v>6.0754679701267129</v>
      </c>
      <c r="F33">
        <v>25.71559654298424</v>
      </c>
      <c r="G33">
        <v>30.91836197334634</v>
      </c>
      <c r="H33">
        <v>30.32162354457169</v>
      </c>
      <c r="I33">
        <v>14.278320780743281</v>
      </c>
      <c r="J33">
        <v>0</v>
      </c>
      <c r="K33" t="s">
        <v>66</v>
      </c>
    </row>
    <row r="34" spans="1:11" x14ac:dyDescent="0.3">
      <c r="A34">
        <v>6.0576147349470091</v>
      </c>
      <c r="B34">
        <v>0</v>
      </c>
      <c r="C34">
        <v>0</v>
      </c>
      <c r="D34">
        <v>0</v>
      </c>
      <c r="E34">
        <v>6.262261105269018</v>
      </c>
      <c r="F34">
        <v>23.663565574757602</v>
      </c>
      <c r="G34">
        <v>26.276484016851221</v>
      </c>
      <c r="H34">
        <v>34.172633084862383</v>
      </c>
      <c r="I34">
        <v>1861.238623509309</v>
      </c>
      <c r="J34">
        <v>26</v>
      </c>
      <c r="K34" t="s">
        <v>66</v>
      </c>
    </row>
    <row r="35" spans="1:11" x14ac:dyDescent="0.3">
      <c r="A35">
        <v>61.919719394117521</v>
      </c>
      <c r="B35">
        <v>3.3257946348525098</v>
      </c>
      <c r="C35">
        <v>3.4631489006059542</v>
      </c>
      <c r="D35">
        <v>9.9360556379123182</v>
      </c>
      <c r="E35">
        <v>5.9288503288206416</v>
      </c>
      <c r="F35">
        <v>39.087777969103087</v>
      </c>
      <c r="G35">
        <v>18.85719632530439</v>
      </c>
      <c r="H35">
        <v>18.908427626771338</v>
      </c>
      <c r="I35">
        <v>2098.9004048384809</v>
      </c>
      <c r="J35">
        <v>20</v>
      </c>
      <c r="K35" t="s">
        <v>66</v>
      </c>
    </row>
    <row r="36" spans="1:11" x14ac:dyDescent="0.3">
      <c r="A36">
        <v>38.81521215152226</v>
      </c>
      <c r="B36">
        <v>0.97714000846599813</v>
      </c>
      <c r="C36">
        <v>2.0993747181015201</v>
      </c>
      <c r="D36">
        <v>5.6924795336120697</v>
      </c>
      <c r="E36">
        <v>5.2977629514400721</v>
      </c>
      <c r="F36">
        <v>28.783655283150711</v>
      </c>
      <c r="G36">
        <v>17.774861539056229</v>
      </c>
      <c r="H36">
        <v>20.098398090054111</v>
      </c>
      <c r="I36">
        <v>1744.6011994672619</v>
      </c>
      <c r="J36">
        <v>35</v>
      </c>
      <c r="K36" t="s">
        <v>66</v>
      </c>
    </row>
    <row r="37" spans="1:11" x14ac:dyDescent="0.3">
      <c r="A37">
        <v>44.191592795729107</v>
      </c>
      <c r="B37">
        <v>1.944047966300833</v>
      </c>
      <c r="C37">
        <v>3.4069750157483951</v>
      </c>
      <c r="D37">
        <v>6.8167691968452342</v>
      </c>
      <c r="E37">
        <v>6.2506088531845174</v>
      </c>
      <c r="F37">
        <v>34.807050060462068</v>
      </c>
      <c r="G37">
        <v>22.90445533746454</v>
      </c>
      <c r="H37">
        <v>27.369064457780631</v>
      </c>
      <c r="I37">
        <v>1355.807375586325</v>
      </c>
      <c r="J37">
        <v>18</v>
      </c>
      <c r="K37" t="s">
        <v>66</v>
      </c>
    </row>
    <row r="38" spans="1:11" x14ac:dyDescent="0.3">
      <c r="A38">
        <v>68.18114879437465</v>
      </c>
      <c r="B38">
        <v>2.762274023700011</v>
      </c>
      <c r="C38">
        <v>4.9104533574919218</v>
      </c>
      <c r="D38">
        <v>10.752661638625661</v>
      </c>
      <c r="E38">
        <v>5.7640642893856624</v>
      </c>
      <c r="F38">
        <v>30.831001681945089</v>
      </c>
      <c r="G38">
        <v>17.931612849731309</v>
      </c>
      <c r="H38">
        <v>29.823547028799979</v>
      </c>
      <c r="I38">
        <v>1691.183412490966</v>
      </c>
      <c r="J38">
        <v>20</v>
      </c>
      <c r="K38" t="s">
        <v>66</v>
      </c>
    </row>
    <row r="39" spans="1:11" x14ac:dyDescent="0.3">
      <c r="A39">
        <v>60.993022711123267</v>
      </c>
      <c r="B39">
        <v>2.9410600249715708</v>
      </c>
      <c r="C39">
        <v>3.6894003438028</v>
      </c>
      <c r="D39">
        <v>9.6060133187568795</v>
      </c>
      <c r="E39">
        <v>6.2315866610351458</v>
      </c>
      <c r="F39">
        <v>19.737817620655981</v>
      </c>
      <c r="G39">
        <v>24.071583938924491</v>
      </c>
      <c r="H39">
        <v>20.827926749456871</v>
      </c>
      <c r="I39">
        <v>1584.076757376472</v>
      </c>
      <c r="J39">
        <v>30</v>
      </c>
      <c r="K39" t="s">
        <v>66</v>
      </c>
    </row>
    <row r="40" spans="1:11" x14ac:dyDescent="0.3">
      <c r="A40">
        <v>52.21317654512535</v>
      </c>
      <c r="B40">
        <v>2.193891440105348</v>
      </c>
      <c r="C40">
        <v>3.00564571492218</v>
      </c>
      <c r="D40">
        <v>7.9835515541195941</v>
      </c>
      <c r="E40">
        <v>6.3164223800534938</v>
      </c>
      <c r="F40">
        <v>32.43873756154786</v>
      </c>
      <c r="G40">
        <v>22.74997730933034</v>
      </c>
      <c r="H40">
        <v>20.711004190149811</v>
      </c>
      <c r="I40">
        <v>1209.6041499192829</v>
      </c>
      <c r="J40">
        <v>18</v>
      </c>
      <c r="K40" t="s">
        <v>66</v>
      </c>
    </row>
    <row r="41" spans="1:11" x14ac:dyDescent="0.3">
      <c r="A41">
        <v>17.356226661666032</v>
      </c>
      <c r="B41">
        <v>0</v>
      </c>
      <c r="C41">
        <v>0.96123000835914385</v>
      </c>
      <c r="D41">
        <v>1.972297551078555</v>
      </c>
      <c r="E41">
        <v>5.5424324964999867</v>
      </c>
      <c r="F41">
        <v>21.71903622769749</v>
      </c>
      <c r="G41">
        <v>20.959729739365319</v>
      </c>
      <c r="H41">
        <v>26.90401560013532</v>
      </c>
      <c r="I41">
        <v>2152.2015904299228</v>
      </c>
      <c r="J41">
        <v>10</v>
      </c>
      <c r="K41" t="s">
        <v>66</v>
      </c>
    </row>
    <row r="42" spans="1:11" x14ac:dyDescent="0.3">
      <c r="A42">
        <v>29.573915123484241</v>
      </c>
      <c r="B42">
        <v>0.91049301577233954</v>
      </c>
      <c r="C42">
        <v>1.8952537394457161</v>
      </c>
      <c r="D42">
        <v>4.5569823765932274</v>
      </c>
      <c r="E42">
        <v>5.8086439494343578</v>
      </c>
      <c r="F42">
        <v>23.22926928634131</v>
      </c>
      <c r="G42">
        <v>17.972818112813311</v>
      </c>
      <c r="H42">
        <v>21.518714802570621</v>
      </c>
      <c r="I42">
        <v>1688.2914022266559</v>
      </c>
      <c r="J42">
        <v>35</v>
      </c>
      <c r="K42" t="s">
        <v>66</v>
      </c>
    </row>
    <row r="43" spans="1:11" x14ac:dyDescent="0.3">
      <c r="A43">
        <v>130.55100255431489</v>
      </c>
      <c r="B43">
        <v>4.9092124647677071</v>
      </c>
      <c r="C43">
        <v>7.2057071991315631</v>
      </c>
      <c r="D43">
        <v>19.62980470115756</v>
      </c>
      <c r="E43">
        <v>5.0284393794557198</v>
      </c>
      <c r="F43">
        <v>56.601183468495371</v>
      </c>
      <c r="G43">
        <v>19.30073508426737</v>
      </c>
      <c r="H43">
        <v>20.001483666304601</v>
      </c>
      <c r="I43">
        <v>1690.9894162951159</v>
      </c>
      <c r="J43">
        <v>12</v>
      </c>
      <c r="K43" t="s">
        <v>66</v>
      </c>
    </row>
    <row r="44" spans="1:11" x14ac:dyDescent="0.3">
      <c r="A44">
        <v>40.032539675131659</v>
      </c>
      <c r="B44">
        <v>1.877512525071912</v>
      </c>
      <c r="C44">
        <v>2.1390804949100599</v>
      </c>
      <c r="D44">
        <v>5.2700515175185743</v>
      </c>
      <c r="E44">
        <v>6.2092813188140346</v>
      </c>
      <c r="F44">
        <v>24.916480505234219</v>
      </c>
      <c r="G44">
        <v>20.225042542107889</v>
      </c>
      <c r="H44">
        <v>29.16435275407078</v>
      </c>
      <c r="I44">
        <v>2016.347696210725</v>
      </c>
      <c r="J44">
        <v>30</v>
      </c>
      <c r="K44" t="s">
        <v>66</v>
      </c>
    </row>
    <row r="45" spans="1:11" x14ac:dyDescent="0.3">
      <c r="A45">
        <v>50.134679011753903</v>
      </c>
      <c r="B45">
        <v>1.879051067092357</v>
      </c>
      <c r="C45">
        <v>3.556994230968586</v>
      </c>
      <c r="D45">
        <v>6.9236836060255751</v>
      </c>
      <c r="E45">
        <v>6.0057498623552474</v>
      </c>
      <c r="F45">
        <v>25.001980113264899</v>
      </c>
      <c r="G45">
        <v>20.33889058718232</v>
      </c>
      <c r="H45">
        <v>29.455753020028069</v>
      </c>
      <c r="I45">
        <v>2135.3853717867241</v>
      </c>
      <c r="J45">
        <v>15</v>
      </c>
      <c r="K45" t="s">
        <v>66</v>
      </c>
    </row>
    <row r="46" spans="1:11" x14ac:dyDescent="0.3">
      <c r="A46">
        <v>42.210842402919234</v>
      </c>
      <c r="B46">
        <v>1.0790371896051709</v>
      </c>
      <c r="C46">
        <v>1.959929484441167</v>
      </c>
      <c r="D46">
        <v>5.2779707258229207</v>
      </c>
      <c r="E46">
        <v>5.3486802502334996</v>
      </c>
      <c r="F46">
        <v>37.881395808426682</v>
      </c>
      <c r="G46">
        <v>25.796594300429049</v>
      </c>
      <c r="H46">
        <v>18.820130628381069</v>
      </c>
      <c r="I46">
        <v>1905.1700368051179</v>
      </c>
      <c r="J46">
        <v>40</v>
      </c>
      <c r="K46" t="s">
        <v>66</v>
      </c>
    </row>
    <row r="47" spans="1:11" x14ac:dyDescent="0.3">
      <c r="A47">
        <v>107.7864021691741</v>
      </c>
      <c r="B47">
        <v>4.3502093815362013</v>
      </c>
      <c r="C47">
        <v>6.6634163473416148</v>
      </c>
      <c r="D47">
        <v>17.557278825076011</v>
      </c>
      <c r="E47">
        <v>5.7701819205776843</v>
      </c>
      <c r="F47">
        <v>41.08154887422387</v>
      </c>
      <c r="G47">
        <v>23.813817724979941</v>
      </c>
      <c r="H47">
        <v>19.197632689257912</v>
      </c>
      <c r="I47">
        <v>2062.3035330283478</v>
      </c>
      <c r="J47">
        <v>20</v>
      </c>
      <c r="K47" t="s">
        <v>66</v>
      </c>
    </row>
    <row r="48" spans="1:11" x14ac:dyDescent="0.3">
      <c r="A48">
        <v>16.636637497782718</v>
      </c>
      <c r="B48">
        <v>0</v>
      </c>
      <c r="C48">
        <v>1.2046862195719561</v>
      </c>
      <c r="D48">
        <v>2.079629453024507</v>
      </c>
      <c r="E48">
        <v>6.2545674311988702</v>
      </c>
      <c r="F48">
        <v>21.128968436793109</v>
      </c>
      <c r="G48">
        <v>23.268988972479381</v>
      </c>
      <c r="H48">
        <v>28.37129499966365</v>
      </c>
      <c r="I48">
        <v>2051.2355676552029</v>
      </c>
      <c r="J48">
        <v>25</v>
      </c>
      <c r="K48" t="s">
        <v>66</v>
      </c>
    </row>
    <row r="49" spans="1:11" x14ac:dyDescent="0.3">
      <c r="A49">
        <v>13.88582972022227</v>
      </c>
      <c r="B49">
        <v>0</v>
      </c>
      <c r="C49">
        <v>1.0956703186385659</v>
      </c>
      <c r="D49">
        <v>1.651410493902667</v>
      </c>
      <c r="E49">
        <v>6.3220121580521367</v>
      </c>
      <c r="F49">
        <v>38.927576168125817</v>
      </c>
      <c r="G49">
        <v>22.769069682076871</v>
      </c>
      <c r="H49">
        <v>28.366893799856001</v>
      </c>
      <c r="I49">
        <v>1493.797153167639</v>
      </c>
      <c r="J49">
        <v>18</v>
      </c>
      <c r="K49" t="s">
        <v>66</v>
      </c>
    </row>
    <row r="50" spans="1:11" x14ac:dyDescent="0.3">
      <c r="A50">
        <v>7</v>
      </c>
      <c r="B50">
        <v>0</v>
      </c>
      <c r="C50">
        <v>0</v>
      </c>
      <c r="D50">
        <v>1</v>
      </c>
      <c r="E50">
        <v>6.6</v>
      </c>
      <c r="F50">
        <v>27.2</v>
      </c>
      <c r="G50">
        <v>22.6</v>
      </c>
      <c r="H50">
        <v>20</v>
      </c>
      <c r="I50">
        <v>1612</v>
      </c>
      <c r="J50">
        <v>25</v>
      </c>
      <c r="K50" t="s">
        <v>67</v>
      </c>
    </row>
    <row r="51" spans="1:11" x14ac:dyDescent="0.3">
      <c r="A51">
        <v>926.03186565029853</v>
      </c>
      <c r="B51">
        <v>47</v>
      </c>
      <c r="C51">
        <v>52.892165489669821</v>
      </c>
      <c r="D51">
        <v>153</v>
      </c>
      <c r="E51">
        <v>5.4194991094716816</v>
      </c>
      <c r="F51">
        <v>28.046855765841048</v>
      </c>
      <c r="G51">
        <v>19.086427224372819</v>
      </c>
      <c r="H51">
        <v>22.462397721068559</v>
      </c>
      <c r="I51">
        <v>1445.9173144390779</v>
      </c>
      <c r="J51">
        <v>30</v>
      </c>
      <c r="K51" t="s">
        <v>66</v>
      </c>
    </row>
    <row r="52" spans="1:11" x14ac:dyDescent="0.3">
      <c r="A52">
        <v>40.777041695663442</v>
      </c>
      <c r="B52">
        <v>2.1311801553059522</v>
      </c>
      <c r="C52">
        <v>2.384073500428852</v>
      </c>
      <c r="D52">
        <v>6.3336132581053741</v>
      </c>
      <c r="E52">
        <v>5.7179452976850769</v>
      </c>
      <c r="F52">
        <v>35.043002255571068</v>
      </c>
      <c r="G52">
        <v>21.128853083204788</v>
      </c>
      <c r="H52">
        <v>19.31013612207456</v>
      </c>
      <c r="I52">
        <v>1855.660734757706</v>
      </c>
      <c r="J52">
        <v>20</v>
      </c>
      <c r="K52" t="s">
        <v>66</v>
      </c>
    </row>
    <row r="53" spans="1:11" x14ac:dyDescent="0.3">
      <c r="A53">
        <v>22.992333789383071</v>
      </c>
      <c r="B53">
        <v>1.0800409525227681</v>
      </c>
      <c r="C53">
        <v>0.91760645130280005</v>
      </c>
      <c r="D53">
        <v>3.032150974577879</v>
      </c>
      <c r="E53">
        <v>6.2390443963151174</v>
      </c>
      <c r="F53">
        <v>35.966920620674408</v>
      </c>
      <c r="G53">
        <v>23.08523514927035</v>
      </c>
      <c r="H53">
        <v>21.93943483469651</v>
      </c>
      <c r="I53">
        <v>1647.9471148460959</v>
      </c>
      <c r="J53">
        <v>25</v>
      </c>
      <c r="K53" t="s">
        <v>66</v>
      </c>
    </row>
    <row r="54" spans="1:11" x14ac:dyDescent="0.3">
      <c r="A54">
        <v>23.849236566994719</v>
      </c>
      <c r="B54">
        <v>1.0579633173213581</v>
      </c>
      <c r="C54">
        <v>0.97618895636879455</v>
      </c>
      <c r="D54">
        <v>3.9230581110541509</v>
      </c>
      <c r="E54">
        <v>6.3873454178089961</v>
      </c>
      <c r="F54">
        <v>31.930012595546199</v>
      </c>
      <c r="G54">
        <v>18.16494855924272</v>
      </c>
      <c r="H54">
        <v>16</v>
      </c>
      <c r="I54">
        <v>1713.1859598706751</v>
      </c>
      <c r="J54">
        <v>30</v>
      </c>
      <c r="K54" t="s">
        <v>66</v>
      </c>
    </row>
    <row r="55" spans="1:11" x14ac:dyDescent="0.3">
      <c r="A55">
        <v>28.143276751759721</v>
      </c>
      <c r="B55">
        <v>0.98903901960741691</v>
      </c>
      <c r="C55">
        <v>2.0102395803762172</v>
      </c>
      <c r="D55">
        <v>3.4383041734953639</v>
      </c>
      <c r="E55">
        <v>5.5108339820701389</v>
      </c>
      <c r="F55">
        <v>32.725721187805412</v>
      </c>
      <c r="G55">
        <v>29.22170819965525</v>
      </c>
      <c r="H55">
        <v>19.853626722163259</v>
      </c>
      <c r="I55">
        <v>1862.2412944742241</v>
      </c>
      <c r="J55">
        <v>40</v>
      </c>
      <c r="K55" t="s">
        <v>66</v>
      </c>
    </row>
    <row r="56" spans="1:11" x14ac:dyDescent="0.3">
      <c r="A56">
        <v>67.695753751996421</v>
      </c>
      <c r="B56">
        <v>3.053046261641819</v>
      </c>
      <c r="C56">
        <v>3.4377747784574848</v>
      </c>
      <c r="D56">
        <v>8.2206010694927798</v>
      </c>
      <c r="E56">
        <v>5.9957555744074682</v>
      </c>
      <c r="F56">
        <v>32.32257521629483</v>
      </c>
      <c r="G56">
        <v>19.52406728167578</v>
      </c>
      <c r="H56">
        <v>19.203873464379789</v>
      </c>
      <c r="I56">
        <v>1537.284284828133</v>
      </c>
      <c r="J56">
        <v>25</v>
      </c>
      <c r="K56" t="s">
        <v>66</v>
      </c>
    </row>
    <row r="57" spans="1:11" x14ac:dyDescent="0.3">
      <c r="A57">
        <v>54.148747291886529</v>
      </c>
      <c r="B57">
        <v>2.621983711201072</v>
      </c>
      <c r="C57">
        <v>2.972446570699514</v>
      </c>
      <c r="D57">
        <v>7.5106930106443528</v>
      </c>
      <c r="E57">
        <v>6.1629695728295379</v>
      </c>
      <c r="F57">
        <v>37.0678955176285</v>
      </c>
      <c r="G57">
        <v>28.329901635113892</v>
      </c>
      <c r="H57">
        <v>27.137773015074359</v>
      </c>
      <c r="I57">
        <v>1480.7028329059519</v>
      </c>
      <c r="J57">
        <v>18</v>
      </c>
      <c r="K57" t="s">
        <v>66</v>
      </c>
    </row>
    <row r="58" spans="1:11" x14ac:dyDescent="0.3">
      <c r="A58">
        <v>50.16111119979702</v>
      </c>
      <c r="B58">
        <v>1.696130784904631</v>
      </c>
      <c r="C58">
        <v>2.799843274566749</v>
      </c>
      <c r="D58">
        <v>7.4948779555467544</v>
      </c>
      <c r="E58">
        <v>6.0894486072580412</v>
      </c>
      <c r="F58">
        <v>25.353256906163949</v>
      </c>
      <c r="G58">
        <v>18.83016886205646</v>
      </c>
      <c r="H58">
        <v>30.58284538431036</v>
      </c>
      <c r="I58">
        <v>2257</v>
      </c>
      <c r="J58">
        <v>15</v>
      </c>
      <c r="K58" t="s">
        <v>66</v>
      </c>
    </row>
    <row r="59" spans="1:11" x14ac:dyDescent="0.3">
      <c r="A59">
        <v>47.048541875787699</v>
      </c>
      <c r="B59">
        <v>1.9177146785768</v>
      </c>
      <c r="C59">
        <v>3.115914796154418</v>
      </c>
      <c r="D59">
        <v>7.9327860273655899</v>
      </c>
      <c r="E59">
        <v>6.1439475765234457</v>
      </c>
      <c r="F59">
        <v>38.812386089020869</v>
      </c>
      <c r="G59">
        <v>23.197109090882289</v>
      </c>
      <c r="H59">
        <v>21.433156953343271</v>
      </c>
      <c r="I59">
        <v>1600.3237312250019</v>
      </c>
      <c r="J59">
        <v>25</v>
      </c>
      <c r="K59" t="s">
        <v>66</v>
      </c>
    </row>
    <row r="60" spans="1:11" x14ac:dyDescent="0.3">
      <c r="A60">
        <v>100.6240481253809</v>
      </c>
      <c r="B60">
        <v>4.7822568147150779</v>
      </c>
      <c r="C60">
        <v>7.5843259284274174</v>
      </c>
      <c r="D60">
        <v>13.759886842907189</v>
      </c>
      <c r="E60">
        <v>6.2721409395579171</v>
      </c>
      <c r="F60">
        <v>25.87518903470831</v>
      </c>
      <c r="G60">
        <v>19.69316431750563</v>
      </c>
      <c r="H60">
        <v>28.147803704971501</v>
      </c>
      <c r="I60">
        <v>2020.225233821548</v>
      </c>
      <c r="J60">
        <v>30</v>
      </c>
      <c r="K60" t="s">
        <v>66</v>
      </c>
    </row>
    <row r="61" spans="1:11" x14ac:dyDescent="0.3">
      <c r="A61">
        <v>14.891729691057041</v>
      </c>
      <c r="B61">
        <v>0</v>
      </c>
      <c r="C61">
        <v>0.98037193486120633</v>
      </c>
      <c r="D61">
        <v>1.9231086242045821</v>
      </c>
      <c r="E61">
        <v>5.9283353622363499</v>
      </c>
      <c r="F61">
        <v>35.00021533587411</v>
      </c>
      <c r="G61">
        <v>25.058779270498849</v>
      </c>
      <c r="H61">
        <v>26.42326738123985</v>
      </c>
      <c r="I61">
        <v>1474.099434166641</v>
      </c>
      <c r="J61">
        <v>18</v>
      </c>
      <c r="K61" t="s">
        <v>66</v>
      </c>
    </row>
    <row r="62" spans="1:11" x14ac:dyDescent="0.3">
      <c r="A62">
        <v>87.632765111373061</v>
      </c>
      <c r="B62">
        <v>3.7482946425228851</v>
      </c>
      <c r="C62">
        <v>6.2134013691379373</v>
      </c>
      <c r="D62">
        <v>15.63451375218103</v>
      </c>
      <c r="E62">
        <v>7.0031474060569341</v>
      </c>
      <c r="F62">
        <v>14.99412465982236</v>
      </c>
      <c r="G62">
        <v>34.103665001674941</v>
      </c>
      <c r="H62">
        <v>31.898516721540641</v>
      </c>
      <c r="I62">
        <v>45.860791257648209</v>
      </c>
      <c r="J62">
        <v>0</v>
      </c>
      <c r="K62" t="s">
        <v>66</v>
      </c>
    </row>
    <row r="63" spans="1:11" x14ac:dyDescent="0.3">
      <c r="A63">
        <v>90.284967500377874</v>
      </c>
      <c r="B63">
        <v>4.3038849181936669</v>
      </c>
      <c r="C63">
        <v>5.1328768413526644</v>
      </c>
      <c r="D63">
        <v>15.69698088592688</v>
      </c>
      <c r="E63">
        <v>7.0616120720903996</v>
      </c>
      <c r="F63">
        <v>15.605761524832779</v>
      </c>
      <c r="G63">
        <v>35.604487216437292</v>
      </c>
      <c r="H63">
        <v>33.038223577201137</v>
      </c>
      <c r="I63">
        <v>48.208812956101227</v>
      </c>
      <c r="J63">
        <v>0</v>
      </c>
      <c r="K63" t="s">
        <v>66</v>
      </c>
    </row>
    <row r="64" spans="1:11" x14ac:dyDescent="0.3">
      <c r="A64">
        <v>45.773141151529039</v>
      </c>
      <c r="B64">
        <v>1.798691486944072</v>
      </c>
      <c r="C64">
        <v>3.069433776757672</v>
      </c>
      <c r="D64">
        <v>6.5230338354512982</v>
      </c>
      <c r="E64">
        <v>6.249881241572961</v>
      </c>
      <c r="F64">
        <v>31.981629989223048</v>
      </c>
      <c r="G64">
        <v>21.400243310453401</v>
      </c>
      <c r="H64">
        <v>26.743839097980349</v>
      </c>
      <c r="I64">
        <v>1364.4196984717539</v>
      </c>
      <c r="J64">
        <v>18</v>
      </c>
      <c r="K64" t="s">
        <v>66</v>
      </c>
    </row>
    <row r="65" spans="1:11" x14ac:dyDescent="0.3">
      <c r="A65">
        <v>66.078576814541989</v>
      </c>
      <c r="B65">
        <v>3.0001583876569788</v>
      </c>
      <c r="C65">
        <v>4.2133436978821797</v>
      </c>
      <c r="D65">
        <v>9.7913316287795347</v>
      </c>
      <c r="E65">
        <v>5.5552587640874256</v>
      </c>
      <c r="F65">
        <v>30.835573140866732</v>
      </c>
      <c r="G65">
        <v>20.194607426716949</v>
      </c>
      <c r="H65">
        <v>19.988997160019771</v>
      </c>
      <c r="I65">
        <v>1505.1457654230089</v>
      </c>
      <c r="J65">
        <v>25</v>
      </c>
      <c r="K65" t="s">
        <v>66</v>
      </c>
    </row>
    <row r="66" spans="1:11" x14ac:dyDescent="0.3">
      <c r="A66">
        <v>97</v>
      </c>
      <c r="B66">
        <v>4</v>
      </c>
      <c r="C66">
        <v>6</v>
      </c>
      <c r="D66">
        <v>15</v>
      </c>
      <c r="E66">
        <v>5.8</v>
      </c>
      <c r="F66">
        <v>35.1</v>
      </c>
      <c r="G66">
        <v>24.5</v>
      </c>
      <c r="H66">
        <v>25.1</v>
      </c>
      <c r="I66">
        <v>682</v>
      </c>
      <c r="J66">
        <v>25</v>
      </c>
      <c r="K66" t="s">
        <v>67</v>
      </c>
    </row>
    <row r="67" spans="1:11" x14ac:dyDescent="0.3">
      <c r="A67">
        <v>18</v>
      </c>
      <c r="B67">
        <v>0</v>
      </c>
      <c r="C67">
        <v>1</v>
      </c>
      <c r="D67">
        <v>2</v>
      </c>
      <c r="E67">
        <v>6.2</v>
      </c>
      <c r="F67">
        <v>22.2</v>
      </c>
      <c r="G67">
        <v>22.8</v>
      </c>
      <c r="H67">
        <v>28.7</v>
      </c>
      <c r="I67">
        <v>2074</v>
      </c>
      <c r="J67">
        <v>25</v>
      </c>
      <c r="K67" t="s">
        <v>67</v>
      </c>
    </row>
    <row r="68" spans="1:11" x14ac:dyDescent="0.3">
      <c r="A68">
        <v>79.794867811392038</v>
      </c>
      <c r="B68">
        <v>4.7021902793261958</v>
      </c>
      <c r="C68">
        <v>5.1537017848598454</v>
      </c>
      <c r="D68">
        <v>13.170856053203099</v>
      </c>
      <c r="E68">
        <v>5.937950269505671</v>
      </c>
      <c r="F68">
        <v>28.59065224911906</v>
      </c>
      <c r="G68">
        <v>24.770737271308811</v>
      </c>
      <c r="H68">
        <v>28.0782760582278</v>
      </c>
      <c r="I68">
        <v>1397.027950695654</v>
      </c>
      <c r="J68">
        <v>18</v>
      </c>
      <c r="K68" t="s">
        <v>66</v>
      </c>
    </row>
    <row r="69" spans="1:11" x14ac:dyDescent="0.3">
      <c r="A69">
        <v>28.660501412423692</v>
      </c>
      <c r="B69">
        <v>1.3193107567844859</v>
      </c>
      <c r="C69">
        <v>1.80242533181985</v>
      </c>
      <c r="D69">
        <v>4.037191698611764</v>
      </c>
      <c r="E69">
        <v>6.1868485694831179</v>
      </c>
      <c r="F69">
        <v>23.4340790633821</v>
      </c>
      <c r="G69">
        <v>18.065170119059339</v>
      </c>
      <c r="H69">
        <v>27.321315914992169</v>
      </c>
      <c r="I69">
        <v>1627.716133429929</v>
      </c>
      <c r="J69">
        <v>20</v>
      </c>
      <c r="K69" t="s">
        <v>66</v>
      </c>
    </row>
    <row r="70" spans="1:11" x14ac:dyDescent="0.3">
      <c r="A70">
        <v>60.378795061960247</v>
      </c>
      <c r="B70">
        <v>3.1367712585512111</v>
      </c>
      <c r="C70">
        <v>3.6100773696308628</v>
      </c>
      <c r="D70">
        <v>7.7054299498848966</v>
      </c>
      <c r="E70">
        <v>6.0970370475282563</v>
      </c>
      <c r="F70">
        <v>36.15681362078017</v>
      </c>
      <c r="G70">
        <v>17.956013766599941</v>
      </c>
      <c r="H70">
        <v>18.588015254396641</v>
      </c>
      <c r="I70">
        <v>2089.634283426476</v>
      </c>
      <c r="J70">
        <v>20</v>
      </c>
      <c r="K70" t="s">
        <v>66</v>
      </c>
    </row>
    <row r="71" spans="1:11" x14ac:dyDescent="0.3">
      <c r="A71">
        <v>88.888595410527358</v>
      </c>
      <c r="B71">
        <v>4.5856708955009751</v>
      </c>
      <c r="C71">
        <v>7.4094454720204546</v>
      </c>
      <c r="D71">
        <v>18.33761920769976</v>
      </c>
      <c r="E71">
        <v>6.7489319945497224</v>
      </c>
      <c r="F71">
        <v>30.925939948089169</v>
      </c>
      <c r="G71">
        <v>18.909729698967709</v>
      </c>
      <c r="H71">
        <v>19.242904420107418</v>
      </c>
      <c r="I71">
        <v>1893.8816620123371</v>
      </c>
      <c r="J71">
        <v>20</v>
      </c>
      <c r="K71" t="s">
        <v>66</v>
      </c>
    </row>
    <row r="72" spans="1:11" x14ac:dyDescent="0.3">
      <c r="A72">
        <v>30</v>
      </c>
      <c r="B72">
        <v>1</v>
      </c>
      <c r="C72">
        <v>2</v>
      </c>
      <c r="D72">
        <v>4</v>
      </c>
      <c r="E72">
        <v>6</v>
      </c>
      <c r="F72">
        <v>20.9</v>
      </c>
      <c r="G72">
        <v>20</v>
      </c>
      <c r="H72">
        <v>19.2</v>
      </c>
      <c r="I72">
        <v>1960</v>
      </c>
      <c r="J72">
        <v>40</v>
      </c>
      <c r="K72" t="s">
        <v>67</v>
      </c>
    </row>
    <row r="73" spans="1:11" x14ac:dyDescent="0.3">
      <c r="A73">
        <v>11.60914919783133</v>
      </c>
      <c r="B73">
        <v>0</v>
      </c>
      <c r="C73">
        <v>0</v>
      </c>
      <c r="D73">
        <v>1.2927270092473331</v>
      </c>
      <c r="E73">
        <v>6.2835597070837332</v>
      </c>
      <c r="F73">
        <v>24.738921724861889</v>
      </c>
      <c r="G73">
        <v>19.421918313985952</v>
      </c>
      <c r="H73">
        <v>30.221237299634751</v>
      </c>
      <c r="I73">
        <v>2257</v>
      </c>
      <c r="J73">
        <v>15</v>
      </c>
      <c r="K73" t="s">
        <v>66</v>
      </c>
    </row>
    <row r="74" spans="1:11" x14ac:dyDescent="0.3">
      <c r="A74">
        <v>74.73214292323236</v>
      </c>
      <c r="B74">
        <v>3.2623551222397569</v>
      </c>
      <c r="C74">
        <v>5.2574417980381858</v>
      </c>
      <c r="D74">
        <v>9.7745105059436028</v>
      </c>
      <c r="E74">
        <v>6.6310801649546667</v>
      </c>
      <c r="F74">
        <v>27.792349839218879</v>
      </c>
      <c r="G74">
        <v>22.11320471115863</v>
      </c>
      <c r="H74">
        <v>20.17674608032419</v>
      </c>
      <c r="I74">
        <v>1566.9202771739849</v>
      </c>
      <c r="J74">
        <v>40</v>
      </c>
      <c r="K74" t="s">
        <v>66</v>
      </c>
    </row>
    <row r="75" spans="1:11" x14ac:dyDescent="0.3">
      <c r="A75">
        <v>13.53433910399642</v>
      </c>
      <c r="B75">
        <v>0</v>
      </c>
      <c r="C75">
        <v>0</v>
      </c>
      <c r="D75">
        <v>2.1422821158930989</v>
      </c>
      <c r="E75">
        <v>5.3125497177371326</v>
      </c>
      <c r="F75">
        <v>30.079668316981572</v>
      </c>
      <c r="G75">
        <v>18.892243507856989</v>
      </c>
      <c r="H75">
        <v>25.754572369309781</v>
      </c>
      <c r="I75">
        <v>2245.4900350476419</v>
      </c>
      <c r="J75">
        <v>10</v>
      </c>
      <c r="K75" t="s">
        <v>66</v>
      </c>
    </row>
    <row r="76" spans="1:11" x14ac:dyDescent="0.3">
      <c r="A76">
        <v>96.537816667923281</v>
      </c>
      <c r="B76">
        <v>4.3687206007909012</v>
      </c>
      <c r="C76">
        <v>5.9335124638325478</v>
      </c>
      <c r="D76">
        <v>12.346424544390899</v>
      </c>
      <c r="E76">
        <v>5.9520948264060189</v>
      </c>
      <c r="F76">
        <v>36.270699904638263</v>
      </c>
      <c r="G76">
        <v>23.681897885627421</v>
      </c>
      <c r="H76">
        <v>25.486681591048821</v>
      </c>
      <c r="I76">
        <v>671.07135429215225</v>
      </c>
      <c r="J76">
        <v>25</v>
      </c>
      <c r="K76" t="s">
        <v>66</v>
      </c>
    </row>
    <row r="77" spans="1:11" x14ac:dyDescent="0.3">
      <c r="A77">
        <v>104.6374225929688</v>
      </c>
      <c r="B77">
        <v>4.8522598409854201</v>
      </c>
      <c r="C77">
        <v>6.6264797854925828</v>
      </c>
      <c r="D77">
        <v>18.38862291943267</v>
      </c>
      <c r="E77">
        <v>6.0069350210434047</v>
      </c>
      <c r="F77">
        <v>41.442074322915893</v>
      </c>
      <c r="G77">
        <v>25.144254041166629</v>
      </c>
      <c r="H77">
        <v>18.363843419639021</v>
      </c>
      <c r="I77">
        <v>2203.3101360757828</v>
      </c>
      <c r="J77">
        <v>20</v>
      </c>
      <c r="K77" t="s">
        <v>66</v>
      </c>
    </row>
    <row r="78" spans="1:11" x14ac:dyDescent="0.3">
      <c r="A78">
        <v>51.881476357475712</v>
      </c>
      <c r="B78">
        <v>2.0655642345686172</v>
      </c>
      <c r="C78">
        <v>3.2959129517717809</v>
      </c>
      <c r="D78">
        <v>8.0233524031484542</v>
      </c>
      <c r="E78">
        <v>6.6579678176484549</v>
      </c>
      <c r="F78">
        <v>20.28076346189906</v>
      </c>
      <c r="G78">
        <v>23.679497473777069</v>
      </c>
      <c r="H78">
        <v>21.03277300977696</v>
      </c>
      <c r="I78">
        <v>1738.950242583757</v>
      </c>
      <c r="J78">
        <v>25</v>
      </c>
      <c r="K78" t="s">
        <v>66</v>
      </c>
    </row>
    <row r="79" spans="1:11" x14ac:dyDescent="0.3">
      <c r="A79">
        <v>75.615080568331408</v>
      </c>
      <c r="B79">
        <v>2.467129430130504</v>
      </c>
      <c r="C79">
        <v>6.0076375552303203</v>
      </c>
      <c r="D79">
        <v>10.38218754548701</v>
      </c>
      <c r="E79">
        <v>5.4688532926632138</v>
      </c>
      <c r="F79">
        <v>28.377023581617269</v>
      </c>
      <c r="G79">
        <v>19.347953631463849</v>
      </c>
      <c r="H79">
        <v>18.34461938199323</v>
      </c>
      <c r="I79">
        <v>1911.7632517175291</v>
      </c>
      <c r="J79">
        <v>20</v>
      </c>
      <c r="K79" t="s">
        <v>66</v>
      </c>
    </row>
    <row r="80" spans="1:11" x14ac:dyDescent="0.3">
      <c r="A80">
        <v>6.0039005675633721</v>
      </c>
      <c r="B80">
        <v>0</v>
      </c>
      <c r="C80">
        <v>0</v>
      </c>
      <c r="D80">
        <v>0</v>
      </c>
      <c r="E80">
        <v>6.0285653168030437</v>
      </c>
      <c r="F80">
        <v>21.62193554445145</v>
      </c>
      <c r="G80">
        <v>21.645607690737489</v>
      </c>
      <c r="H80">
        <v>25.6969644876473</v>
      </c>
      <c r="I80">
        <v>1852.077450522783</v>
      </c>
      <c r="J80">
        <v>20</v>
      </c>
      <c r="K80" t="s">
        <v>66</v>
      </c>
    </row>
    <row r="81" spans="1:11" x14ac:dyDescent="0.3">
      <c r="A81">
        <v>33.327048929893593</v>
      </c>
      <c r="B81">
        <v>0.77881380886704932</v>
      </c>
      <c r="C81">
        <v>2.0015760369389461</v>
      </c>
      <c r="D81">
        <v>4.574230010110341</v>
      </c>
      <c r="E81">
        <v>5.3666208464322684</v>
      </c>
      <c r="F81">
        <v>27.1183319819148</v>
      </c>
      <c r="G81">
        <v>18.246088169149651</v>
      </c>
      <c r="H81">
        <v>26.05570824941325</v>
      </c>
      <c r="I81">
        <v>1838.23178663261</v>
      </c>
      <c r="J81">
        <v>20</v>
      </c>
      <c r="K81" t="s">
        <v>66</v>
      </c>
    </row>
    <row r="82" spans="1:11" x14ac:dyDescent="0.3">
      <c r="A82">
        <v>82.674411358055991</v>
      </c>
      <c r="B82">
        <v>3.8119831408961988</v>
      </c>
      <c r="C82">
        <v>4.6649423997728832</v>
      </c>
      <c r="D82">
        <v>12.825519566461709</v>
      </c>
      <c r="E82">
        <v>6.2989489315681562</v>
      </c>
      <c r="F82">
        <v>15.27344826507176</v>
      </c>
      <c r="G82">
        <v>35.494978543857478</v>
      </c>
      <c r="H82">
        <v>30.668522777911679</v>
      </c>
      <c r="I82">
        <v>47.365418993718997</v>
      </c>
      <c r="J82">
        <v>0</v>
      </c>
      <c r="K82" t="s">
        <v>66</v>
      </c>
    </row>
    <row r="83" spans="1:11" x14ac:dyDescent="0.3">
      <c r="A83">
        <v>70.078906218009024</v>
      </c>
      <c r="B83">
        <v>2.8751416785344239</v>
      </c>
      <c r="C83">
        <v>3.8330278472042272</v>
      </c>
      <c r="D83">
        <v>11.17181014327385</v>
      </c>
      <c r="E83">
        <v>6.1143984707428469</v>
      </c>
      <c r="F83">
        <v>31.716152564313909</v>
      </c>
      <c r="G83">
        <v>18.707847132233269</v>
      </c>
      <c r="H83">
        <v>20.319995018368608</v>
      </c>
      <c r="I83">
        <v>1580.802651916262</v>
      </c>
      <c r="J83">
        <v>25</v>
      </c>
      <c r="K83" t="s">
        <v>66</v>
      </c>
    </row>
    <row r="84" spans="1:11" x14ac:dyDescent="0.3">
      <c r="A84">
        <v>14.962321417913151</v>
      </c>
      <c r="B84">
        <v>0</v>
      </c>
      <c r="C84">
        <v>0.91718037270347652</v>
      </c>
      <c r="D84">
        <v>2.0855628790305811</v>
      </c>
      <c r="E84">
        <v>6.24288245119015</v>
      </c>
      <c r="F84">
        <v>37.898567047271918</v>
      </c>
      <c r="G84">
        <v>24.244253478929281</v>
      </c>
      <c r="H84">
        <v>26.60276501613567</v>
      </c>
      <c r="I84">
        <v>1489.980135603442</v>
      </c>
      <c r="J84">
        <v>18</v>
      </c>
      <c r="K84" t="s">
        <v>66</v>
      </c>
    </row>
    <row r="85" spans="1:11" x14ac:dyDescent="0.3">
      <c r="A85">
        <v>21</v>
      </c>
      <c r="B85">
        <v>1</v>
      </c>
      <c r="C85">
        <v>1</v>
      </c>
      <c r="D85">
        <v>3</v>
      </c>
      <c r="E85">
        <v>6</v>
      </c>
      <c r="F85">
        <v>20.100000000000001</v>
      </c>
      <c r="G85">
        <v>20.3</v>
      </c>
      <c r="H85">
        <v>19.2</v>
      </c>
      <c r="I85">
        <v>1960</v>
      </c>
      <c r="J85">
        <v>40</v>
      </c>
      <c r="K85" t="s">
        <v>67</v>
      </c>
    </row>
    <row r="86" spans="1:11" x14ac:dyDescent="0.3">
      <c r="A86">
        <v>22.582784595706809</v>
      </c>
      <c r="B86">
        <v>1.0020886488295959</v>
      </c>
      <c r="C86">
        <v>0.91869856277398698</v>
      </c>
      <c r="D86">
        <v>2.6711339025394309</v>
      </c>
      <c r="E86">
        <v>6.1656657198846689</v>
      </c>
      <c r="F86">
        <v>30.38116752056764</v>
      </c>
      <c r="G86">
        <v>23.641902259097851</v>
      </c>
      <c r="H86">
        <v>22.20902574319199</v>
      </c>
      <c r="I86">
        <v>1698.539895445158</v>
      </c>
      <c r="J86">
        <v>17</v>
      </c>
      <c r="K86" t="s">
        <v>66</v>
      </c>
    </row>
    <row r="87" spans="1:11" x14ac:dyDescent="0.3">
      <c r="A87">
        <v>54.146082507368881</v>
      </c>
      <c r="B87">
        <v>1.785451394852039</v>
      </c>
      <c r="C87">
        <v>2.9689706327129151</v>
      </c>
      <c r="D87">
        <v>8.8271048439393667</v>
      </c>
      <c r="E87">
        <v>6.5650799413709766</v>
      </c>
      <c r="F87">
        <v>19.610167950615711</v>
      </c>
      <c r="G87">
        <v>23.48070275506792</v>
      </c>
      <c r="H87">
        <v>20.725409866361709</v>
      </c>
      <c r="I87">
        <v>1713.067972101124</v>
      </c>
      <c r="J87">
        <v>25</v>
      </c>
      <c r="K87" t="s">
        <v>66</v>
      </c>
    </row>
    <row r="88" spans="1:11" x14ac:dyDescent="0.3">
      <c r="A88">
        <v>0</v>
      </c>
      <c r="B88">
        <v>0</v>
      </c>
      <c r="C88">
        <v>0</v>
      </c>
      <c r="D88">
        <v>0</v>
      </c>
      <c r="E88">
        <v>6.1785671363230508</v>
      </c>
      <c r="F88">
        <v>22.27309604184271</v>
      </c>
      <c r="G88">
        <v>30.71590561801035</v>
      </c>
      <c r="H88">
        <v>34.5</v>
      </c>
      <c r="I88">
        <v>1808.9326850383991</v>
      </c>
      <c r="J88">
        <v>26</v>
      </c>
      <c r="K88" t="s">
        <v>66</v>
      </c>
    </row>
    <row r="89" spans="1:11" x14ac:dyDescent="0.3">
      <c r="A89">
        <v>105.8419645976811</v>
      </c>
      <c r="B89">
        <v>5.2098049860120588</v>
      </c>
      <c r="C89">
        <v>7.4045849665476897</v>
      </c>
      <c r="D89">
        <v>18.033328575849509</v>
      </c>
      <c r="E89">
        <v>5.949547553963197</v>
      </c>
      <c r="F89">
        <v>40.552328461686663</v>
      </c>
      <c r="G89">
        <v>25.177271085724161</v>
      </c>
      <c r="H89">
        <v>19.12547363686803</v>
      </c>
      <c r="I89">
        <v>2017.2477541020701</v>
      </c>
      <c r="J89">
        <v>20</v>
      </c>
      <c r="K89" t="s">
        <v>66</v>
      </c>
    </row>
    <row r="90" spans="1:11" x14ac:dyDescent="0.3">
      <c r="A90">
        <v>44.022512734243087</v>
      </c>
      <c r="B90">
        <v>1.881507148169421</v>
      </c>
      <c r="C90">
        <v>2.8394049862297019</v>
      </c>
      <c r="D90">
        <v>7.0546824146652112</v>
      </c>
      <c r="E90">
        <v>5.9336010420194976</v>
      </c>
      <c r="F90">
        <v>24.563021492464831</v>
      </c>
      <c r="G90">
        <v>20.44708817730638</v>
      </c>
      <c r="H90">
        <v>21.4728972060188</v>
      </c>
      <c r="I90">
        <v>1557.6669814964191</v>
      </c>
      <c r="J90">
        <v>18</v>
      </c>
      <c r="K90" t="s">
        <v>66</v>
      </c>
    </row>
    <row r="91" spans="1:11" x14ac:dyDescent="0.3">
      <c r="A91">
        <v>25.922298719873091</v>
      </c>
      <c r="B91">
        <v>1.17193779062073</v>
      </c>
      <c r="C91">
        <v>1.142050428727106</v>
      </c>
      <c r="D91">
        <v>4.8914205964315718</v>
      </c>
      <c r="E91">
        <v>5.8107915257041212</v>
      </c>
      <c r="F91">
        <v>20.80062373031215</v>
      </c>
      <c r="G91">
        <v>20.471475010607971</v>
      </c>
      <c r="H91">
        <v>26.198574140035738</v>
      </c>
      <c r="I91">
        <v>2173.617436860171</v>
      </c>
      <c r="J91">
        <v>10</v>
      </c>
      <c r="K91" t="s">
        <v>66</v>
      </c>
    </row>
    <row r="92" spans="1:11" x14ac:dyDescent="0.3">
      <c r="A92">
        <v>34.336744093305363</v>
      </c>
      <c r="B92">
        <v>0.94958201689923283</v>
      </c>
      <c r="C92">
        <v>1.693459888022014</v>
      </c>
      <c r="D92">
        <v>4.6442689029581476</v>
      </c>
      <c r="E92">
        <v>5.4034767575628804</v>
      </c>
      <c r="F92">
        <v>27.51807025173084</v>
      </c>
      <c r="G92">
        <v>21.300148507352041</v>
      </c>
      <c r="H92">
        <v>25.523272968244779</v>
      </c>
      <c r="I92">
        <v>1828.472651155422</v>
      </c>
      <c r="J92">
        <v>20</v>
      </c>
      <c r="K92" t="s">
        <v>66</v>
      </c>
    </row>
    <row r="93" spans="1:11" x14ac:dyDescent="0.3">
      <c r="A93">
        <v>87.432095528617126</v>
      </c>
      <c r="B93">
        <v>4.2861525261764966</v>
      </c>
      <c r="C93">
        <v>5.7776503425595296</v>
      </c>
      <c r="D93">
        <v>10.401444421080379</v>
      </c>
      <c r="E93">
        <v>6.636030058012321</v>
      </c>
      <c r="F93">
        <v>38.233718696678693</v>
      </c>
      <c r="G93">
        <v>21.637038633339749</v>
      </c>
      <c r="H93">
        <v>30.08092868391763</v>
      </c>
      <c r="I93">
        <v>2049.731579650469</v>
      </c>
      <c r="J93">
        <v>25</v>
      </c>
      <c r="K93" t="s">
        <v>66</v>
      </c>
    </row>
    <row r="94" spans="1:11" x14ac:dyDescent="0.3">
      <c r="A94">
        <v>69.478029368882616</v>
      </c>
      <c r="B94">
        <v>3.11772479015363</v>
      </c>
      <c r="C94">
        <v>5.1293305739276942</v>
      </c>
      <c r="D94">
        <v>10.54627308692327</v>
      </c>
      <c r="E94">
        <v>6.0291862232628244</v>
      </c>
      <c r="F94">
        <v>31.437940377320281</v>
      </c>
      <c r="G94">
        <v>17.768302477817919</v>
      </c>
      <c r="H94">
        <v>27.96169693175645</v>
      </c>
      <c r="I94">
        <v>1631.025564351731</v>
      </c>
      <c r="J94">
        <v>20</v>
      </c>
      <c r="K94" t="s">
        <v>66</v>
      </c>
    </row>
    <row r="95" spans="1:11" x14ac:dyDescent="0.3">
      <c r="A95">
        <v>29.22358305144574</v>
      </c>
      <c r="B95">
        <v>0.96128693502104856</v>
      </c>
      <c r="C95">
        <v>2.119098179527851</v>
      </c>
      <c r="D95">
        <v>4.389490492340947</v>
      </c>
      <c r="E95">
        <v>5.2997522435264148</v>
      </c>
      <c r="F95">
        <v>31.143345027493609</v>
      </c>
      <c r="G95">
        <v>17.972887155046351</v>
      </c>
      <c r="H95">
        <v>21.67620431142403</v>
      </c>
      <c r="I95">
        <v>1809.934751380953</v>
      </c>
      <c r="J95">
        <v>35</v>
      </c>
      <c r="K95" t="s">
        <v>66</v>
      </c>
    </row>
    <row r="96" spans="1:11" x14ac:dyDescent="0.3">
      <c r="A96">
        <v>20.39761499586449</v>
      </c>
      <c r="B96">
        <v>1.0463184795267579</v>
      </c>
      <c r="C96">
        <v>1.0892067599731721</v>
      </c>
      <c r="D96">
        <v>2.858938998364406</v>
      </c>
      <c r="E96">
        <v>6.2959626612942587</v>
      </c>
      <c r="F96">
        <v>47.919248707856752</v>
      </c>
      <c r="G96">
        <v>22.464075384351631</v>
      </c>
      <c r="H96">
        <v>20.178477997962919</v>
      </c>
      <c r="I96">
        <v>1278.191818612358</v>
      </c>
      <c r="J96">
        <v>30</v>
      </c>
      <c r="K96" t="s">
        <v>66</v>
      </c>
    </row>
    <row r="97" spans="1:11" x14ac:dyDescent="0.3">
      <c r="A97">
        <v>0</v>
      </c>
      <c r="B97">
        <v>0</v>
      </c>
      <c r="C97">
        <v>0</v>
      </c>
      <c r="D97">
        <v>0</v>
      </c>
      <c r="E97">
        <v>5.9804603389157656</v>
      </c>
      <c r="F97">
        <v>24.763710217287251</v>
      </c>
      <c r="G97">
        <v>28.771090375357261</v>
      </c>
      <c r="H97">
        <v>33.942418299841442</v>
      </c>
      <c r="I97">
        <v>1807.235442695991</v>
      </c>
      <c r="J97">
        <v>26</v>
      </c>
      <c r="K97" t="s">
        <v>66</v>
      </c>
    </row>
    <row r="98" spans="1:11" x14ac:dyDescent="0.3">
      <c r="A98">
        <v>54.93263830602789</v>
      </c>
      <c r="B98">
        <v>2.0904743592499471</v>
      </c>
      <c r="C98">
        <v>3.3174354975261449</v>
      </c>
      <c r="D98">
        <v>6.9195552285256134</v>
      </c>
      <c r="E98">
        <v>5.5238342637592739</v>
      </c>
      <c r="F98">
        <v>59.216148776107978</v>
      </c>
      <c r="G98">
        <v>21.94890723353825</v>
      </c>
      <c r="H98">
        <v>17.946883904455159</v>
      </c>
      <c r="I98">
        <v>2051.3494885213659</v>
      </c>
      <c r="J98">
        <v>40</v>
      </c>
      <c r="K98" t="s">
        <v>66</v>
      </c>
    </row>
    <row r="99" spans="1:11" x14ac:dyDescent="0.3">
      <c r="A99">
        <v>37.659773947881277</v>
      </c>
      <c r="B99">
        <v>0.91754858384723259</v>
      </c>
      <c r="C99">
        <v>1.880717718406224</v>
      </c>
      <c r="D99">
        <v>6.5784935305031871</v>
      </c>
      <c r="E99">
        <v>6.0136764801753326</v>
      </c>
      <c r="F99">
        <v>26.515502827380779</v>
      </c>
      <c r="G99">
        <v>20.42586667578032</v>
      </c>
      <c r="H99">
        <v>18.92151659424324</v>
      </c>
      <c r="I99">
        <v>1981.591863139193</v>
      </c>
      <c r="J99">
        <v>40</v>
      </c>
      <c r="K99" t="s">
        <v>66</v>
      </c>
    </row>
    <row r="100" spans="1:11" x14ac:dyDescent="0.3">
      <c r="A100">
        <v>87.57050045217342</v>
      </c>
      <c r="B100">
        <v>3.7230316080504582</v>
      </c>
      <c r="C100">
        <v>6.0834362391920509</v>
      </c>
      <c r="D100">
        <v>12.812708162757289</v>
      </c>
      <c r="E100">
        <v>6.2252165730398472</v>
      </c>
      <c r="F100">
        <v>32.481139512616153</v>
      </c>
      <c r="G100">
        <v>21.078726383495191</v>
      </c>
      <c r="H100">
        <v>20.010938598282269</v>
      </c>
      <c r="I100">
        <v>1544.335576405349</v>
      </c>
      <c r="J100">
        <v>40</v>
      </c>
      <c r="K100" t="s">
        <v>66</v>
      </c>
    </row>
    <row r="101" spans="1:11" x14ac:dyDescent="0.3">
      <c r="A101">
        <v>61.385805852840853</v>
      </c>
      <c r="B101">
        <v>2.6032626129769292</v>
      </c>
      <c r="C101">
        <v>3.5840773875892462</v>
      </c>
      <c r="D101">
        <v>9.9474949314613479</v>
      </c>
      <c r="E101">
        <v>5.9404382480948943</v>
      </c>
      <c r="F101">
        <v>44.20363116498033</v>
      </c>
      <c r="G101">
        <v>20.818164377119821</v>
      </c>
      <c r="H101">
        <v>20.549396537164501</v>
      </c>
      <c r="I101">
        <v>1785.1846410282119</v>
      </c>
      <c r="J101">
        <v>10</v>
      </c>
      <c r="K101" t="s">
        <v>66</v>
      </c>
    </row>
    <row r="102" spans="1:11" x14ac:dyDescent="0.3">
      <c r="A102">
        <v>25.981727602473871</v>
      </c>
      <c r="B102">
        <v>1.0342337834489621</v>
      </c>
      <c r="C102">
        <v>0.8417823236653873</v>
      </c>
      <c r="D102">
        <v>4.2410321071913364</v>
      </c>
      <c r="E102">
        <v>5.853000013360794</v>
      </c>
      <c r="F102">
        <v>19.077216603139622</v>
      </c>
      <c r="G102">
        <v>30.62556885711636</v>
      </c>
      <c r="H102">
        <v>25.87096923929812</v>
      </c>
      <c r="I102">
        <v>707.6308913728775</v>
      </c>
      <c r="J102">
        <v>0</v>
      </c>
      <c r="K102" t="s">
        <v>66</v>
      </c>
    </row>
    <row r="103" spans="1:11" x14ac:dyDescent="0.3">
      <c r="A103">
        <v>11.053392652141421</v>
      </c>
      <c r="B103">
        <v>0</v>
      </c>
      <c r="C103">
        <v>0</v>
      </c>
      <c r="D103">
        <v>1.166373283214347</v>
      </c>
      <c r="E103">
        <v>6.4741028670171188</v>
      </c>
      <c r="F103">
        <v>15.49596125492133</v>
      </c>
      <c r="G103">
        <v>21.778691261670151</v>
      </c>
      <c r="H103">
        <v>21.837606573701429</v>
      </c>
      <c r="I103">
        <v>1561.41604476471</v>
      </c>
      <c r="J103">
        <v>30</v>
      </c>
      <c r="K103" t="s">
        <v>66</v>
      </c>
    </row>
    <row r="104" spans="1:11" x14ac:dyDescent="0.3">
      <c r="A104">
        <v>12.50388154824736</v>
      </c>
      <c r="B104">
        <v>0</v>
      </c>
      <c r="C104">
        <v>0</v>
      </c>
      <c r="D104">
        <v>1.892081755852574</v>
      </c>
      <c r="E104">
        <v>5.4210683079456414</v>
      </c>
      <c r="F104">
        <v>27.797186542795469</v>
      </c>
      <c r="G104">
        <v>19.52434744325771</v>
      </c>
      <c r="H104">
        <v>26.927913626580711</v>
      </c>
      <c r="I104">
        <v>2154.1826441889539</v>
      </c>
      <c r="J104">
        <v>10</v>
      </c>
      <c r="K104" t="s">
        <v>66</v>
      </c>
    </row>
    <row r="105" spans="1:11" x14ac:dyDescent="0.3">
      <c r="A105">
        <v>49.057575871962349</v>
      </c>
      <c r="B105">
        <v>1.995289569825152</v>
      </c>
      <c r="C105">
        <v>2.5152339637768582</v>
      </c>
      <c r="D105">
        <v>6.9083519364117114</v>
      </c>
      <c r="E105">
        <v>5.9456171751288132</v>
      </c>
      <c r="F105">
        <v>20.693141905160079</v>
      </c>
      <c r="G105">
        <v>20.06127828532302</v>
      </c>
      <c r="H105">
        <v>20.89545067706203</v>
      </c>
      <c r="I105">
        <v>1489.803565460425</v>
      </c>
      <c r="J105">
        <v>18</v>
      </c>
      <c r="K105" t="s">
        <v>66</v>
      </c>
    </row>
    <row r="106" spans="1:11" x14ac:dyDescent="0.3">
      <c r="A106">
        <v>50.402272113893609</v>
      </c>
      <c r="B106">
        <v>2.0247095391911158</v>
      </c>
      <c r="C106">
        <v>2.8794614919175099</v>
      </c>
      <c r="D106">
        <v>2.4462997822055499</v>
      </c>
      <c r="E106">
        <v>6.5116481701599129</v>
      </c>
      <c r="F106">
        <v>22.568599292861201</v>
      </c>
      <c r="G106">
        <v>31.16965241846281</v>
      </c>
      <c r="H106">
        <v>26.602728134777131</v>
      </c>
      <c r="I106">
        <v>707.6704497976533</v>
      </c>
      <c r="J106">
        <v>0</v>
      </c>
      <c r="K106" t="s">
        <v>66</v>
      </c>
    </row>
    <row r="107" spans="1:11" x14ac:dyDescent="0.3">
      <c r="A107">
        <v>45.451280693769618</v>
      </c>
      <c r="B107">
        <v>1.9180626814741011</v>
      </c>
      <c r="C107">
        <v>3.152106081640607</v>
      </c>
      <c r="D107">
        <v>7.3076402336059578</v>
      </c>
      <c r="E107">
        <v>5.9042459013620636</v>
      </c>
      <c r="F107">
        <v>34.436922470251638</v>
      </c>
      <c r="G107">
        <v>22.155609224613212</v>
      </c>
      <c r="H107">
        <v>27.756060344288588</v>
      </c>
      <c r="I107">
        <v>1374.0834597990081</v>
      </c>
      <c r="J107">
        <v>18</v>
      </c>
      <c r="K107" t="s">
        <v>66</v>
      </c>
    </row>
    <row r="108" spans="1:11" x14ac:dyDescent="0.3">
      <c r="A108">
        <v>51.15233881636361</v>
      </c>
      <c r="B108">
        <v>2.030351598449748</v>
      </c>
      <c r="C108">
        <v>2.6483298739690082</v>
      </c>
      <c r="D108">
        <v>8.1194735288479052</v>
      </c>
      <c r="E108">
        <v>5.9719531130577934</v>
      </c>
      <c r="F108">
        <v>26.873966026353681</v>
      </c>
      <c r="G108">
        <v>24.715025453582751</v>
      </c>
      <c r="H108">
        <v>21.89342666222937</v>
      </c>
      <c r="I108">
        <v>1475.9549840466921</v>
      </c>
      <c r="J108">
        <v>30</v>
      </c>
      <c r="K108" t="s">
        <v>66</v>
      </c>
    </row>
    <row r="109" spans="1:11" x14ac:dyDescent="0.3">
      <c r="A109">
        <v>42.946753032340347</v>
      </c>
      <c r="B109">
        <v>2.0681178432801</v>
      </c>
      <c r="C109">
        <v>2.9220599577697461</v>
      </c>
      <c r="D109">
        <v>6.2944618132002557</v>
      </c>
      <c r="E109">
        <v>5.9017732745338778</v>
      </c>
      <c r="F109">
        <v>22.850498357749629</v>
      </c>
      <c r="G109">
        <v>21.62636194178878</v>
      </c>
      <c r="H109">
        <v>21.175781489818458</v>
      </c>
      <c r="I109">
        <v>1551.0998164518589</v>
      </c>
      <c r="J109">
        <v>18</v>
      </c>
      <c r="K109" t="s">
        <v>66</v>
      </c>
    </row>
    <row r="110" spans="1:11" x14ac:dyDescent="0.3">
      <c r="A110">
        <v>31.406607209427939</v>
      </c>
      <c r="B110">
        <v>0.73642522609831218</v>
      </c>
      <c r="C110">
        <v>1.9405247841513791</v>
      </c>
      <c r="D110">
        <v>5.2260339191298364</v>
      </c>
      <c r="E110">
        <v>5.4652308742764726</v>
      </c>
      <c r="F110">
        <v>27.199874787296121</v>
      </c>
      <c r="G110">
        <v>20.88561123136488</v>
      </c>
      <c r="H110">
        <v>25.710798934604799</v>
      </c>
      <c r="I110">
        <v>1909.0362931463351</v>
      </c>
      <c r="J110">
        <v>20</v>
      </c>
      <c r="K110" t="s">
        <v>66</v>
      </c>
    </row>
    <row r="111" spans="1:11" x14ac:dyDescent="0.3">
      <c r="A111">
        <v>97.40012879748032</v>
      </c>
      <c r="B111">
        <v>4.456377030568599</v>
      </c>
      <c r="C111">
        <v>6.955145565095898</v>
      </c>
      <c r="D111">
        <v>16.689379870424059</v>
      </c>
      <c r="E111">
        <v>6.2785199384542718</v>
      </c>
      <c r="F111">
        <v>28.389884874096389</v>
      </c>
      <c r="G111">
        <v>20.91374285948763</v>
      </c>
      <c r="H111">
        <v>27.783092489067649</v>
      </c>
      <c r="I111">
        <v>2017.62331212864</v>
      </c>
      <c r="J111">
        <v>30</v>
      </c>
      <c r="K111" t="s">
        <v>66</v>
      </c>
    </row>
    <row r="112" spans="1:11" x14ac:dyDescent="0.3">
      <c r="A112">
        <v>21.62920543177016</v>
      </c>
      <c r="B112">
        <v>0.88523086101843329</v>
      </c>
      <c r="C112">
        <v>0.9699534051279296</v>
      </c>
      <c r="D112">
        <v>2.8164721081486239</v>
      </c>
      <c r="E112">
        <v>6.2747067060990132</v>
      </c>
      <c r="F112">
        <v>28.207749652114121</v>
      </c>
      <c r="G112">
        <v>23.468744972342659</v>
      </c>
      <c r="H112">
        <v>22.64540165908338</v>
      </c>
      <c r="I112">
        <v>1706.472667524798</v>
      </c>
      <c r="J112">
        <v>17</v>
      </c>
      <c r="K112" t="s">
        <v>66</v>
      </c>
    </row>
    <row r="113" spans="1:11" x14ac:dyDescent="0.3">
      <c r="A113">
        <v>79.061442161907294</v>
      </c>
      <c r="B113">
        <v>3.483666188476628</v>
      </c>
      <c r="C113">
        <v>5.2129218293149142</v>
      </c>
      <c r="D113">
        <v>12.87720075214258</v>
      </c>
      <c r="E113">
        <v>6.4873385966319024</v>
      </c>
      <c r="F113">
        <v>14.2239735977035</v>
      </c>
      <c r="G113">
        <v>26.718802449517781</v>
      </c>
      <c r="H113">
        <v>24.2244790391862</v>
      </c>
      <c r="I113">
        <v>675.06726340742352</v>
      </c>
      <c r="J113">
        <v>25</v>
      </c>
      <c r="K113" t="s">
        <v>66</v>
      </c>
    </row>
    <row r="114" spans="1:11" x14ac:dyDescent="0.3">
      <c r="A114">
        <v>12.13045972390783</v>
      </c>
      <c r="B114">
        <v>0</v>
      </c>
      <c r="C114">
        <v>0</v>
      </c>
      <c r="D114">
        <v>1.077140179490377</v>
      </c>
      <c r="E114">
        <v>6.8530782075922483</v>
      </c>
      <c r="F114">
        <v>35.716898727171561</v>
      </c>
      <c r="G114">
        <v>18.223894877653581</v>
      </c>
      <c r="H114">
        <v>23.78139454466714</v>
      </c>
      <c r="I114">
        <v>1436.55910836151</v>
      </c>
      <c r="J114">
        <v>30</v>
      </c>
      <c r="K114" t="s">
        <v>66</v>
      </c>
    </row>
    <row r="115" spans="1:11" x14ac:dyDescent="0.3">
      <c r="A115">
        <v>23.05427262667531</v>
      </c>
      <c r="B115">
        <v>1.0469267589808531</v>
      </c>
      <c r="C115">
        <v>0.89449106318233051</v>
      </c>
      <c r="D115">
        <v>3.9295465985796092</v>
      </c>
      <c r="E115">
        <v>6.5246461056082081</v>
      </c>
      <c r="F115">
        <v>26.639374674512009</v>
      </c>
      <c r="G115">
        <v>26.23575799380691</v>
      </c>
      <c r="H115">
        <v>19.319723465167279</v>
      </c>
      <c r="I115">
        <v>1786.4315641656949</v>
      </c>
      <c r="J115">
        <v>40</v>
      </c>
      <c r="K115" t="s">
        <v>66</v>
      </c>
    </row>
    <row r="116" spans="1:11" x14ac:dyDescent="0.3">
      <c r="A116">
        <v>934.62639927601163</v>
      </c>
      <c r="B116">
        <v>44.38893013641173</v>
      </c>
      <c r="C116">
        <v>62.70083230512644</v>
      </c>
      <c r="D116">
        <v>153</v>
      </c>
      <c r="E116">
        <v>5.424090132707672</v>
      </c>
      <c r="F116">
        <v>27.190818423458339</v>
      </c>
      <c r="G116">
        <v>19.703816009634469</v>
      </c>
      <c r="H116">
        <v>22.124354475758299</v>
      </c>
      <c r="I116">
        <v>1474.969920977403</v>
      </c>
      <c r="J116">
        <v>30</v>
      </c>
      <c r="K116" t="s">
        <v>66</v>
      </c>
    </row>
    <row r="117" spans="1:11" x14ac:dyDescent="0.3">
      <c r="A117">
        <v>23.756345536748409</v>
      </c>
      <c r="B117">
        <v>0.96822849032437663</v>
      </c>
      <c r="C117">
        <v>1.130350793193476</v>
      </c>
      <c r="D117">
        <v>2.3251702637397709</v>
      </c>
      <c r="E117">
        <v>6.3551135012733617</v>
      </c>
      <c r="F117">
        <v>31.887896890292769</v>
      </c>
      <c r="G117">
        <v>23.67838060919274</v>
      </c>
      <c r="H117">
        <v>26.530722518139608</v>
      </c>
      <c r="I117">
        <v>1352.777569589764</v>
      </c>
      <c r="J117">
        <v>7</v>
      </c>
      <c r="K117" t="s">
        <v>66</v>
      </c>
    </row>
    <row r="118" spans="1:11" x14ac:dyDescent="0.3">
      <c r="A118">
        <v>131.73582672815019</v>
      </c>
      <c r="B118">
        <v>6.3432344650284866</v>
      </c>
      <c r="C118">
        <v>9.465251864173533</v>
      </c>
      <c r="D118">
        <v>18.784862416440891</v>
      </c>
      <c r="E118">
        <v>5.1913587099147094</v>
      </c>
      <c r="F118">
        <v>19.973812703615639</v>
      </c>
      <c r="G118">
        <v>18.724519782007452</v>
      </c>
      <c r="H118">
        <v>20.781348165610101</v>
      </c>
      <c r="I118">
        <v>1921.1186865629591</v>
      </c>
      <c r="J118">
        <v>12</v>
      </c>
      <c r="K118" t="s">
        <v>66</v>
      </c>
    </row>
    <row r="119" spans="1:11" x14ac:dyDescent="0.3">
      <c r="A119">
        <v>32</v>
      </c>
      <c r="B119">
        <v>1</v>
      </c>
      <c r="C119">
        <v>2</v>
      </c>
      <c r="D119">
        <v>4</v>
      </c>
      <c r="E119">
        <v>6.2</v>
      </c>
      <c r="F119">
        <v>23.5</v>
      </c>
      <c r="G119">
        <v>23.1</v>
      </c>
      <c r="H119">
        <v>19.2</v>
      </c>
      <c r="I119">
        <v>1839</v>
      </c>
      <c r="J119">
        <v>40</v>
      </c>
      <c r="K119" t="s">
        <v>67</v>
      </c>
    </row>
    <row r="120" spans="1:11" x14ac:dyDescent="0.3">
      <c r="A120">
        <v>19.40817929023261</v>
      </c>
      <c r="B120">
        <v>0</v>
      </c>
      <c r="C120">
        <v>1.033802348110171</v>
      </c>
      <c r="D120">
        <v>1.925346350811737</v>
      </c>
      <c r="E120">
        <v>6.1620542696596816</v>
      </c>
      <c r="F120">
        <v>22.18448971639156</v>
      </c>
      <c r="G120">
        <v>21.9483170060433</v>
      </c>
      <c r="H120">
        <v>28.725951109392369</v>
      </c>
      <c r="I120">
        <v>2023.2053781194629</v>
      </c>
      <c r="J120">
        <v>25</v>
      </c>
      <c r="K120" t="s">
        <v>66</v>
      </c>
    </row>
    <row r="121" spans="1:11" x14ac:dyDescent="0.3">
      <c r="A121">
        <v>92.487519550626942</v>
      </c>
      <c r="B121">
        <v>3.927843327295037</v>
      </c>
      <c r="C121">
        <v>6.154319382213556</v>
      </c>
      <c r="D121">
        <v>14.748110858090939</v>
      </c>
      <c r="E121">
        <v>6.3082293183141136</v>
      </c>
      <c r="F121">
        <v>34.306350292645362</v>
      </c>
      <c r="G121">
        <v>20.92348840227486</v>
      </c>
      <c r="H121">
        <v>20.46076259810992</v>
      </c>
      <c r="I121">
        <v>1522.9599044632309</v>
      </c>
      <c r="J121">
        <v>40</v>
      </c>
      <c r="K121" t="s">
        <v>66</v>
      </c>
    </row>
    <row r="122" spans="1:11" x14ac:dyDescent="0.3">
      <c r="A122">
        <v>27.667954677597908</v>
      </c>
      <c r="B122">
        <v>1.1381454078690489</v>
      </c>
      <c r="C122">
        <v>2.0362502325204099</v>
      </c>
      <c r="D122">
        <v>3.6310348060624191</v>
      </c>
      <c r="E122">
        <v>5.9278648043657336</v>
      </c>
      <c r="F122">
        <v>21.689760605409219</v>
      </c>
      <c r="G122">
        <v>16.943081292056359</v>
      </c>
      <c r="H122">
        <v>20.421271631130491</v>
      </c>
      <c r="I122">
        <v>1714.1824577888251</v>
      </c>
      <c r="J122">
        <v>35</v>
      </c>
      <c r="K122" t="s">
        <v>66</v>
      </c>
    </row>
    <row r="123" spans="1:11" x14ac:dyDescent="0.3">
      <c r="A123">
        <v>9.15376768514259</v>
      </c>
      <c r="B123">
        <v>0</v>
      </c>
      <c r="C123">
        <v>0</v>
      </c>
      <c r="D123">
        <v>0.9963410025657069</v>
      </c>
      <c r="E123">
        <v>6.3495214841687897</v>
      </c>
      <c r="F123">
        <v>27.841920258180359</v>
      </c>
      <c r="G123">
        <v>15.9</v>
      </c>
      <c r="H123">
        <v>23.742175376949891</v>
      </c>
      <c r="I123">
        <v>1460.0251962259961</v>
      </c>
      <c r="J123">
        <v>30</v>
      </c>
      <c r="K123" t="s">
        <v>66</v>
      </c>
    </row>
    <row r="124" spans="1:11" x14ac:dyDescent="0.3">
      <c r="A124">
        <v>345.34906499061162</v>
      </c>
      <c r="B124">
        <v>19.08573737594822</v>
      </c>
      <c r="C124">
        <v>25.723523793418579</v>
      </c>
      <c r="D124">
        <v>49.518625851926672</v>
      </c>
      <c r="E124">
        <v>4.4802979474919962</v>
      </c>
      <c r="F124">
        <v>47.842627597590493</v>
      </c>
      <c r="G124">
        <v>20.623618159435669</v>
      </c>
      <c r="H124">
        <v>19.930804553159369</v>
      </c>
      <c r="I124">
        <v>1636.100741058392</v>
      </c>
      <c r="J124">
        <v>8</v>
      </c>
      <c r="K124" t="s">
        <v>66</v>
      </c>
    </row>
    <row r="125" spans="1:11" x14ac:dyDescent="0.3">
      <c r="A125">
        <v>0</v>
      </c>
      <c r="B125">
        <v>0</v>
      </c>
      <c r="C125">
        <v>0</v>
      </c>
      <c r="D125">
        <v>0</v>
      </c>
      <c r="E125">
        <v>6.3108848640381163</v>
      </c>
      <c r="F125">
        <v>23.030585495792849</v>
      </c>
      <c r="G125">
        <v>29.47045732785654</v>
      </c>
      <c r="H125">
        <v>34.364854401699503</v>
      </c>
      <c r="I125">
        <v>1784.575607164086</v>
      </c>
      <c r="J125">
        <v>26</v>
      </c>
      <c r="K125" t="s">
        <v>66</v>
      </c>
    </row>
    <row r="126" spans="1:11" x14ac:dyDescent="0.3">
      <c r="A126">
        <v>5.6426089508392057</v>
      </c>
      <c r="B126">
        <v>0</v>
      </c>
      <c r="C126">
        <v>0</v>
      </c>
      <c r="D126">
        <v>0</v>
      </c>
      <c r="E126">
        <v>6.0775611640342229</v>
      </c>
      <c r="F126">
        <v>22.13906672742382</v>
      </c>
      <c r="G126">
        <v>27.471880072669279</v>
      </c>
      <c r="H126">
        <v>34.415260226607479</v>
      </c>
      <c r="I126">
        <v>1841.492363394794</v>
      </c>
      <c r="J126">
        <v>26</v>
      </c>
      <c r="K126" t="s">
        <v>66</v>
      </c>
    </row>
    <row r="127" spans="1:11" x14ac:dyDescent="0.3">
      <c r="A127">
        <v>54.16262156684077</v>
      </c>
      <c r="B127">
        <v>2.1477620961775008</v>
      </c>
      <c r="C127">
        <v>3.4769516934542049</v>
      </c>
      <c r="D127">
        <v>7.0579827993626703</v>
      </c>
      <c r="E127">
        <v>6.1484824368620261</v>
      </c>
      <c r="F127">
        <v>27.027987105902291</v>
      </c>
      <c r="G127">
        <v>16.84772373483505</v>
      </c>
      <c r="H127">
        <v>20.099273726890871</v>
      </c>
      <c r="I127">
        <v>1776.0121113582711</v>
      </c>
      <c r="J127">
        <v>25</v>
      </c>
      <c r="K127" t="s">
        <v>66</v>
      </c>
    </row>
    <row r="128" spans="1:11" x14ac:dyDescent="0.3">
      <c r="A128">
        <v>11.59370297309273</v>
      </c>
      <c r="B128">
        <v>0</v>
      </c>
      <c r="C128">
        <v>0</v>
      </c>
      <c r="D128">
        <v>1.001602528229516</v>
      </c>
      <c r="E128">
        <v>5.8598186606579761</v>
      </c>
      <c r="F128">
        <v>19.96829080908682</v>
      </c>
      <c r="G128">
        <v>17.859265486099289</v>
      </c>
      <c r="H128">
        <v>19.258553718662029</v>
      </c>
      <c r="I128">
        <v>1783.6774170317331</v>
      </c>
      <c r="J128">
        <v>40</v>
      </c>
      <c r="K128" t="s">
        <v>66</v>
      </c>
    </row>
    <row r="129" spans="1:11" x14ac:dyDescent="0.3">
      <c r="A129">
        <v>76.479195533918613</v>
      </c>
      <c r="B129">
        <v>2.929794042267905</v>
      </c>
      <c r="C129">
        <v>3.9622059954607329</v>
      </c>
      <c r="D129">
        <v>10.40315384240289</v>
      </c>
      <c r="E129">
        <v>6.5993259245724056</v>
      </c>
      <c r="F129">
        <v>13.9</v>
      </c>
      <c r="G129">
        <v>27.236880022677099</v>
      </c>
      <c r="H129">
        <v>24.48404435488947</v>
      </c>
      <c r="I129">
        <v>694.7440121018293</v>
      </c>
      <c r="J129">
        <v>25</v>
      </c>
      <c r="K129" t="s">
        <v>66</v>
      </c>
    </row>
    <row r="130" spans="1:11" x14ac:dyDescent="0.3">
      <c r="A130">
        <v>30</v>
      </c>
      <c r="B130">
        <v>1</v>
      </c>
      <c r="C130">
        <v>2</v>
      </c>
      <c r="D130">
        <v>4</v>
      </c>
      <c r="E130">
        <v>5.8</v>
      </c>
      <c r="F130">
        <v>31.6</v>
      </c>
      <c r="G130">
        <v>27.7</v>
      </c>
      <c r="H130">
        <v>19.2</v>
      </c>
      <c r="I130">
        <v>1839</v>
      </c>
      <c r="J130">
        <v>40</v>
      </c>
      <c r="K130" t="s">
        <v>67</v>
      </c>
    </row>
    <row r="131" spans="1:11" x14ac:dyDescent="0.3">
      <c r="A131">
        <v>75.13224383047951</v>
      </c>
      <c r="B131">
        <v>2.6823277238830201</v>
      </c>
      <c r="C131">
        <v>5.3773666490339043</v>
      </c>
      <c r="D131">
        <v>11.001220939156021</v>
      </c>
      <c r="E131">
        <v>6.1077779647843036</v>
      </c>
      <c r="F131">
        <v>17.26029986710634</v>
      </c>
      <c r="G131">
        <v>20.52719291010823</v>
      </c>
      <c r="H131">
        <v>18.610726989400341</v>
      </c>
      <c r="I131">
        <v>1658.423625795203</v>
      </c>
      <c r="J131">
        <v>30</v>
      </c>
      <c r="K131" t="s">
        <v>66</v>
      </c>
    </row>
    <row r="132" spans="1:11" x14ac:dyDescent="0.3">
      <c r="A132">
        <v>114.1981431412247</v>
      </c>
      <c r="B132">
        <v>5.9743059712130551</v>
      </c>
      <c r="C132">
        <v>7.2115683194232556</v>
      </c>
      <c r="D132">
        <v>19.41603144012635</v>
      </c>
      <c r="E132">
        <v>4.3</v>
      </c>
      <c r="F132">
        <v>58.086820624058149</v>
      </c>
      <c r="G132">
        <v>20.53836237271792</v>
      </c>
      <c r="H132">
        <v>22.38494575808507</v>
      </c>
      <c r="I132">
        <v>1646.3211567879689</v>
      </c>
      <c r="J132">
        <v>12</v>
      </c>
      <c r="K132" t="s">
        <v>66</v>
      </c>
    </row>
    <row r="133" spans="1:11" x14ac:dyDescent="0.3">
      <c r="A133">
        <v>12.14628042826272</v>
      </c>
      <c r="B133">
        <v>0</v>
      </c>
      <c r="C133">
        <v>0</v>
      </c>
      <c r="D133">
        <v>1.0205075339234631</v>
      </c>
      <c r="E133">
        <v>6.6755627804124744</v>
      </c>
      <c r="F133">
        <v>38.636508340103042</v>
      </c>
      <c r="G133">
        <v>17.550414321684009</v>
      </c>
      <c r="H133">
        <v>23.064690770190431</v>
      </c>
      <c r="I133">
        <v>1484.0009604900711</v>
      </c>
      <c r="J133">
        <v>30</v>
      </c>
      <c r="K133" t="s">
        <v>66</v>
      </c>
    </row>
    <row r="134" spans="1:11" x14ac:dyDescent="0.3">
      <c r="A134">
        <v>87.237633814325264</v>
      </c>
      <c r="B134">
        <v>3.8933390683062341</v>
      </c>
      <c r="C134">
        <v>5.1060466765370878</v>
      </c>
      <c r="D134">
        <v>14.495347614667789</v>
      </c>
      <c r="E134">
        <v>6.0941123193509537</v>
      </c>
      <c r="F134">
        <v>23.266634718255169</v>
      </c>
      <c r="G134">
        <v>19.889073946252839</v>
      </c>
      <c r="H134">
        <v>18.253313364006249</v>
      </c>
      <c r="I134">
        <v>1639.810995143828</v>
      </c>
      <c r="J134">
        <v>30</v>
      </c>
      <c r="K134" t="s">
        <v>66</v>
      </c>
    </row>
    <row r="135" spans="1:11" x14ac:dyDescent="0.3">
      <c r="A135">
        <v>24.345418604342399</v>
      </c>
      <c r="B135">
        <v>1.04468725008027</v>
      </c>
      <c r="C135">
        <v>1.1616300042721921</v>
      </c>
      <c r="D135">
        <v>3.8973528136220472</v>
      </c>
      <c r="E135">
        <v>5.7799249962888224</v>
      </c>
      <c r="F135">
        <v>20.432254413388449</v>
      </c>
      <c r="G135">
        <v>20.779365567150261</v>
      </c>
      <c r="H135">
        <v>28.00135230342401</v>
      </c>
      <c r="I135">
        <v>2145.7049859254089</v>
      </c>
      <c r="J135">
        <v>10</v>
      </c>
      <c r="K135" t="s">
        <v>66</v>
      </c>
    </row>
    <row r="136" spans="1:11" x14ac:dyDescent="0.3">
      <c r="A136">
        <v>185</v>
      </c>
      <c r="B136">
        <v>9</v>
      </c>
      <c r="C136">
        <v>12</v>
      </c>
      <c r="D136">
        <v>29</v>
      </c>
      <c r="E136">
        <v>6.2</v>
      </c>
      <c r="F136">
        <v>25.6</v>
      </c>
      <c r="G136">
        <v>29.6</v>
      </c>
      <c r="H136">
        <v>31</v>
      </c>
      <c r="I136">
        <v>14</v>
      </c>
      <c r="J136">
        <v>0</v>
      </c>
      <c r="K136" t="s">
        <v>67</v>
      </c>
    </row>
    <row r="137" spans="1:11" x14ac:dyDescent="0.3">
      <c r="A137">
        <v>92.503216055182506</v>
      </c>
      <c r="B137">
        <v>4.5678412018054546</v>
      </c>
      <c r="C137">
        <v>6.7425922545071986</v>
      </c>
      <c r="D137">
        <v>12.110317702866279</v>
      </c>
      <c r="E137">
        <v>6.8626893958469593</v>
      </c>
      <c r="F137">
        <v>13.97821566954998</v>
      </c>
      <c r="G137">
        <v>34.221072117165249</v>
      </c>
      <c r="H137">
        <v>30.887801978259251</v>
      </c>
      <c r="I137">
        <v>46.627846587864887</v>
      </c>
      <c r="J137">
        <v>0</v>
      </c>
      <c r="K137" t="s">
        <v>66</v>
      </c>
    </row>
    <row r="138" spans="1:11" x14ac:dyDescent="0.3">
      <c r="A138">
        <v>332.67194976557818</v>
      </c>
      <c r="B138">
        <v>16.269847475146761</v>
      </c>
      <c r="C138">
        <v>28.226599857027828</v>
      </c>
      <c r="D138">
        <v>58.471517600423873</v>
      </c>
      <c r="E138">
        <v>4.3</v>
      </c>
      <c r="F138">
        <v>50.862747864440891</v>
      </c>
      <c r="G138">
        <v>29.883101805589892</v>
      </c>
      <c r="H138">
        <v>30.44869671314386</v>
      </c>
      <c r="I138">
        <v>14.345935455460859</v>
      </c>
      <c r="J138">
        <v>0</v>
      </c>
      <c r="K138" t="s">
        <v>66</v>
      </c>
    </row>
    <row r="139" spans="1:11" x14ac:dyDescent="0.3">
      <c r="A139">
        <v>33.541401806790923</v>
      </c>
      <c r="B139">
        <v>0.92575294143019515</v>
      </c>
      <c r="C139">
        <v>2.2211800848714618</v>
      </c>
      <c r="D139">
        <v>4.6713137230026378</v>
      </c>
      <c r="E139">
        <v>5.7930800998089058</v>
      </c>
      <c r="F139">
        <v>28.5577799685007</v>
      </c>
      <c r="G139">
        <v>22.580052611358958</v>
      </c>
      <c r="H139">
        <v>25.639602737740141</v>
      </c>
      <c r="I139">
        <v>1554.1643067569771</v>
      </c>
      <c r="J139">
        <v>18</v>
      </c>
      <c r="K139" t="s">
        <v>66</v>
      </c>
    </row>
    <row r="140" spans="1:11" x14ac:dyDescent="0.3">
      <c r="A140">
        <v>12.57402139007675</v>
      </c>
      <c r="B140">
        <v>0</v>
      </c>
      <c r="C140">
        <v>0</v>
      </c>
      <c r="D140">
        <v>0.91270110331106469</v>
      </c>
      <c r="E140">
        <v>6.6016528860915313</v>
      </c>
      <c r="F140">
        <v>37.464706141149868</v>
      </c>
      <c r="G140">
        <v>17.21878170617757</v>
      </c>
      <c r="H140">
        <v>22.603292292401999</v>
      </c>
      <c r="I140">
        <v>1519.103102469624</v>
      </c>
      <c r="J140">
        <v>30</v>
      </c>
      <c r="K140" t="s">
        <v>66</v>
      </c>
    </row>
    <row r="141" spans="1:11" x14ac:dyDescent="0.3">
      <c r="A141">
        <v>130.07828638996381</v>
      </c>
      <c r="B141">
        <v>6.9692254136816647</v>
      </c>
      <c r="C141">
        <v>6.7508054220465121</v>
      </c>
      <c r="D141">
        <v>17.871559986365298</v>
      </c>
      <c r="E141">
        <v>6.3321066577601908</v>
      </c>
      <c r="F141">
        <v>29.526711766534881</v>
      </c>
      <c r="G141">
        <v>20.429356982620568</v>
      </c>
      <c r="H141">
        <v>20.00654307527174</v>
      </c>
      <c r="I141">
        <v>1641.1316446909891</v>
      </c>
      <c r="J141">
        <v>12</v>
      </c>
      <c r="K141" t="s">
        <v>66</v>
      </c>
    </row>
    <row r="142" spans="1:11" x14ac:dyDescent="0.3">
      <c r="A142">
        <v>25.410938887074611</v>
      </c>
      <c r="B142">
        <v>0.93222550294751483</v>
      </c>
      <c r="C142">
        <v>1.0361661061247021</v>
      </c>
      <c r="D142">
        <v>3.8497465336937862</v>
      </c>
      <c r="E142">
        <v>6.2947915121940454</v>
      </c>
      <c r="F142">
        <v>26.682319154793561</v>
      </c>
      <c r="G142">
        <v>24.228781668884739</v>
      </c>
      <c r="H142">
        <v>19.561787310624219</v>
      </c>
      <c r="I142">
        <v>1807.6058320486379</v>
      </c>
      <c r="J142">
        <v>40</v>
      </c>
      <c r="K142" t="s">
        <v>66</v>
      </c>
    </row>
    <row r="143" spans="1:11" x14ac:dyDescent="0.3">
      <c r="A143">
        <v>338.50435011800062</v>
      </c>
      <c r="B143">
        <v>16.199088091909601</v>
      </c>
      <c r="C143">
        <v>23.746034982005529</v>
      </c>
      <c r="D143">
        <v>52.462751462723602</v>
      </c>
      <c r="E143">
        <v>5.1623807210462882</v>
      </c>
      <c r="F143">
        <v>78.190273753676777</v>
      </c>
      <c r="G143">
        <v>31.348467585130681</v>
      </c>
      <c r="H143">
        <v>29.491241829636799</v>
      </c>
      <c r="I143">
        <v>11.06055471126504</v>
      </c>
      <c r="J143">
        <v>0</v>
      </c>
      <c r="K143" t="s">
        <v>66</v>
      </c>
    </row>
    <row r="144" spans="1:11" x14ac:dyDescent="0.3">
      <c r="A144">
        <v>69</v>
      </c>
      <c r="B144">
        <v>3</v>
      </c>
      <c r="C144">
        <v>4</v>
      </c>
      <c r="D144">
        <v>11</v>
      </c>
      <c r="E144">
        <v>5.5</v>
      </c>
      <c r="F144">
        <v>34.5</v>
      </c>
      <c r="G144">
        <v>21.6</v>
      </c>
      <c r="H144">
        <v>18</v>
      </c>
      <c r="I144">
        <v>1900</v>
      </c>
      <c r="J144">
        <v>20</v>
      </c>
      <c r="K144" t="s">
        <v>67</v>
      </c>
    </row>
    <row r="145" spans="1:11" x14ac:dyDescent="0.3">
      <c r="A145">
        <v>66.259770017670633</v>
      </c>
      <c r="B145">
        <v>3.360023686928058</v>
      </c>
      <c r="C145">
        <v>3.65725925394888</v>
      </c>
      <c r="D145">
        <v>8.7501796604106357</v>
      </c>
      <c r="E145">
        <v>5.8234764709894487</v>
      </c>
      <c r="F145">
        <v>32.407475527550837</v>
      </c>
      <c r="G145">
        <v>19.782286623575839</v>
      </c>
      <c r="H145">
        <v>19.236657423660819</v>
      </c>
      <c r="I145">
        <v>1555.462855731867</v>
      </c>
      <c r="J145">
        <v>25</v>
      </c>
      <c r="K145" t="s">
        <v>66</v>
      </c>
    </row>
    <row r="146" spans="1:11" x14ac:dyDescent="0.3">
      <c r="A146">
        <v>21.419092920069669</v>
      </c>
      <c r="B146">
        <v>1.1674492433347541</v>
      </c>
      <c r="C146">
        <v>1.076084665431148</v>
      </c>
      <c r="D146">
        <v>2.9407138596612099</v>
      </c>
      <c r="E146">
        <v>6.0792551942821857</v>
      </c>
      <c r="F146">
        <v>20.681804367159479</v>
      </c>
      <c r="G146">
        <v>19.955701878926831</v>
      </c>
      <c r="H146">
        <v>19.0266612712492</v>
      </c>
      <c r="I146">
        <v>2008.3055261168249</v>
      </c>
      <c r="J146">
        <v>40</v>
      </c>
      <c r="K146" t="s">
        <v>66</v>
      </c>
    </row>
    <row r="147" spans="1:11" x14ac:dyDescent="0.3">
      <c r="A147">
        <v>73.724596312329822</v>
      </c>
      <c r="B147">
        <v>3.2670595233374362</v>
      </c>
      <c r="C147">
        <v>5.821689077902267</v>
      </c>
      <c r="D147">
        <v>13.07840299240701</v>
      </c>
      <c r="E147">
        <v>6.0617979929390007</v>
      </c>
      <c r="F147">
        <v>35.390784251931848</v>
      </c>
      <c r="G147">
        <v>27.470586020447801</v>
      </c>
      <c r="H147">
        <v>22.671570739794209</v>
      </c>
      <c r="I147">
        <v>1353.578103751342</v>
      </c>
      <c r="J147">
        <v>25</v>
      </c>
      <c r="K147" t="s">
        <v>66</v>
      </c>
    </row>
    <row r="148" spans="1:11" x14ac:dyDescent="0.3">
      <c r="A148">
        <v>41</v>
      </c>
      <c r="B148">
        <v>1</v>
      </c>
      <c r="C148">
        <v>2</v>
      </c>
      <c r="D148">
        <v>5</v>
      </c>
      <c r="E148">
        <v>5.5</v>
      </c>
      <c r="F148">
        <v>37</v>
      </c>
      <c r="G148">
        <v>26.1</v>
      </c>
      <c r="H148">
        <v>19.2</v>
      </c>
      <c r="I148">
        <v>1941</v>
      </c>
      <c r="J148">
        <v>40</v>
      </c>
      <c r="K148" t="s">
        <v>67</v>
      </c>
    </row>
    <row r="149" spans="1:11" x14ac:dyDescent="0.3">
      <c r="A149">
        <v>70.316275675277197</v>
      </c>
      <c r="B149">
        <v>3.028603259832392</v>
      </c>
      <c r="C149">
        <v>5.7545655067022752</v>
      </c>
      <c r="D149">
        <v>11.0412960256355</v>
      </c>
      <c r="E149">
        <v>6.4943557263861793</v>
      </c>
      <c r="F149">
        <v>27.28605467244957</v>
      </c>
      <c r="G149">
        <v>19.74273777482173</v>
      </c>
      <c r="H149">
        <v>20.293540408130021</v>
      </c>
      <c r="I149">
        <v>1643.252518566389</v>
      </c>
      <c r="J149">
        <v>40</v>
      </c>
      <c r="K149" t="s">
        <v>66</v>
      </c>
    </row>
    <row r="150" spans="1:11" x14ac:dyDescent="0.3">
      <c r="A150">
        <v>25.152512268306701</v>
      </c>
      <c r="B150">
        <v>0.94517127035093995</v>
      </c>
      <c r="C150">
        <v>1.164061456348829</v>
      </c>
      <c r="D150">
        <v>3.8984193174411059</v>
      </c>
      <c r="E150">
        <v>6.1079330050050311</v>
      </c>
      <c r="F150">
        <v>42.897953831795682</v>
      </c>
      <c r="G150">
        <v>23.780257068384071</v>
      </c>
      <c r="H150">
        <v>20.260290305336898</v>
      </c>
      <c r="I150">
        <v>1614.994729131095</v>
      </c>
      <c r="J150">
        <v>25</v>
      </c>
      <c r="K150" t="s">
        <v>66</v>
      </c>
    </row>
    <row r="151" spans="1:11" x14ac:dyDescent="0.3">
      <c r="A151">
        <v>111.51771301857011</v>
      </c>
      <c r="B151">
        <v>5.4541899498108997</v>
      </c>
      <c r="C151">
        <v>6.7241952334693336</v>
      </c>
      <c r="D151">
        <v>20.402650738550712</v>
      </c>
      <c r="E151">
        <v>4.3</v>
      </c>
      <c r="F151">
        <v>52.343935492766917</v>
      </c>
      <c r="G151">
        <v>19.251233645603321</v>
      </c>
      <c r="H151">
        <v>19.938563160247959</v>
      </c>
      <c r="I151">
        <v>1610.2963483152771</v>
      </c>
      <c r="J151">
        <v>12</v>
      </c>
      <c r="K151" t="s">
        <v>66</v>
      </c>
    </row>
    <row r="152" spans="1:11" x14ac:dyDescent="0.3">
      <c r="A152">
        <v>39.904577287716037</v>
      </c>
      <c r="B152">
        <v>1.0058022734808401</v>
      </c>
      <c r="C152">
        <v>1.806051256073065</v>
      </c>
      <c r="D152">
        <v>5.4949070208791087</v>
      </c>
      <c r="E152">
        <v>6.1235016523353556</v>
      </c>
      <c r="F152">
        <v>24.08988576080063</v>
      </c>
      <c r="G152">
        <v>20.173202997884111</v>
      </c>
      <c r="H152">
        <v>19.693083702590691</v>
      </c>
      <c r="I152">
        <v>1964.361725951366</v>
      </c>
      <c r="J152">
        <v>40</v>
      </c>
      <c r="K152" t="s">
        <v>66</v>
      </c>
    </row>
    <row r="153" spans="1:11" x14ac:dyDescent="0.3">
      <c r="A153">
        <v>5.9393422042698321</v>
      </c>
      <c r="B153">
        <v>0</v>
      </c>
      <c r="C153">
        <v>0</v>
      </c>
      <c r="D153">
        <v>0</v>
      </c>
      <c r="E153">
        <v>5.8788172801650473</v>
      </c>
      <c r="F153">
        <v>21.445063380632401</v>
      </c>
      <c r="G153">
        <v>20.541114102657719</v>
      </c>
      <c r="H153">
        <v>25.438929084289629</v>
      </c>
      <c r="I153">
        <v>1865.4826651403009</v>
      </c>
      <c r="J153">
        <v>20</v>
      </c>
      <c r="K153" t="s">
        <v>66</v>
      </c>
    </row>
    <row r="154" spans="1:11" x14ac:dyDescent="0.3">
      <c r="A154">
        <v>53.130433906244683</v>
      </c>
      <c r="B154">
        <v>2.1002188339879688</v>
      </c>
      <c r="C154">
        <v>2.3613797716755558</v>
      </c>
      <c r="D154">
        <v>8.895395934051276</v>
      </c>
      <c r="E154">
        <v>4.8992132086777866</v>
      </c>
      <c r="F154">
        <v>34.558962326003353</v>
      </c>
      <c r="G154">
        <v>24.371385060312459</v>
      </c>
      <c r="H154">
        <v>28.022594637197709</v>
      </c>
      <c r="I154">
        <v>2029.7246112543669</v>
      </c>
      <c r="J154">
        <v>20</v>
      </c>
      <c r="K154" t="s">
        <v>66</v>
      </c>
    </row>
    <row r="155" spans="1:11" x14ac:dyDescent="0.3">
      <c r="A155">
        <v>121.1090167421692</v>
      </c>
      <c r="B155">
        <v>4.9755852254442319</v>
      </c>
      <c r="C155">
        <v>9.1578445595134461</v>
      </c>
      <c r="D155">
        <v>13.7956336083388</v>
      </c>
      <c r="E155">
        <v>4.3</v>
      </c>
      <c r="F155">
        <v>56.615832279539262</v>
      </c>
      <c r="G155">
        <v>20.02979129407802</v>
      </c>
      <c r="H155">
        <v>22.435264041585128</v>
      </c>
      <c r="I155">
        <v>1625.292503856384</v>
      </c>
      <c r="J155">
        <v>12</v>
      </c>
      <c r="K155" t="s">
        <v>66</v>
      </c>
    </row>
    <row r="156" spans="1:11" x14ac:dyDescent="0.3">
      <c r="A156">
        <v>78.113674035722511</v>
      </c>
      <c r="B156">
        <v>2.8610515913743799</v>
      </c>
      <c r="C156">
        <v>4.7303474927683649</v>
      </c>
      <c r="D156">
        <v>10.872910151181591</v>
      </c>
      <c r="E156">
        <v>5.4661671441172617</v>
      </c>
      <c r="F156">
        <v>32.533811842364003</v>
      </c>
      <c r="G156">
        <v>16.45983108513904</v>
      </c>
      <c r="H156">
        <v>18.084288998766699</v>
      </c>
      <c r="I156">
        <v>1872.382323145667</v>
      </c>
      <c r="J156">
        <v>20</v>
      </c>
      <c r="K156" t="s">
        <v>66</v>
      </c>
    </row>
    <row r="157" spans="1:11" x14ac:dyDescent="0.3">
      <c r="A157">
        <v>72.326100730594831</v>
      </c>
      <c r="B157">
        <v>2.9110177622790609</v>
      </c>
      <c r="C157">
        <v>4.2863490978763839</v>
      </c>
      <c r="D157">
        <v>11.138491527234461</v>
      </c>
      <c r="E157">
        <v>5.3460848914852903</v>
      </c>
      <c r="F157">
        <v>34.385956120432787</v>
      </c>
      <c r="G157">
        <v>21.419778327890619</v>
      </c>
      <c r="H157">
        <v>18.056067786917659</v>
      </c>
      <c r="I157">
        <v>1897.577502976191</v>
      </c>
      <c r="J157">
        <v>20</v>
      </c>
      <c r="K157" t="s">
        <v>66</v>
      </c>
    </row>
    <row r="158" spans="1:11" x14ac:dyDescent="0.3">
      <c r="A158">
        <v>77.130061215568276</v>
      </c>
      <c r="B158">
        <v>4.1201897438443318</v>
      </c>
      <c r="C158">
        <v>5.7263083727430892</v>
      </c>
      <c r="D158">
        <v>13.48046913400343</v>
      </c>
      <c r="E158">
        <v>6.121775046034549</v>
      </c>
      <c r="F158">
        <v>13.9</v>
      </c>
      <c r="G158">
        <v>35.483759615835027</v>
      </c>
      <c r="H158">
        <v>32.371282551840579</v>
      </c>
      <c r="I158">
        <v>46.803513318123962</v>
      </c>
      <c r="J158">
        <v>0</v>
      </c>
      <c r="K158" t="s">
        <v>66</v>
      </c>
    </row>
    <row r="159" spans="1:11" x14ac:dyDescent="0.3">
      <c r="A159">
        <v>31.219661216141851</v>
      </c>
      <c r="B159">
        <v>0.95002698238483696</v>
      </c>
      <c r="C159">
        <v>2.3354754175610979</v>
      </c>
      <c r="D159">
        <v>4.4251414772132867</v>
      </c>
      <c r="E159">
        <v>5.9787706734836599</v>
      </c>
      <c r="F159">
        <v>21.68543869832801</v>
      </c>
      <c r="G159">
        <v>29.036711506213351</v>
      </c>
      <c r="H159">
        <v>25.408632220790061</v>
      </c>
      <c r="I159">
        <v>721.93385760276021</v>
      </c>
      <c r="J159">
        <v>0</v>
      </c>
      <c r="K159" t="s">
        <v>66</v>
      </c>
    </row>
    <row r="160" spans="1:11" x14ac:dyDescent="0.3">
      <c r="A160">
        <v>11.7561820305315</v>
      </c>
      <c r="B160">
        <v>0</v>
      </c>
      <c r="C160">
        <v>0</v>
      </c>
      <c r="D160">
        <v>0.73818668013077193</v>
      </c>
      <c r="E160">
        <v>6.3765446088692119</v>
      </c>
      <c r="F160">
        <v>16.54159527790004</v>
      </c>
      <c r="G160">
        <v>21.719634815333968</v>
      </c>
      <c r="H160">
        <v>21.07166734059258</v>
      </c>
      <c r="I160">
        <v>1533.3591039375899</v>
      </c>
      <c r="J160">
        <v>30</v>
      </c>
      <c r="K160" t="s">
        <v>66</v>
      </c>
    </row>
    <row r="161" spans="1:11" x14ac:dyDescent="0.3">
      <c r="A161">
        <v>21.540160775761692</v>
      </c>
      <c r="B161">
        <v>0.8760741605146527</v>
      </c>
      <c r="C161">
        <v>0.93672449701149607</v>
      </c>
      <c r="D161">
        <v>3.2513491605688438</v>
      </c>
      <c r="E161">
        <v>5.8807688395282263</v>
      </c>
      <c r="F161">
        <v>21.69747065128438</v>
      </c>
      <c r="G161">
        <v>20.0852993381734</v>
      </c>
      <c r="H161">
        <v>18.64823356445072</v>
      </c>
      <c r="I161">
        <v>1975.6409865623591</v>
      </c>
      <c r="J161">
        <v>40</v>
      </c>
      <c r="K161" t="s">
        <v>66</v>
      </c>
    </row>
    <row r="162" spans="1:11" x14ac:dyDescent="0.3">
      <c r="A162">
        <v>65.496849539944208</v>
      </c>
      <c r="B162">
        <v>2.3608300560578401</v>
      </c>
      <c r="C162">
        <v>3.4589965242237111</v>
      </c>
      <c r="D162">
        <v>8.7347415909147852</v>
      </c>
      <c r="E162">
        <v>6.2754566425397753</v>
      </c>
      <c r="F162">
        <v>36.131680660334943</v>
      </c>
      <c r="G162">
        <v>19.85561840812445</v>
      </c>
      <c r="H162">
        <v>27.330281717244659</v>
      </c>
      <c r="I162">
        <v>2061.0342883946282</v>
      </c>
      <c r="J162">
        <v>25</v>
      </c>
      <c r="K162" t="s">
        <v>66</v>
      </c>
    </row>
    <row r="163" spans="1:11" x14ac:dyDescent="0.3">
      <c r="A163">
        <v>93</v>
      </c>
      <c r="B163">
        <v>4</v>
      </c>
      <c r="C163">
        <v>6</v>
      </c>
      <c r="D163">
        <v>14</v>
      </c>
      <c r="E163">
        <v>5.5</v>
      </c>
      <c r="F163">
        <v>28.5</v>
      </c>
      <c r="G163">
        <v>21.3</v>
      </c>
      <c r="H163">
        <v>21</v>
      </c>
      <c r="I163">
        <v>1731</v>
      </c>
      <c r="J163">
        <v>25</v>
      </c>
      <c r="K163" t="s">
        <v>67</v>
      </c>
    </row>
    <row r="164" spans="1:11" x14ac:dyDescent="0.3">
      <c r="A164">
        <v>15.92706988140783</v>
      </c>
      <c r="B164">
        <v>0</v>
      </c>
      <c r="C164">
        <v>1.000132568873441</v>
      </c>
      <c r="D164">
        <v>1.856387043276347</v>
      </c>
      <c r="E164">
        <v>5.9929306824627249</v>
      </c>
      <c r="F164">
        <v>34.590318917685977</v>
      </c>
      <c r="G164">
        <v>23.452086086181421</v>
      </c>
      <c r="H164">
        <v>26.50375281544682</v>
      </c>
      <c r="I164">
        <v>1490.601786556658</v>
      </c>
      <c r="J164">
        <v>18</v>
      </c>
      <c r="K164" t="s">
        <v>66</v>
      </c>
    </row>
    <row r="165" spans="1:11" x14ac:dyDescent="0.3">
      <c r="A165">
        <v>34.194187002725471</v>
      </c>
      <c r="B165">
        <v>0.89082991238606857</v>
      </c>
      <c r="C165">
        <v>2.249900980141232</v>
      </c>
      <c r="D165">
        <v>6.0179367675908964</v>
      </c>
      <c r="E165">
        <v>5.6284516118080559</v>
      </c>
      <c r="F165">
        <v>27.005081830932891</v>
      </c>
      <c r="G165">
        <v>21.193658977687161</v>
      </c>
      <c r="H165">
        <v>26.060343709621591</v>
      </c>
      <c r="I165">
        <v>1872.232549037685</v>
      </c>
      <c r="J165">
        <v>20</v>
      </c>
      <c r="K165" t="s">
        <v>66</v>
      </c>
    </row>
    <row r="166" spans="1:11" x14ac:dyDescent="0.3">
      <c r="A166">
        <v>30.470836594276289</v>
      </c>
      <c r="B166">
        <v>0.96079873600808707</v>
      </c>
      <c r="C166">
        <v>2.0372832339488092</v>
      </c>
      <c r="D166">
        <v>3.600715096595438</v>
      </c>
      <c r="E166">
        <v>6.2087378806898341</v>
      </c>
      <c r="F166">
        <v>22.0868935851712</v>
      </c>
      <c r="G166">
        <v>16.424000072459489</v>
      </c>
      <c r="H166">
        <v>26.37352093492758</v>
      </c>
      <c r="I166">
        <v>1608.216978570015</v>
      </c>
      <c r="J166">
        <v>20</v>
      </c>
      <c r="K166" t="s">
        <v>66</v>
      </c>
    </row>
    <row r="167" spans="1:11" x14ac:dyDescent="0.3">
      <c r="A167">
        <v>62.574614511314067</v>
      </c>
      <c r="B167">
        <v>1.93729406276552</v>
      </c>
      <c r="C167">
        <v>3.3815677265815971</v>
      </c>
      <c r="D167">
        <v>6.8274609141263234</v>
      </c>
      <c r="E167">
        <v>5.9367484486962852</v>
      </c>
      <c r="F167">
        <v>56.34885325014281</v>
      </c>
      <c r="G167">
        <v>22.373211337209781</v>
      </c>
      <c r="H167">
        <v>18.396884495882251</v>
      </c>
      <c r="I167">
        <v>1949.176867983248</v>
      </c>
      <c r="J167">
        <v>40</v>
      </c>
      <c r="K167" t="s">
        <v>66</v>
      </c>
    </row>
    <row r="168" spans="1:11" x14ac:dyDescent="0.3">
      <c r="A168">
        <v>4.9465027889436231</v>
      </c>
      <c r="B168">
        <v>0</v>
      </c>
      <c r="C168">
        <v>0</v>
      </c>
      <c r="D168">
        <v>0</v>
      </c>
      <c r="E168">
        <v>6.3970160601482382</v>
      </c>
      <c r="F168">
        <v>19.736576364880499</v>
      </c>
      <c r="G168">
        <v>17.771945918700201</v>
      </c>
      <c r="H168">
        <v>21.98200116700178</v>
      </c>
      <c r="I168">
        <v>1426.058568705314</v>
      </c>
      <c r="J168">
        <v>30</v>
      </c>
      <c r="K168" t="s">
        <v>66</v>
      </c>
    </row>
    <row r="169" spans="1:11" x14ac:dyDescent="0.3">
      <c r="A169">
        <v>129.2589869340872</v>
      </c>
      <c r="B169">
        <v>6.9791141394534657</v>
      </c>
      <c r="C169">
        <v>8.3704543018491204</v>
      </c>
      <c r="D169">
        <v>21.916094980082221</v>
      </c>
      <c r="E169">
        <v>5.956787454190664</v>
      </c>
      <c r="F169">
        <v>27.25547535725789</v>
      </c>
      <c r="G169">
        <v>21.70270248706176</v>
      </c>
      <c r="H169">
        <v>22.179297317514369</v>
      </c>
      <c r="I169">
        <v>1690.7440860076931</v>
      </c>
      <c r="J169">
        <v>12</v>
      </c>
      <c r="K169" t="s">
        <v>66</v>
      </c>
    </row>
    <row r="170" spans="1:11" x14ac:dyDescent="0.3">
      <c r="A170">
        <v>63.58979011533345</v>
      </c>
      <c r="B170">
        <v>2.9614387465683212</v>
      </c>
      <c r="C170">
        <v>3.808941766958398</v>
      </c>
      <c r="D170">
        <v>9.6948111545192486</v>
      </c>
      <c r="E170">
        <v>5.827941703835247</v>
      </c>
      <c r="F170">
        <v>34.544227396885397</v>
      </c>
      <c r="G170">
        <v>21.26994768452559</v>
      </c>
      <c r="H170">
        <v>18.298958801053441</v>
      </c>
      <c r="I170">
        <v>1948.292133600871</v>
      </c>
      <c r="J170">
        <v>20</v>
      </c>
      <c r="K170" t="s">
        <v>66</v>
      </c>
    </row>
    <row r="171" spans="1:11" x14ac:dyDescent="0.3">
      <c r="A171">
        <v>25.555753335275181</v>
      </c>
      <c r="B171">
        <v>0.97514713819255505</v>
      </c>
      <c r="C171">
        <v>0.9517090160539482</v>
      </c>
      <c r="D171">
        <v>3.7656829106205238</v>
      </c>
      <c r="E171">
        <v>6.195545506308795</v>
      </c>
      <c r="F171">
        <v>41.346091742018388</v>
      </c>
      <c r="G171">
        <v>24.188177776497181</v>
      </c>
      <c r="H171">
        <v>21.59243290383268</v>
      </c>
      <c r="I171">
        <v>1605.343776945467</v>
      </c>
      <c r="J171">
        <v>25</v>
      </c>
      <c r="K171" t="s">
        <v>66</v>
      </c>
    </row>
    <row r="172" spans="1:11" x14ac:dyDescent="0.3">
      <c r="A172">
        <v>27.087040459993659</v>
      </c>
      <c r="B172">
        <v>1.087604679252979</v>
      </c>
      <c r="C172">
        <v>1.0370211889941741</v>
      </c>
      <c r="D172">
        <v>4.2898367114892491</v>
      </c>
      <c r="E172">
        <v>5.5585278480597102</v>
      </c>
      <c r="F172">
        <v>28.785979972807681</v>
      </c>
      <c r="G172">
        <v>19.435369814422781</v>
      </c>
      <c r="H172">
        <v>27.144553270895589</v>
      </c>
      <c r="I172">
        <v>1921.3926798232139</v>
      </c>
      <c r="J172">
        <v>20</v>
      </c>
      <c r="K172" t="s">
        <v>66</v>
      </c>
    </row>
    <row r="173" spans="1:11" x14ac:dyDescent="0.3">
      <c r="A173">
        <v>15.124839156159791</v>
      </c>
      <c r="B173">
        <v>0</v>
      </c>
      <c r="C173">
        <v>0.90083033365596898</v>
      </c>
      <c r="D173">
        <v>1.7362063003394981</v>
      </c>
      <c r="E173">
        <v>6.2524646712624863</v>
      </c>
      <c r="F173">
        <v>40.58513064061794</v>
      </c>
      <c r="G173">
        <v>20.313702736441471</v>
      </c>
      <c r="H173">
        <v>19.01055964991761</v>
      </c>
      <c r="I173">
        <v>1913.6848332396801</v>
      </c>
      <c r="J173">
        <v>40</v>
      </c>
      <c r="K173" t="s">
        <v>66</v>
      </c>
    </row>
    <row r="174" spans="1:11" x14ac:dyDescent="0.3">
      <c r="A174">
        <v>81.321492066144472</v>
      </c>
      <c r="B174">
        <v>4.1998740441211737</v>
      </c>
      <c r="C174">
        <v>4.4053837674614353</v>
      </c>
      <c r="D174">
        <v>13.46766066766483</v>
      </c>
      <c r="E174">
        <v>6.3070662227435452</v>
      </c>
      <c r="F174">
        <v>21.02615871597429</v>
      </c>
      <c r="G174">
        <v>20.295202432461771</v>
      </c>
      <c r="H174">
        <v>18.567265378684521</v>
      </c>
      <c r="I174">
        <v>1648.1534701839601</v>
      </c>
      <c r="J174">
        <v>30</v>
      </c>
      <c r="K174" t="s">
        <v>66</v>
      </c>
    </row>
    <row r="175" spans="1:11" x14ac:dyDescent="0.3">
      <c r="A175">
        <v>24.150269403177489</v>
      </c>
      <c r="B175">
        <v>0.98832340842047528</v>
      </c>
      <c r="C175">
        <v>1.136970110765418</v>
      </c>
      <c r="D175">
        <v>2.5098231122822141</v>
      </c>
      <c r="E175">
        <v>5.8476581627174138</v>
      </c>
      <c r="F175">
        <v>29.078122453828311</v>
      </c>
      <c r="G175">
        <v>24.688670857476669</v>
      </c>
      <c r="H175">
        <v>27.362111908558798</v>
      </c>
      <c r="I175">
        <v>1362.139479584627</v>
      </c>
      <c r="J175">
        <v>7</v>
      </c>
      <c r="K175" t="s">
        <v>66</v>
      </c>
    </row>
    <row r="176" spans="1:11" x14ac:dyDescent="0.3">
      <c r="A176">
        <v>48.874836321301892</v>
      </c>
      <c r="B176">
        <v>2.16589496838635</v>
      </c>
      <c r="C176">
        <v>3.5693301050237931</v>
      </c>
      <c r="D176">
        <v>8.2462658980111083</v>
      </c>
      <c r="E176">
        <v>6.0831817198067419</v>
      </c>
      <c r="F176">
        <v>29.293005940748269</v>
      </c>
      <c r="G176">
        <v>18.89347629139278</v>
      </c>
      <c r="H176">
        <v>19.232163286050969</v>
      </c>
      <c r="I176">
        <v>1764.8141905792479</v>
      </c>
      <c r="J176">
        <v>10</v>
      </c>
      <c r="K176" t="s">
        <v>66</v>
      </c>
    </row>
    <row r="177" spans="1:11" x14ac:dyDescent="0.3">
      <c r="A177">
        <v>6.1558039542723506</v>
      </c>
      <c r="B177">
        <v>0</v>
      </c>
      <c r="C177">
        <v>0</v>
      </c>
      <c r="D177">
        <v>0</v>
      </c>
      <c r="E177">
        <v>5.7880235663232966</v>
      </c>
      <c r="F177">
        <v>21.938138858845381</v>
      </c>
      <c r="G177">
        <v>21.973250121323499</v>
      </c>
      <c r="H177">
        <v>27.16526395204091</v>
      </c>
      <c r="I177">
        <v>1801.42811025225</v>
      </c>
      <c r="J177">
        <v>20</v>
      </c>
      <c r="K177" t="s">
        <v>66</v>
      </c>
    </row>
    <row r="178" spans="1:11" x14ac:dyDescent="0.3">
      <c r="A178">
        <v>25.08520626054041</v>
      </c>
      <c r="B178">
        <v>1.104172466405885</v>
      </c>
      <c r="C178">
        <v>1.140693474589175</v>
      </c>
      <c r="D178">
        <v>4.929879565729367</v>
      </c>
      <c r="E178">
        <v>5.8912541601543342</v>
      </c>
      <c r="F178">
        <v>18.817758045169011</v>
      </c>
      <c r="G178">
        <v>30.061040954495489</v>
      </c>
      <c r="H178">
        <v>26.3291356807181</v>
      </c>
      <c r="I178">
        <v>718.08328953498801</v>
      </c>
      <c r="J178">
        <v>0</v>
      </c>
      <c r="K178" t="s">
        <v>66</v>
      </c>
    </row>
    <row r="179" spans="1:11" x14ac:dyDescent="0.3">
      <c r="A179">
        <v>25.774167498046371</v>
      </c>
      <c r="B179">
        <v>1.0067855510527399</v>
      </c>
      <c r="C179">
        <v>1.018471047478108</v>
      </c>
      <c r="D179">
        <v>3.7752631602593199</v>
      </c>
      <c r="E179">
        <v>5.916208578149833</v>
      </c>
      <c r="F179">
        <v>19.633646720797461</v>
      </c>
      <c r="G179">
        <v>30.961482085096211</v>
      </c>
      <c r="H179">
        <v>25.387452022194669</v>
      </c>
      <c r="I179">
        <v>708.84443380395135</v>
      </c>
      <c r="J179">
        <v>0</v>
      </c>
      <c r="K179" t="s">
        <v>66</v>
      </c>
    </row>
    <row r="180" spans="1:11" x14ac:dyDescent="0.3">
      <c r="A180">
        <v>72</v>
      </c>
      <c r="B180">
        <v>3</v>
      </c>
      <c r="C180">
        <v>5</v>
      </c>
      <c r="D180">
        <v>11</v>
      </c>
      <c r="E180">
        <v>6.6</v>
      </c>
      <c r="F180">
        <v>27.4</v>
      </c>
      <c r="G180">
        <v>21.2</v>
      </c>
      <c r="H180">
        <v>20</v>
      </c>
      <c r="I180">
        <v>1558</v>
      </c>
      <c r="J180">
        <v>40</v>
      </c>
      <c r="K180" t="s">
        <v>67</v>
      </c>
    </row>
    <row r="181" spans="1:11" x14ac:dyDescent="0.3">
      <c r="A181">
        <v>87</v>
      </c>
      <c r="B181">
        <v>4</v>
      </c>
      <c r="C181">
        <v>6</v>
      </c>
      <c r="D181">
        <v>13</v>
      </c>
      <c r="E181">
        <v>6.3</v>
      </c>
      <c r="F181">
        <v>37.4</v>
      </c>
      <c r="G181">
        <v>20.7</v>
      </c>
      <c r="H181">
        <v>28.7</v>
      </c>
      <c r="I181">
        <v>2074</v>
      </c>
      <c r="J181">
        <v>25</v>
      </c>
      <c r="K181" t="s">
        <v>67</v>
      </c>
    </row>
    <row r="182" spans="1:11" x14ac:dyDescent="0.3">
      <c r="A182">
        <v>39.615421310015627</v>
      </c>
      <c r="B182">
        <v>1.0612468794013601</v>
      </c>
      <c r="C182">
        <v>1.841495310576958</v>
      </c>
      <c r="D182">
        <v>5.4591745920616948</v>
      </c>
      <c r="E182">
        <v>6.2830861593051246</v>
      </c>
      <c r="F182">
        <v>19.629777583874091</v>
      </c>
      <c r="G182">
        <v>17.40562887775204</v>
      </c>
      <c r="H182">
        <v>28.780012324952281</v>
      </c>
      <c r="I182">
        <v>2257</v>
      </c>
      <c r="J182">
        <v>15</v>
      </c>
      <c r="K182" t="s">
        <v>66</v>
      </c>
    </row>
    <row r="183" spans="1:11" x14ac:dyDescent="0.3">
      <c r="A183">
        <v>135.44914937549549</v>
      </c>
      <c r="B183">
        <v>5.4790243608741802</v>
      </c>
      <c r="C183">
        <v>7.653780893129289</v>
      </c>
      <c r="D183">
        <v>20.616019804434679</v>
      </c>
      <c r="E183">
        <v>6.268629319434635</v>
      </c>
      <c r="F183">
        <v>20.18048851268545</v>
      </c>
      <c r="G183">
        <v>30.969013056785119</v>
      </c>
      <c r="H183">
        <v>32.135265131810762</v>
      </c>
      <c r="I183">
        <v>49.969449085522157</v>
      </c>
      <c r="J183">
        <v>0</v>
      </c>
      <c r="K183" t="s">
        <v>66</v>
      </c>
    </row>
    <row r="184" spans="1:11" x14ac:dyDescent="0.3">
      <c r="A184">
        <v>23.154787571348692</v>
      </c>
      <c r="B184">
        <v>1.0230070759191401</v>
      </c>
      <c r="C184">
        <v>0.96535734939931006</v>
      </c>
      <c r="D184">
        <v>3.394652487282031</v>
      </c>
      <c r="E184">
        <v>6.0041126177040267</v>
      </c>
      <c r="F184">
        <v>38.557685526755577</v>
      </c>
      <c r="G184">
        <v>23.169251302419489</v>
      </c>
      <c r="H184">
        <v>20.391438317494728</v>
      </c>
      <c r="I184">
        <v>1531.349923911521</v>
      </c>
      <c r="J184">
        <v>25</v>
      </c>
      <c r="K184" t="s">
        <v>66</v>
      </c>
    </row>
    <row r="185" spans="1:11" x14ac:dyDescent="0.3">
      <c r="A185">
        <v>24.05377682590785</v>
      </c>
      <c r="B185">
        <v>0.96485857642862671</v>
      </c>
      <c r="C185">
        <v>1.015449366559525</v>
      </c>
      <c r="D185">
        <v>3.354296971591701</v>
      </c>
      <c r="E185">
        <v>6.2072559796629667</v>
      </c>
      <c r="F185">
        <v>32.830572032946797</v>
      </c>
      <c r="G185">
        <v>18.524044736154899</v>
      </c>
      <c r="H185">
        <v>16.355402182742921</v>
      </c>
      <c r="I185">
        <v>1741.9463467479279</v>
      </c>
      <c r="J185">
        <v>30</v>
      </c>
      <c r="K185" t="s">
        <v>66</v>
      </c>
    </row>
    <row r="186" spans="1:11" x14ac:dyDescent="0.3">
      <c r="A186">
        <v>142.11208212710289</v>
      </c>
      <c r="B186">
        <v>6.6676130249939556</v>
      </c>
      <c r="C186">
        <v>9.0780279294729578</v>
      </c>
      <c r="D186">
        <v>21.82136854155873</v>
      </c>
      <c r="E186">
        <v>6.2209253157770528</v>
      </c>
      <c r="F186">
        <v>28.47643801600514</v>
      </c>
      <c r="G186">
        <v>21.15966331436497</v>
      </c>
      <c r="H186">
        <v>21.62576479284284</v>
      </c>
      <c r="I186">
        <v>1680.1683951526229</v>
      </c>
      <c r="J186">
        <v>12</v>
      </c>
      <c r="K186" t="s">
        <v>66</v>
      </c>
    </row>
    <row r="187" spans="1:11" x14ac:dyDescent="0.3">
      <c r="A187">
        <v>333.31674935547261</v>
      </c>
      <c r="B187">
        <v>20.029058144910799</v>
      </c>
      <c r="C187">
        <v>24.578976596176151</v>
      </c>
      <c r="D187">
        <v>54.173091255128377</v>
      </c>
      <c r="E187">
        <v>5.2820638209455906</v>
      </c>
      <c r="F187">
        <v>80.319709336739891</v>
      </c>
      <c r="G187">
        <v>31.854185172818919</v>
      </c>
      <c r="H187">
        <v>29.774446230538651</v>
      </c>
      <c r="I187">
        <v>11</v>
      </c>
      <c r="J187">
        <v>0</v>
      </c>
      <c r="K187" t="s">
        <v>66</v>
      </c>
    </row>
    <row r="188" spans="1:11" x14ac:dyDescent="0.3">
      <c r="A188">
        <v>29.171665433578539</v>
      </c>
      <c r="B188">
        <v>1.068332899281107</v>
      </c>
      <c r="C188">
        <v>1.9223306123397681</v>
      </c>
      <c r="D188">
        <v>3.4927452780098749</v>
      </c>
      <c r="E188">
        <v>5.9141384417417724</v>
      </c>
      <c r="F188">
        <v>21.49019119620829</v>
      </c>
      <c r="G188">
        <v>19.063897504922029</v>
      </c>
      <c r="H188">
        <v>19.875629394718619</v>
      </c>
      <c r="I188">
        <v>1956.3701037054791</v>
      </c>
      <c r="J188">
        <v>40</v>
      </c>
      <c r="K188" t="s">
        <v>66</v>
      </c>
    </row>
    <row r="189" spans="1:11" x14ac:dyDescent="0.3">
      <c r="A189">
        <v>24.158136719695161</v>
      </c>
      <c r="B189">
        <v>1.1246891715534719</v>
      </c>
      <c r="C189">
        <v>1.1173442276632439</v>
      </c>
      <c r="D189">
        <v>4.0007907379023244</v>
      </c>
      <c r="E189">
        <v>6.2854341447215436</v>
      </c>
      <c r="F189">
        <v>41.679002328997257</v>
      </c>
      <c r="G189">
        <v>23.97038935220969</v>
      </c>
      <c r="H189">
        <v>21.18468905195347</v>
      </c>
      <c r="I189">
        <v>1650.3614099233921</v>
      </c>
      <c r="J189">
        <v>25</v>
      </c>
      <c r="K189" t="s">
        <v>66</v>
      </c>
    </row>
    <row r="190" spans="1:11" x14ac:dyDescent="0.3">
      <c r="A190">
        <v>46.008933057570992</v>
      </c>
      <c r="B190">
        <v>2.0856614194415291</v>
      </c>
      <c r="C190">
        <v>3.0444268259394831</v>
      </c>
      <c r="D190">
        <v>5.8207326959415289</v>
      </c>
      <c r="E190">
        <v>5.5677563706651521</v>
      </c>
      <c r="F190">
        <v>19.52690556388837</v>
      </c>
      <c r="G190">
        <v>22.93812439848622</v>
      </c>
      <c r="H190">
        <v>26.55511669081681</v>
      </c>
      <c r="I190">
        <v>1608.276073594375</v>
      </c>
      <c r="J190">
        <v>18</v>
      </c>
      <c r="K190" t="s">
        <v>66</v>
      </c>
    </row>
    <row r="191" spans="1:11" x14ac:dyDescent="0.3">
      <c r="A191">
        <v>35.322796773697348</v>
      </c>
      <c r="B191">
        <v>0.98655032155982669</v>
      </c>
      <c r="C191">
        <v>2.1406855833574618</v>
      </c>
      <c r="D191">
        <v>4.162422448971232</v>
      </c>
      <c r="E191">
        <v>6.2559520260008767</v>
      </c>
      <c r="F191">
        <v>23.82184552704544</v>
      </c>
      <c r="G191">
        <v>22.82818487933859</v>
      </c>
      <c r="H191">
        <v>19.08632343052723</v>
      </c>
      <c r="I191">
        <v>1841.9844701354291</v>
      </c>
      <c r="J191">
        <v>40</v>
      </c>
      <c r="K191" t="s">
        <v>66</v>
      </c>
    </row>
    <row r="192" spans="1:11" x14ac:dyDescent="0.3">
      <c r="A192">
        <v>375.80204483305988</v>
      </c>
      <c r="B192">
        <v>17.74245553794697</v>
      </c>
      <c r="C192">
        <v>20.66346737963169</v>
      </c>
      <c r="D192">
        <v>65.779104901095707</v>
      </c>
      <c r="E192">
        <v>4.5561273656207666</v>
      </c>
      <c r="F192">
        <v>58.298467226155417</v>
      </c>
      <c r="G192">
        <v>30.49030117793238</v>
      </c>
      <c r="H192">
        <v>31.664531278161061</v>
      </c>
      <c r="I192">
        <v>14.17861152855278</v>
      </c>
      <c r="J192">
        <v>0</v>
      </c>
      <c r="K192" t="s">
        <v>66</v>
      </c>
    </row>
    <row r="193" spans="1:11" x14ac:dyDescent="0.3">
      <c r="A193">
        <v>117.7734571277915</v>
      </c>
      <c r="B193">
        <v>6.0114886664494511</v>
      </c>
      <c r="C193">
        <v>6.425196629249557</v>
      </c>
      <c r="D193">
        <v>16.048073400216762</v>
      </c>
      <c r="E193">
        <v>5.9624738173083944</v>
      </c>
      <c r="F193">
        <v>27.353327938101149</v>
      </c>
      <c r="G193">
        <v>24.454621396516131</v>
      </c>
      <c r="H193">
        <v>19.585936631286941</v>
      </c>
      <c r="I193">
        <v>2079.3991072525569</v>
      </c>
      <c r="J193">
        <v>20</v>
      </c>
      <c r="K193" t="s">
        <v>66</v>
      </c>
    </row>
    <row r="194" spans="1:11" x14ac:dyDescent="0.3">
      <c r="A194">
        <v>44.249889943472297</v>
      </c>
      <c r="B194">
        <v>2.1950624916955959</v>
      </c>
      <c r="C194">
        <v>2.3729091303440528</v>
      </c>
      <c r="D194">
        <v>7.6160461740701404</v>
      </c>
      <c r="E194">
        <v>7.4530745290422713</v>
      </c>
      <c r="F194">
        <v>47.205750658329933</v>
      </c>
      <c r="G194">
        <v>30.26117701738233</v>
      </c>
      <c r="H194">
        <v>22.260465095015402</v>
      </c>
      <c r="I194">
        <v>1353.450536498535</v>
      </c>
      <c r="J194">
        <v>25</v>
      </c>
      <c r="K194" t="s">
        <v>66</v>
      </c>
    </row>
    <row r="195" spans="1:11" x14ac:dyDescent="0.3">
      <c r="A195">
        <v>34.875581066720279</v>
      </c>
      <c r="B195">
        <v>0.97888697611723052</v>
      </c>
      <c r="C195">
        <v>2.088839665458134</v>
      </c>
      <c r="D195">
        <v>5.8119424964055764</v>
      </c>
      <c r="E195">
        <v>6.4393851764163559</v>
      </c>
      <c r="F195">
        <v>21.447747244384288</v>
      </c>
      <c r="G195">
        <v>24.880218361933832</v>
      </c>
      <c r="H195">
        <v>19.232758487108441</v>
      </c>
      <c r="I195">
        <v>1244.6911405795099</v>
      </c>
      <c r="J195">
        <v>45</v>
      </c>
      <c r="K195" t="s">
        <v>66</v>
      </c>
    </row>
    <row r="196" spans="1:11" x14ac:dyDescent="0.3">
      <c r="A196">
        <v>126.9366049803733</v>
      </c>
      <c r="B196">
        <v>6.1944342169329367</v>
      </c>
      <c r="C196">
        <v>7.9364892604754376</v>
      </c>
      <c r="D196">
        <v>23.158875783389721</v>
      </c>
      <c r="E196">
        <v>4.9799439396919034</v>
      </c>
      <c r="F196">
        <v>52.432981846384052</v>
      </c>
      <c r="G196">
        <v>19.212506785798212</v>
      </c>
      <c r="H196">
        <v>21.438200016446519</v>
      </c>
      <c r="I196">
        <v>1698.972903777099</v>
      </c>
      <c r="J196">
        <v>12</v>
      </c>
      <c r="K196" t="s">
        <v>66</v>
      </c>
    </row>
    <row r="197" spans="1:11" x14ac:dyDescent="0.3">
      <c r="A197">
        <v>28.476599059562339</v>
      </c>
      <c r="B197">
        <v>1.1051947617722919</v>
      </c>
      <c r="C197">
        <v>1.716946561615162</v>
      </c>
      <c r="D197">
        <v>3.7016231494097589</v>
      </c>
      <c r="E197">
        <v>5.8912272510884947</v>
      </c>
      <c r="F197">
        <v>21.269763256088279</v>
      </c>
      <c r="G197">
        <v>16.971545049829739</v>
      </c>
      <c r="H197">
        <v>21.011234320353751</v>
      </c>
      <c r="I197">
        <v>1740.699806223226</v>
      </c>
      <c r="J197">
        <v>35</v>
      </c>
      <c r="K197" t="s">
        <v>66</v>
      </c>
    </row>
    <row r="198" spans="1:11" x14ac:dyDescent="0.3">
      <c r="A198">
        <v>104.03320548529049</v>
      </c>
      <c r="B198">
        <v>5.4464769350543847</v>
      </c>
      <c r="C198">
        <v>5.5647497799010601</v>
      </c>
      <c r="D198">
        <v>16.255846551912651</v>
      </c>
      <c r="E198">
        <v>6.0460352536380322</v>
      </c>
      <c r="F198">
        <v>39.995933501571329</v>
      </c>
      <c r="G198">
        <v>24.318663064044291</v>
      </c>
      <c r="H198">
        <v>18.103268624449829</v>
      </c>
      <c r="I198">
        <v>2095.5423861272702</v>
      </c>
      <c r="J198">
        <v>20</v>
      </c>
      <c r="K198" t="s">
        <v>66</v>
      </c>
    </row>
    <row r="199" spans="1:11" x14ac:dyDescent="0.3">
      <c r="A199">
        <v>38.979261605012127</v>
      </c>
      <c r="B199">
        <v>1.0390464849928891</v>
      </c>
      <c r="C199">
        <v>1.771396137585254</v>
      </c>
      <c r="D199">
        <v>5.5134473091289573</v>
      </c>
      <c r="E199">
        <v>5.3631064905122248</v>
      </c>
      <c r="F199">
        <v>40.506024932401587</v>
      </c>
      <c r="G199">
        <v>25.57436615595644</v>
      </c>
      <c r="H199">
        <v>18.993140182209292</v>
      </c>
      <c r="I199">
        <v>1959.9769974425401</v>
      </c>
      <c r="J199">
        <v>40</v>
      </c>
      <c r="K199" t="s">
        <v>66</v>
      </c>
    </row>
    <row r="200" spans="1:11" x14ac:dyDescent="0.3">
      <c r="A200">
        <v>79.760815373457618</v>
      </c>
      <c r="B200">
        <v>3.4236661666246291</v>
      </c>
      <c r="C200">
        <v>5.1490792329952626</v>
      </c>
      <c r="D200">
        <v>10.091276809113999</v>
      </c>
      <c r="E200">
        <v>6.2603489555727014</v>
      </c>
      <c r="F200">
        <v>68.804679327299596</v>
      </c>
      <c r="G200">
        <v>20.215299322041488</v>
      </c>
      <c r="H200">
        <v>20.922130209997249</v>
      </c>
      <c r="I200">
        <v>1497.5291421417051</v>
      </c>
      <c r="J200">
        <v>18</v>
      </c>
      <c r="K200" t="s">
        <v>66</v>
      </c>
    </row>
    <row r="201" spans="1:11" x14ac:dyDescent="0.3">
      <c r="A201">
        <v>100.6739123937294</v>
      </c>
      <c r="B201">
        <v>4.4815537748675256</v>
      </c>
      <c r="C201">
        <v>6.1588651865867874</v>
      </c>
      <c r="D201">
        <v>16.138236624245419</v>
      </c>
      <c r="E201">
        <v>5.7584731096080528</v>
      </c>
      <c r="F201">
        <v>37.361201007493449</v>
      </c>
      <c r="G201">
        <v>22.498996206370929</v>
      </c>
      <c r="H201">
        <v>26.57056724916163</v>
      </c>
      <c r="I201">
        <v>674.06911630228478</v>
      </c>
      <c r="J201">
        <v>25</v>
      </c>
      <c r="K201" t="s">
        <v>66</v>
      </c>
    </row>
    <row r="202" spans="1:11" x14ac:dyDescent="0.3">
      <c r="A202">
        <v>122.64157672138499</v>
      </c>
      <c r="B202">
        <v>6.8237090848059179</v>
      </c>
      <c r="C202">
        <v>7.8074678603758292</v>
      </c>
      <c r="D202">
        <v>20.182187212511831</v>
      </c>
      <c r="E202">
        <v>6.3922421998805614</v>
      </c>
      <c r="F202">
        <v>21.402379735045411</v>
      </c>
      <c r="G202">
        <v>29.779880314671519</v>
      </c>
      <c r="H202">
        <v>30.51045649544707</v>
      </c>
      <c r="I202">
        <v>48.077879600081758</v>
      </c>
      <c r="J202">
        <v>0</v>
      </c>
      <c r="K202" t="s">
        <v>66</v>
      </c>
    </row>
    <row r="203" spans="1:11" x14ac:dyDescent="0.3">
      <c r="A203">
        <v>62.975450041207111</v>
      </c>
      <c r="B203">
        <v>3.2649329331441481</v>
      </c>
      <c r="C203">
        <v>4.5482144575986858</v>
      </c>
      <c r="D203">
        <v>9.529070299323962</v>
      </c>
      <c r="E203">
        <v>5.9312324252094628</v>
      </c>
      <c r="F203">
        <v>33.279725781251848</v>
      </c>
      <c r="G203">
        <v>17.813709092543181</v>
      </c>
      <c r="H203">
        <v>18.590464128458159</v>
      </c>
      <c r="I203">
        <v>2078.4264067286331</v>
      </c>
      <c r="J203">
        <v>20</v>
      </c>
      <c r="K203" t="s">
        <v>66</v>
      </c>
    </row>
    <row r="204" spans="1:11" x14ac:dyDescent="0.3">
      <c r="A204">
        <v>74.171364001750419</v>
      </c>
      <c r="B204">
        <v>2.9051781431918848</v>
      </c>
      <c r="C204">
        <v>4.574732360626478</v>
      </c>
      <c r="D204">
        <v>11.79705277722862</v>
      </c>
      <c r="E204">
        <v>6.6379584354820871</v>
      </c>
      <c r="F204">
        <v>15.88190878949386</v>
      </c>
      <c r="G204">
        <v>26.199639686037852</v>
      </c>
      <c r="H204">
        <v>25.014160595711761</v>
      </c>
      <c r="I204">
        <v>686.94382984805338</v>
      </c>
      <c r="J204">
        <v>25</v>
      </c>
      <c r="K204" t="s">
        <v>66</v>
      </c>
    </row>
    <row r="205" spans="1:11" x14ac:dyDescent="0.3">
      <c r="A205">
        <v>79.499011955051273</v>
      </c>
      <c r="B205">
        <v>4.2502523734583999</v>
      </c>
      <c r="C205">
        <v>5.1819853154263686</v>
      </c>
      <c r="D205">
        <v>11.579066153278131</v>
      </c>
      <c r="E205">
        <v>6.1777271545457024</v>
      </c>
      <c r="F205">
        <v>15.00909447883949</v>
      </c>
      <c r="G205">
        <v>34.90965173562261</v>
      </c>
      <c r="H205">
        <v>30.93342530560869</v>
      </c>
      <c r="I205">
        <v>48.234993234819363</v>
      </c>
      <c r="J205">
        <v>0</v>
      </c>
      <c r="K205" t="s">
        <v>66</v>
      </c>
    </row>
    <row r="206" spans="1:11" x14ac:dyDescent="0.3">
      <c r="A206">
        <v>840.26974066464129</v>
      </c>
      <c r="B206">
        <v>35.33154320206792</v>
      </c>
      <c r="C206">
        <v>67</v>
      </c>
      <c r="D206">
        <v>153</v>
      </c>
      <c r="E206">
        <v>5.4217566450355577</v>
      </c>
      <c r="F206">
        <v>47.439477190638669</v>
      </c>
      <c r="G206">
        <v>19.80030177234222</v>
      </c>
      <c r="H206">
        <v>21.59215594537655</v>
      </c>
      <c r="I206">
        <v>1493.566984324787</v>
      </c>
      <c r="J206">
        <v>30</v>
      </c>
      <c r="K206" t="s">
        <v>66</v>
      </c>
    </row>
    <row r="207" spans="1:11" x14ac:dyDescent="0.3">
      <c r="A207">
        <v>245.9118505750279</v>
      </c>
      <c r="B207">
        <v>10.692440355189129</v>
      </c>
      <c r="C207">
        <v>17.39754164384232</v>
      </c>
      <c r="D207">
        <v>37.733179567779793</v>
      </c>
      <c r="E207">
        <v>5.3897031621507594</v>
      </c>
      <c r="F207">
        <v>31.422127537527189</v>
      </c>
      <c r="G207">
        <v>20.71699134611638</v>
      </c>
      <c r="H207">
        <v>18.034545011176071</v>
      </c>
      <c r="I207">
        <v>1553.8656728581479</v>
      </c>
      <c r="J207">
        <v>25</v>
      </c>
      <c r="K207" t="s">
        <v>66</v>
      </c>
    </row>
    <row r="208" spans="1:11" x14ac:dyDescent="0.3">
      <c r="A208">
        <v>22.034899848293961</v>
      </c>
      <c r="B208">
        <v>0.90006977677050892</v>
      </c>
      <c r="C208">
        <v>1.1170198709196599</v>
      </c>
      <c r="D208">
        <v>2.7684684127821368</v>
      </c>
      <c r="E208">
        <v>6.4256554615250181</v>
      </c>
      <c r="F208">
        <v>33.63542433684993</v>
      </c>
      <c r="G208">
        <v>18.442129246126271</v>
      </c>
      <c r="H208">
        <v>16.064111399457271</v>
      </c>
      <c r="I208">
        <v>1786.842169316378</v>
      </c>
      <c r="J208">
        <v>30</v>
      </c>
      <c r="K208" t="s">
        <v>66</v>
      </c>
    </row>
    <row r="209" spans="1:11" x14ac:dyDescent="0.3">
      <c r="A209">
        <v>35.502877173813793</v>
      </c>
      <c r="B209">
        <v>1.077602791384348</v>
      </c>
      <c r="C209">
        <v>1.8043000908266791</v>
      </c>
      <c r="D209">
        <v>4.6676744512489687</v>
      </c>
      <c r="E209">
        <v>5.5786204900269469</v>
      </c>
      <c r="F209">
        <v>23.292886456312392</v>
      </c>
      <c r="G209">
        <v>19.573142948688002</v>
      </c>
      <c r="H209">
        <v>27.070377552488331</v>
      </c>
      <c r="I209">
        <v>1911.268560213462</v>
      </c>
      <c r="J209">
        <v>20</v>
      </c>
      <c r="K209" t="s">
        <v>66</v>
      </c>
    </row>
    <row r="210" spans="1:11" x14ac:dyDescent="0.3">
      <c r="A210">
        <v>89</v>
      </c>
      <c r="B210">
        <v>4</v>
      </c>
      <c r="C210">
        <v>6</v>
      </c>
      <c r="D210">
        <v>14</v>
      </c>
      <c r="E210">
        <v>6.7</v>
      </c>
      <c r="F210">
        <v>13.9</v>
      </c>
      <c r="G210">
        <v>31.3</v>
      </c>
      <c r="H210">
        <v>31</v>
      </c>
      <c r="I210">
        <v>48</v>
      </c>
      <c r="J210">
        <v>0</v>
      </c>
      <c r="K210" t="s">
        <v>67</v>
      </c>
    </row>
    <row r="211" spans="1:11" x14ac:dyDescent="0.3">
      <c r="A211">
        <v>49</v>
      </c>
      <c r="B211">
        <v>2</v>
      </c>
      <c r="C211">
        <v>3</v>
      </c>
      <c r="D211">
        <v>7</v>
      </c>
      <c r="E211">
        <v>5.5</v>
      </c>
      <c r="F211">
        <v>19.3</v>
      </c>
      <c r="G211">
        <v>23.5</v>
      </c>
      <c r="H211">
        <v>27</v>
      </c>
      <c r="I211">
        <v>1597</v>
      </c>
      <c r="J211">
        <v>18</v>
      </c>
      <c r="K211" t="s">
        <v>67</v>
      </c>
    </row>
    <row r="212" spans="1:11" x14ac:dyDescent="0.3">
      <c r="A212">
        <v>38.448457858211597</v>
      </c>
      <c r="B212">
        <v>1.986773477074836</v>
      </c>
      <c r="C212">
        <v>2.097512059417344</v>
      </c>
      <c r="D212">
        <v>6.710392465918134</v>
      </c>
      <c r="E212">
        <v>5.9888550598328338</v>
      </c>
      <c r="F212">
        <v>40.048573570699787</v>
      </c>
      <c r="G212">
        <v>20.224046641633979</v>
      </c>
      <c r="H212">
        <v>17.83513305709997</v>
      </c>
      <c r="I212">
        <v>1901.3620452046059</v>
      </c>
      <c r="J212">
        <v>20</v>
      </c>
      <c r="K212" t="s">
        <v>66</v>
      </c>
    </row>
    <row r="213" spans="1:11" x14ac:dyDescent="0.3">
      <c r="A213">
        <v>36.931771658528753</v>
      </c>
      <c r="B213">
        <v>1.1360658595838651</v>
      </c>
      <c r="C213">
        <v>1.952806002557806</v>
      </c>
      <c r="D213">
        <v>6.4505236676407991</v>
      </c>
      <c r="E213">
        <v>5.5035357461661016</v>
      </c>
      <c r="F213">
        <v>29.971539899587111</v>
      </c>
      <c r="G213">
        <v>17.503809407027319</v>
      </c>
      <c r="H213">
        <v>22.229715326395979</v>
      </c>
      <c r="I213">
        <v>1770.1743790958551</v>
      </c>
      <c r="J213">
        <v>35</v>
      </c>
      <c r="K213" t="s">
        <v>66</v>
      </c>
    </row>
    <row r="214" spans="1:11" x14ac:dyDescent="0.3">
      <c r="A214">
        <v>27.565039201973011</v>
      </c>
      <c r="B214">
        <v>0.99685608296252237</v>
      </c>
      <c r="C214">
        <v>1.9749651143233671</v>
      </c>
      <c r="D214">
        <v>4.191601257357104</v>
      </c>
      <c r="E214">
        <v>6.2211856334529667</v>
      </c>
      <c r="F214">
        <v>23.40058570365332</v>
      </c>
      <c r="G214">
        <v>16.70671269535265</v>
      </c>
      <c r="H214">
        <v>20.732580171917181</v>
      </c>
      <c r="I214">
        <v>1749.163281558288</v>
      </c>
      <c r="J214">
        <v>35</v>
      </c>
      <c r="K214" t="s">
        <v>66</v>
      </c>
    </row>
    <row r="215" spans="1:11" x14ac:dyDescent="0.3">
      <c r="A215">
        <v>62</v>
      </c>
      <c r="B215">
        <v>3</v>
      </c>
      <c r="C215">
        <v>4</v>
      </c>
      <c r="D215">
        <v>10</v>
      </c>
      <c r="E215">
        <v>6.2</v>
      </c>
      <c r="F215">
        <v>18.899999999999999</v>
      </c>
      <c r="G215">
        <v>22.9</v>
      </c>
      <c r="H215">
        <v>21</v>
      </c>
      <c r="I215">
        <v>1567.28</v>
      </c>
      <c r="J215">
        <v>30</v>
      </c>
      <c r="K215" t="s">
        <v>67</v>
      </c>
    </row>
    <row r="216" spans="1:11" x14ac:dyDescent="0.3">
      <c r="A216">
        <v>21</v>
      </c>
      <c r="B216">
        <v>1</v>
      </c>
      <c r="C216">
        <v>1</v>
      </c>
      <c r="D216">
        <v>3</v>
      </c>
      <c r="E216">
        <v>6.3</v>
      </c>
      <c r="F216">
        <v>49.2</v>
      </c>
      <c r="G216">
        <v>22.4</v>
      </c>
      <c r="H216">
        <v>21</v>
      </c>
      <c r="I216">
        <v>1284</v>
      </c>
      <c r="J216">
        <v>30</v>
      </c>
      <c r="K216" t="s">
        <v>67</v>
      </c>
    </row>
    <row r="217" spans="1:11" x14ac:dyDescent="0.3">
      <c r="A217">
        <v>6.3284300746453352</v>
      </c>
      <c r="B217">
        <v>0</v>
      </c>
      <c r="C217">
        <v>0</v>
      </c>
      <c r="D217">
        <v>1.058726241346418</v>
      </c>
      <c r="E217">
        <v>6.5978585484773351</v>
      </c>
      <c r="F217">
        <v>27.007276138485519</v>
      </c>
      <c r="G217">
        <v>19.940612629402761</v>
      </c>
      <c r="H217">
        <v>20.287308543930639</v>
      </c>
      <c r="I217">
        <v>1604.1886317147289</v>
      </c>
      <c r="J217">
        <v>25</v>
      </c>
      <c r="K217" t="s">
        <v>66</v>
      </c>
    </row>
    <row r="218" spans="1:11" x14ac:dyDescent="0.3">
      <c r="A218">
        <v>31.772192823965931</v>
      </c>
      <c r="B218">
        <v>0.79961376355932468</v>
      </c>
      <c r="C218">
        <v>2.1528059563145718</v>
      </c>
      <c r="D218">
        <v>5.6012882526126138</v>
      </c>
      <c r="E218">
        <v>6.2590538038200707</v>
      </c>
      <c r="F218">
        <v>20.32373599287839</v>
      </c>
      <c r="G218">
        <v>24.920107268239189</v>
      </c>
      <c r="H218">
        <v>19.78092023732253</v>
      </c>
      <c r="I218">
        <v>1271.4949950717321</v>
      </c>
      <c r="J218">
        <v>45</v>
      </c>
      <c r="K218" t="s">
        <v>66</v>
      </c>
    </row>
    <row r="219" spans="1:11" x14ac:dyDescent="0.3">
      <c r="A219">
        <v>12.167981175791891</v>
      </c>
      <c r="B219">
        <v>0</v>
      </c>
      <c r="C219">
        <v>0</v>
      </c>
      <c r="D219">
        <v>0.91493867470480517</v>
      </c>
      <c r="E219">
        <v>6.1260058849864114</v>
      </c>
      <c r="F219">
        <v>19.548644544643579</v>
      </c>
      <c r="G219">
        <v>19.80447285059245</v>
      </c>
      <c r="H219">
        <v>19.009056352339481</v>
      </c>
      <c r="I219">
        <v>1830.7635079737579</v>
      </c>
      <c r="J219">
        <v>40</v>
      </c>
      <c r="K219" t="s">
        <v>66</v>
      </c>
    </row>
    <row r="220" spans="1:11" x14ac:dyDescent="0.3">
      <c r="A220">
        <v>358.56405482148858</v>
      </c>
      <c r="B220">
        <v>15.62594827321043</v>
      </c>
      <c r="C220">
        <v>21.7378607860995</v>
      </c>
      <c r="D220">
        <v>57.449110909365963</v>
      </c>
      <c r="E220">
        <v>5.1953609206529681</v>
      </c>
      <c r="F220">
        <v>68.310757998882195</v>
      </c>
      <c r="G220">
        <v>29.711257947171561</v>
      </c>
      <c r="H220">
        <v>28.215852859525619</v>
      </c>
      <c r="I220">
        <v>11</v>
      </c>
      <c r="J220">
        <v>0</v>
      </c>
      <c r="K220" t="s">
        <v>66</v>
      </c>
    </row>
    <row r="221" spans="1:11" x14ac:dyDescent="0.3">
      <c r="A221">
        <v>58.550304200424947</v>
      </c>
      <c r="B221">
        <v>3.0474160469760401</v>
      </c>
      <c r="C221">
        <v>4.4809804991932287</v>
      </c>
      <c r="D221">
        <v>7.7199933154444134</v>
      </c>
      <c r="E221">
        <v>5.9981148105153874</v>
      </c>
      <c r="F221">
        <v>34.738248204867517</v>
      </c>
      <c r="G221">
        <v>17.931334357687561</v>
      </c>
      <c r="H221">
        <v>18.16328663874588</v>
      </c>
      <c r="I221">
        <v>2091.9445793118989</v>
      </c>
      <c r="J221">
        <v>20</v>
      </c>
      <c r="K221" t="s">
        <v>66</v>
      </c>
    </row>
    <row r="222" spans="1:11" x14ac:dyDescent="0.3">
      <c r="A222">
        <v>26.845675437157372</v>
      </c>
      <c r="B222">
        <v>1.0171839339793529</v>
      </c>
      <c r="C222">
        <v>0.8878756259905608</v>
      </c>
      <c r="D222">
        <v>3.6730367462342639</v>
      </c>
      <c r="E222">
        <v>6.3315791572450157</v>
      </c>
      <c r="F222">
        <v>26.038861928502801</v>
      </c>
      <c r="G222">
        <v>24.962513586555431</v>
      </c>
      <c r="H222">
        <v>19.873184329477191</v>
      </c>
      <c r="I222">
        <v>1887.618782891637</v>
      </c>
      <c r="J222">
        <v>40</v>
      </c>
      <c r="K222" t="s">
        <v>66</v>
      </c>
    </row>
    <row r="223" spans="1:11" x14ac:dyDescent="0.3">
      <c r="A223">
        <v>92.329992865894482</v>
      </c>
      <c r="B223">
        <v>3.9081805378558609</v>
      </c>
      <c r="C223">
        <v>5.9655655781990742</v>
      </c>
      <c r="D223">
        <v>12.71477331370545</v>
      </c>
      <c r="E223">
        <v>5.8896644590740994</v>
      </c>
      <c r="F223">
        <v>34.060996519387608</v>
      </c>
      <c r="G223">
        <v>19.693848110569281</v>
      </c>
      <c r="H223">
        <v>19.429577240531071</v>
      </c>
      <c r="I223">
        <v>2116.610637207581</v>
      </c>
      <c r="J223">
        <v>20</v>
      </c>
      <c r="K223" t="s">
        <v>66</v>
      </c>
    </row>
    <row r="224" spans="1:11" x14ac:dyDescent="0.3">
      <c r="A224">
        <v>960</v>
      </c>
      <c r="B224">
        <v>47</v>
      </c>
      <c r="C224">
        <v>61.566294213686739</v>
      </c>
      <c r="D224">
        <v>140.48945933194139</v>
      </c>
      <c r="E224">
        <v>5.2987794006638751</v>
      </c>
      <c r="F224">
        <v>26.212019936711439</v>
      </c>
      <c r="G224">
        <v>19.748670239891531</v>
      </c>
      <c r="H224">
        <v>21.864893096315129</v>
      </c>
      <c r="I224">
        <v>1416.194553286605</v>
      </c>
      <c r="J224">
        <v>30</v>
      </c>
      <c r="K224" t="s">
        <v>66</v>
      </c>
    </row>
    <row r="225" spans="1:11" x14ac:dyDescent="0.3">
      <c r="A225">
        <v>30.020878862595069</v>
      </c>
      <c r="B225">
        <v>0.98625514853723084</v>
      </c>
      <c r="C225">
        <v>1.8948240648209591</v>
      </c>
      <c r="D225">
        <v>5.689234813730752</v>
      </c>
      <c r="E225">
        <v>6.3774628626024557</v>
      </c>
      <c r="F225">
        <v>20.953323784317831</v>
      </c>
      <c r="G225">
        <v>24.716121766942731</v>
      </c>
      <c r="H225">
        <v>19.979256664708512</v>
      </c>
      <c r="I225">
        <v>1285.3725684049809</v>
      </c>
      <c r="J225">
        <v>45</v>
      </c>
      <c r="K225" t="s">
        <v>66</v>
      </c>
    </row>
    <row r="226" spans="1:11" x14ac:dyDescent="0.3">
      <c r="A226">
        <v>51.407592910666509</v>
      </c>
      <c r="B226">
        <v>1.827444847191376</v>
      </c>
      <c r="C226">
        <v>2.9281494233934748</v>
      </c>
      <c r="D226">
        <v>7.4841330025849722</v>
      </c>
      <c r="E226">
        <v>5.3938731288607347</v>
      </c>
      <c r="F226">
        <v>19.011398332753</v>
      </c>
      <c r="G226">
        <v>24.556475184272252</v>
      </c>
      <c r="H226">
        <v>26.971319974373269</v>
      </c>
      <c r="I226">
        <v>1557.957731944284</v>
      </c>
      <c r="J226">
        <v>18</v>
      </c>
      <c r="K226" t="s">
        <v>66</v>
      </c>
    </row>
    <row r="227" spans="1:11" x14ac:dyDescent="0.3">
      <c r="A227">
        <v>72.742679460084318</v>
      </c>
      <c r="B227">
        <v>2.7332277515315031</v>
      </c>
      <c r="C227">
        <v>4.0894569653527517</v>
      </c>
      <c r="D227">
        <v>10.149667319437031</v>
      </c>
      <c r="E227">
        <v>6.1707284329974206</v>
      </c>
      <c r="F227">
        <v>63.179825385206463</v>
      </c>
      <c r="G227">
        <v>20.15151015749942</v>
      </c>
      <c r="H227">
        <v>20.38406201166627</v>
      </c>
      <c r="I227">
        <v>1478.644672573839</v>
      </c>
      <c r="J227">
        <v>18</v>
      </c>
      <c r="K227" t="s">
        <v>66</v>
      </c>
    </row>
    <row r="228" spans="1:11" x14ac:dyDescent="0.3">
      <c r="A228">
        <v>47.270726895159441</v>
      </c>
      <c r="B228">
        <v>1.8333887885998481</v>
      </c>
      <c r="C228">
        <v>2.4151314846736902</v>
      </c>
      <c r="D228">
        <v>1.6986931939619201</v>
      </c>
      <c r="E228">
        <v>6.2544348582190592</v>
      </c>
      <c r="F228">
        <v>20.244487940871831</v>
      </c>
      <c r="G228">
        <v>28.23978344948743</v>
      </c>
      <c r="H228">
        <v>26.329025283205489</v>
      </c>
      <c r="I228">
        <v>735.13747923251628</v>
      </c>
      <c r="J228">
        <v>0</v>
      </c>
      <c r="K228" t="s">
        <v>66</v>
      </c>
    </row>
    <row r="229" spans="1:11" x14ac:dyDescent="0.3">
      <c r="A229">
        <v>332.01643966335592</v>
      </c>
      <c r="B229">
        <v>17.734268325945699</v>
      </c>
      <c r="C229">
        <v>23.454056976111818</v>
      </c>
      <c r="D229">
        <v>55.342822422905179</v>
      </c>
      <c r="E229">
        <v>6.2315055310922753</v>
      </c>
      <c r="F229">
        <v>33.093893060895233</v>
      </c>
      <c r="G229">
        <v>27.124999483659401</v>
      </c>
      <c r="H229">
        <v>22.650725932987719</v>
      </c>
      <c r="I229">
        <v>1354.4627479524479</v>
      </c>
      <c r="J229">
        <v>20</v>
      </c>
      <c r="K229" t="s">
        <v>66</v>
      </c>
    </row>
    <row r="230" spans="1:11" x14ac:dyDescent="0.3">
      <c r="A230">
        <v>891.35321385788961</v>
      </c>
      <c r="B230">
        <v>46.016657193400718</v>
      </c>
      <c r="C230">
        <v>67</v>
      </c>
      <c r="D230">
        <v>135.83720812630489</v>
      </c>
      <c r="E230">
        <v>5.3034339986504593</v>
      </c>
      <c r="F230">
        <v>26.67597659236273</v>
      </c>
      <c r="G230">
        <v>19.263475004761631</v>
      </c>
      <c r="H230">
        <v>22.324547142502158</v>
      </c>
      <c r="I230">
        <v>1497.500804377278</v>
      </c>
      <c r="J230">
        <v>30</v>
      </c>
      <c r="K230" t="s">
        <v>66</v>
      </c>
    </row>
    <row r="231" spans="1:11" x14ac:dyDescent="0.3">
      <c r="A231">
        <v>119.32034891466949</v>
      </c>
      <c r="B231">
        <v>4.9772943910338796</v>
      </c>
      <c r="C231">
        <v>7.5280841948296873</v>
      </c>
      <c r="D231">
        <v>18.537836004579169</v>
      </c>
      <c r="E231">
        <v>5.6367771105913214</v>
      </c>
      <c r="F231">
        <v>44.226210873570693</v>
      </c>
      <c r="G231">
        <v>21.033555210288029</v>
      </c>
      <c r="H231">
        <v>27.659894394208191</v>
      </c>
      <c r="I231">
        <v>1768.778356566022</v>
      </c>
      <c r="J231">
        <v>25</v>
      </c>
      <c r="K231" t="s">
        <v>66</v>
      </c>
    </row>
    <row r="232" spans="1:11" x14ac:dyDescent="0.3">
      <c r="A232">
        <v>22.340802781249732</v>
      </c>
      <c r="B232">
        <v>0.90755340118704453</v>
      </c>
      <c r="C232">
        <v>1.02231530547477</v>
      </c>
      <c r="D232">
        <v>3.3060109520706269</v>
      </c>
      <c r="E232">
        <v>6.2176135153749881</v>
      </c>
      <c r="F232">
        <v>29.470632416782511</v>
      </c>
      <c r="G232">
        <v>22.790575652732208</v>
      </c>
      <c r="H232">
        <v>22.48296347774566</v>
      </c>
      <c r="I232">
        <v>1705.5140646376331</v>
      </c>
      <c r="J232">
        <v>17</v>
      </c>
      <c r="K232" t="s">
        <v>66</v>
      </c>
    </row>
    <row r="233" spans="1:11" x14ac:dyDescent="0.3">
      <c r="A233">
        <v>64.89917397675211</v>
      </c>
      <c r="B233">
        <v>3.168275834382372</v>
      </c>
      <c r="C233">
        <v>4.2000961877746281</v>
      </c>
      <c r="D233">
        <v>8.4175720259763605</v>
      </c>
      <c r="E233">
        <v>5.6787989875872444</v>
      </c>
      <c r="F233">
        <v>43.319878364835709</v>
      </c>
      <c r="G233">
        <v>19.881155821910379</v>
      </c>
      <c r="H233">
        <v>20.572773084622391</v>
      </c>
      <c r="I233">
        <v>1758.2131288642261</v>
      </c>
      <c r="J233">
        <v>10</v>
      </c>
      <c r="K233" t="s">
        <v>66</v>
      </c>
    </row>
    <row r="234" spans="1:11" x14ac:dyDescent="0.3">
      <c r="A234">
        <v>10.598729664606431</v>
      </c>
      <c r="B234">
        <v>5.6868292725814786</v>
      </c>
      <c r="C234">
        <v>8.3672813962685986</v>
      </c>
      <c r="D234">
        <v>13.801864280162141</v>
      </c>
      <c r="E234">
        <v>6.3130458073975957</v>
      </c>
      <c r="F234">
        <v>31.077362130838161</v>
      </c>
      <c r="G234">
        <v>23.5360151849628</v>
      </c>
      <c r="H234">
        <v>24.616398943731681</v>
      </c>
      <c r="I234">
        <v>696.48274422131146</v>
      </c>
      <c r="J234">
        <v>25</v>
      </c>
      <c r="K234" t="s">
        <v>66</v>
      </c>
    </row>
    <row r="235" spans="1:11" x14ac:dyDescent="0.3">
      <c r="A235">
        <v>23.90029748711078</v>
      </c>
      <c r="B235">
        <v>1.169995737457638</v>
      </c>
      <c r="C235">
        <v>1.002521086754008</v>
      </c>
      <c r="D235">
        <v>2.5855224844609261</v>
      </c>
      <c r="E235">
        <v>6.4618007454283486</v>
      </c>
      <c r="F235">
        <v>30.54550312182559</v>
      </c>
      <c r="G235">
        <v>22.197517368727269</v>
      </c>
      <c r="H235">
        <v>23.057217999870929</v>
      </c>
      <c r="I235">
        <v>1668.837231113665</v>
      </c>
      <c r="J235">
        <v>17</v>
      </c>
      <c r="K235" t="s">
        <v>66</v>
      </c>
    </row>
    <row r="236" spans="1:11" x14ac:dyDescent="0.3">
      <c r="A236">
        <v>506.15068895757128</v>
      </c>
      <c r="B236">
        <v>23.6281877306476</v>
      </c>
      <c r="C236">
        <v>34.553208614686334</v>
      </c>
      <c r="D236">
        <v>79.250998528682175</v>
      </c>
      <c r="E236">
        <v>5.4398537752851182</v>
      </c>
      <c r="F236">
        <v>67.517664925023368</v>
      </c>
      <c r="G236">
        <v>30.662246730378481</v>
      </c>
      <c r="H236">
        <v>31.550375107764861</v>
      </c>
      <c r="I236">
        <v>11.191859843017429</v>
      </c>
      <c r="J236">
        <v>0</v>
      </c>
      <c r="K236" t="s">
        <v>66</v>
      </c>
    </row>
    <row r="237" spans="1:11" x14ac:dyDescent="0.3">
      <c r="A237">
        <v>74.35888507047305</v>
      </c>
      <c r="B237">
        <v>2.6311351216642751</v>
      </c>
      <c r="C237">
        <v>5.1654256523077891</v>
      </c>
      <c r="D237">
        <v>14.73099051317717</v>
      </c>
      <c r="E237">
        <v>6.301647724940004</v>
      </c>
      <c r="F237">
        <v>33.834110673673052</v>
      </c>
      <c r="G237">
        <v>25.84960488333212</v>
      </c>
      <c r="H237">
        <v>22.37256881467135</v>
      </c>
      <c r="I237">
        <v>1353.5047864775561</v>
      </c>
      <c r="J237">
        <v>25</v>
      </c>
      <c r="K237" t="s">
        <v>66</v>
      </c>
    </row>
    <row r="238" spans="1:11" x14ac:dyDescent="0.3">
      <c r="A238">
        <v>11.83732583937446</v>
      </c>
      <c r="B238">
        <v>0</v>
      </c>
      <c r="C238">
        <v>0</v>
      </c>
      <c r="D238">
        <v>1.075495876614196</v>
      </c>
      <c r="E238">
        <v>6.6659555309054017</v>
      </c>
      <c r="F238">
        <v>26.546348106304631</v>
      </c>
      <c r="G238">
        <v>18.58393446446588</v>
      </c>
      <c r="H238">
        <v>29.009871825356068</v>
      </c>
      <c r="I238">
        <v>2205.7465855703599</v>
      </c>
      <c r="J238">
        <v>15</v>
      </c>
      <c r="K238" t="s">
        <v>66</v>
      </c>
    </row>
    <row r="239" spans="1:11" x14ac:dyDescent="0.3">
      <c r="A239">
        <v>49.344794675460143</v>
      </c>
      <c r="B239">
        <v>1.724476499849152</v>
      </c>
      <c r="C239">
        <v>3.1579610051016922</v>
      </c>
      <c r="D239">
        <v>8.501147737963155</v>
      </c>
      <c r="E239">
        <v>6.6612811634322364</v>
      </c>
      <c r="F239">
        <v>20.28774863919773</v>
      </c>
      <c r="G239">
        <v>23.243196969967201</v>
      </c>
      <c r="H239">
        <v>21.524755628979779</v>
      </c>
      <c r="I239">
        <v>1733.9084328098011</v>
      </c>
      <c r="J239">
        <v>25</v>
      </c>
      <c r="K239" t="s">
        <v>66</v>
      </c>
    </row>
    <row r="240" spans="1:11" x14ac:dyDescent="0.3">
      <c r="A240">
        <v>6</v>
      </c>
      <c r="B240">
        <v>0</v>
      </c>
      <c r="C240">
        <v>0</v>
      </c>
      <c r="D240">
        <v>0</v>
      </c>
      <c r="E240">
        <v>5.9</v>
      </c>
      <c r="F240">
        <v>22.1</v>
      </c>
      <c r="G240">
        <v>21</v>
      </c>
      <c r="H240">
        <v>26</v>
      </c>
      <c r="I240">
        <v>1866</v>
      </c>
      <c r="J240">
        <v>20</v>
      </c>
      <c r="K240" t="s">
        <v>67</v>
      </c>
    </row>
    <row r="241" spans="1:11" x14ac:dyDescent="0.3">
      <c r="A241">
        <v>275.68686805076442</v>
      </c>
      <c r="B241">
        <v>11.970965272330901</v>
      </c>
      <c r="C241">
        <v>13.52194441823686</v>
      </c>
      <c r="D241">
        <v>36.827166332784493</v>
      </c>
      <c r="E241">
        <v>5.2917577952303194</v>
      </c>
      <c r="F241">
        <v>26.912268620093471</v>
      </c>
      <c r="G241">
        <v>20.900888480866112</v>
      </c>
      <c r="H241">
        <v>18.21391455343846</v>
      </c>
      <c r="I241">
        <v>1503.628712928685</v>
      </c>
      <c r="J241">
        <v>25</v>
      </c>
      <c r="K241" t="s">
        <v>66</v>
      </c>
    </row>
    <row r="242" spans="1:11" x14ac:dyDescent="0.3">
      <c r="A242">
        <v>61.120877431787491</v>
      </c>
      <c r="B242">
        <v>3.101545153038507</v>
      </c>
      <c r="C242">
        <v>4.2661667294767112</v>
      </c>
      <c r="D242">
        <v>9.3919938570626762</v>
      </c>
      <c r="E242">
        <v>5.8815642628793814</v>
      </c>
      <c r="F242">
        <v>35.173527341625757</v>
      </c>
      <c r="G242">
        <v>20.833590741262238</v>
      </c>
      <c r="H242">
        <v>17.917109624392321</v>
      </c>
      <c r="I242">
        <v>1916.9046123827361</v>
      </c>
      <c r="J242">
        <v>20</v>
      </c>
      <c r="K242" t="s">
        <v>66</v>
      </c>
    </row>
    <row r="243" spans="1:11" x14ac:dyDescent="0.3">
      <c r="A243">
        <v>20.944616839604169</v>
      </c>
      <c r="B243">
        <v>1.149493822745324</v>
      </c>
      <c r="C243">
        <v>1.041477289078879</v>
      </c>
      <c r="D243">
        <v>3.2203430235003649</v>
      </c>
      <c r="E243">
        <v>6.5955850102967482</v>
      </c>
      <c r="F243">
        <v>32.611383843559189</v>
      </c>
      <c r="G243">
        <v>24.904861782859442</v>
      </c>
      <c r="H243">
        <v>19.794652921911929</v>
      </c>
      <c r="I243">
        <v>1635.970784011588</v>
      </c>
      <c r="J243">
        <v>25</v>
      </c>
      <c r="K243" t="s">
        <v>66</v>
      </c>
    </row>
    <row r="244" spans="1:11" x14ac:dyDescent="0.3">
      <c r="A244">
        <v>39.396754089941084</v>
      </c>
      <c r="B244">
        <v>0.88611668822192313</v>
      </c>
      <c r="C244">
        <v>1.832615859240744</v>
      </c>
      <c r="D244">
        <v>6.1130854566108619</v>
      </c>
      <c r="E244">
        <v>6.2096350805089688</v>
      </c>
      <c r="F244">
        <v>28.974228568271261</v>
      </c>
      <c r="G244">
        <v>16.969263400332832</v>
      </c>
      <c r="H244">
        <v>23.91073253774622</v>
      </c>
      <c r="I244">
        <v>1409.135201269514</v>
      </c>
      <c r="J244">
        <v>30</v>
      </c>
      <c r="K244" t="s">
        <v>66</v>
      </c>
    </row>
    <row r="245" spans="1:11" x14ac:dyDescent="0.3">
      <c r="A245">
        <v>697.25421709192869</v>
      </c>
      <c r="B245">
        <v>32.357592424276312</v>
      </c>
      <c r="C245">
        <v>44.145434163902607</v>
      </c>
      <c r="D245">
        <v>95.526119823267962</v>
      </c>
      <c r="E245">
        <v>5.8681152930561771</v>
      </c>
      <c r="F245">
        <v>68.567307986734818</v>
      </c>
      <c r="G245">
        <v>29.83215055968645</v>
      </c>
      <c r="H245">
        <v>32.196860976088267</v>
      </c>
      <c r="I245">
        <v>11.22650472324101</v>
      </c>
      <c r="J245">
        <v>0</v>
      </c>
      <c r="K245" t="s">
        <v>66</v>
      </c>
    </row>
    <row r="246" spans="1:11" x14ac:dyDescent="0.3">
      <c r="A246">
        <v>55</v>
      </c>
      <c r="B246">
        <v>2</v>
      </c>
      <c r="C246">
        <v>3</v>
      </c>
      <c r="D246">
        <v>8</v>
      </c>
      <c r="E246">
        <v>6.1</v>
      </c>
      <c r="F246">
        <v>38.4</v>
      </c>
      <c r="G246">
        <v>26.3</v>
      </c>
      <c r="H246">
        <v>27.1</v>
      </c>
      <c r="I246">
        <v>1485</v>
      </c>
      <c r="J246">
        <v>18</v>
      </c>
      <c r="K246" t="s">
        <v>67</v>
      </c>
    </row>
    <row r="247" spans="1:11" x14ac:dyDescent="0.3">
      <c r="A247">
        <v>30.686908290637259</v>
      </c>
      <c r="B247">
        <v>1.0194607455237239</v>
      </c>
      <c r="C247">
        <v>2.2053972526639458</v>
      </c>
      <c r="D247">
        <v>4.2267086904736706</v>
      </c>
      <c r="E247">
        <v>6.2522928996923843</v>
      </c>
      <c r="F247">
        <v>22.350537862112169</v>
      </c>
      <c r="G247">
        <v>22.781760264193458</v>
      </c>
      <c r="H247">
        <v>19.167261973128799</v>
      </c>
      <c r="I247">
        <v>1803.1358640841561</v>
      </c>
      <c r="J247">
        <v>40</v>
      </c>
      <c r="K247" t="s">
        <v>66</v>
      </c>
    </row>
    <row r="248" spans="1:11" x14ac:dyDescent="0.3">
      <c r="A248">
        <v>25.722524267790732</v>
      </c>
      <c r="B248">
        <v>1.0640479795200819</v>
      </c>
      <c r="C248">
        <v>1.087282435100563</v>
      </c>
      <c r="D248">
        <v>3.4995203453465291</v>
      </c>
      <c r="E248">
        <v>6.8599190754824617</v>
      </c>
      <c r="F248">
        <v>50.787934089975401</v>
      </c>
      <c r="G248">
        <v>20.723571999126349</v>
      </c>
      <c r="H248">
        <v>20.768967868797102</v>
      </c>
      <c r="I248">
        <v>1313.865572816994</v>
      </c>
      <c r="J248">
        <v>18</v>
      </c>
      <c r="K248" t="s">
        <v>66</v>
      </c>
    </row>
    <row r="249" spans="1:11" x14ac:dyDescent="0.3">
      <c r="A249">
        <v>21.416531288457019</v>
      </c>
      <c r="B249">
        <v>1.028732890440301</v>
      </c>
      <c r="C249">
        <v>0.99304677137577302</v>
      </c>
      <c r="D249">
        <v>2.8967705915213</v>
      </c>
      <c r="E249">
        <v>6.1203121615080436</v>
      </c>
      <c r="F249">
        <v>30.3321523160139</v>
      </c>
      <c r="G249">
        <v>26.46143824234634</v>
      </c>
      <c r="H249">
        <v>25.05934169601969</v>
      </c>
      <c r="I249">
        <v>1439.6643397463349</v>
      </c>
      <c r="J249">
        <v>7</v>
      </c>
      <c r="K249" t="s">
        <v>66</v>
      </c>
    </row>
    <row r="250" spans="1:11" x14ac:dyDescent="0.3">
      <c r="A250">
        <v>31.704156581691219</v>
      </c>
      <c r="B250">
        <v>1.0887655425873839</v>
      </c>
      <c r="C250">
        <v>1.988116963745501</v>
      </c>
      <c r="D250">
        <v>4.9449972506494744</v>
      </c>
      <c r="E250">
        <v>5.9569560225793028</v>
      </c>
      <c r="F250">
        <v>28.845268682497501</v>
      </c>
      <c r="G250">
        <v>22.783416320179999</v>
      </c>
      <c r="H250">
        <v>24.806871788125591</v>
      </c>
      <c r="I250">
        <v>1556.599450319359</v>
      </c>
      <c r="J250">
        <v>18</v>
      </c>
      <c r="K250" t="s">
        <v>66</v>
      </c>
    </row>
    <row r="251" spans="1:11" x14ac:dyDescent="0.3">
      <c r="A251">
        <v>90.965818903496142</v>
      </c>
      <c r="B251">
        <v>4.0574351746020643</v>
      </c>
      <c r="C251">
        <v>5.7185214874737547</v>
      </c>
      <c r="D251">
        <v>14.040285789713399</v>
      </c>
      <c r="E251">
        <v>6.1570581926707826</v>
      </c>
      <c r="F251">
        <v>31.856118446827459</v>
      </c>
      <c r="G251">
        <v>19.69135646895019</v>
      </c>
      <c r="H251">
        <v>18.755957161334099</v>
      </c>
      <c r="I251">
        <v>2082.4813463326259</v>
      </c>
      <c r="J251">
        <v>20</v>
      </c>
      <c r="K251" t="s">
        <v>66</v>
      </c>
    </row>
    <row r="252" spans="1:11" x14ac:dyDescent="0.3">
      <c r="A252">
        <v>41.308358755544333</v>
      </c>
      <c r="B252">
        <v>2.3925174381061591</v>
      </c>
      <c r="C252">
        <v>2.0946076564320428</v>
      </c>
      <c r="D252">
        <v>6.2957303831111222</v>
      </c>
      <c r="E252">
        <v>6.1026241809297916</v>
      </c>
      <c r="F252">
        <v>38.737093517103872</v>
      </c>
      <c r="G252">
        <v>21.514421358107271</v>
      </c>
      <c r="H252">
        <v>17.78666387069131</v>
      </c>
      <c r="I252">
        <v>1888.679976899746</v>
      </c>
      <c r="J252">
        <v>20</v>
      </c>
      <c r="K252" t="s">
        <v>66</v>
      </c>
    </row>
    <row r="253" spans="1:11" x14ac:dyDescent="0.3">
      <c r="A253">
        <v>6.2165016192129707</v>
      </c>
      <c r="B253">
        <v>0</v>
      </c>
      <c r="C253">
        <v>0</v>
      </c>
      <c r="D253">
        <v>0</v>
      </c>
      <c r="E253">
        <v>5.8485768119044117</v>
      </c>
      <c r="F253">
        <v>21.601403196227022</v>
      </c>
      <c r="G253">
        <v>20.716033625299271</v>
      </c>
      <c r="H253">
        <v>26.993769595142599</v>
      </c>
      <c r="I253">
        <v>1867.9000991173839</v>
      </c>
      <c r="J253">
        <v>20</v>
      </c>
      <c r="K253" t="s">
        <v>66</v>
      </c>
    </row>
    <row r="254" spans="1:11" x14ac:dyDescent="0.3">
      <c r="A254">
        <v>92.962927217877734</v>
      </c>
      <c r="B254">
        <v>4.1505638104390066</v>
      </c>
      <c r="C254">
        <v>5.1384542856788844</v>
      </c>
      <c r="D254">
        <v>14.31259327855752</v>
      </c>
      <c r="E254">
        <v>6.0045528214547561</v>
      </c>
      <c r="F254">
        <v>31.585141901727539</v>
      </c>
      <c r="G254">
        <v>19.820317582615619</v>
      </c>
      <c r="H254">
        <v>19.03887786608362</v>
      </c>
      <c r="I254">
        <v>2112.4543853990958</v>
      </c>
      <c r="J254">
        <v>20</v>
      </c>
      <c r="K254" t="s">
        <v>66</v>
      </c>
    </row>
    <row r="255" spans="1:11" x14ac:dyDescent="0.3">
      <c r="A255">
        <v>92.405183199614441</v>
      </c>
      <c r="B255">
        <v>4.1306979058409281</v>
      </c>
      <c r="C255">
        <v>6.6391031794286324</v>
      </c>
      <c r="D255">
        <v>13.61862597675484</v>
      </c>
      <c r="E255">
        <v>5.5283110417059076</v>
      </c>
      <c r="F255">
        <v>27.243205910919279</v>
      </c>
      <c r="G255">
        <v>21.185822912818502</v>
      </c>
      <c r="H255">
        <v>21.407181702775571</v>
      </c>
      <c r="I255">
        <v>1724.951503866864</v>
      </c>
      <c r="J255">
        <v>25</v>
      </c>
      <c r="K255" t="s">
        <v>66</v>
      </c>
    </row>
    <row r="256" spans="1:11" x14ac:dyDescent="0.3">
      <c r="A256">
        <v>82.959064870477221</v>
      </c>
      <c r="B256">
        <v>3.426710958509553</v>
      </c>
      <c r="C256">
        <v>5.1898198241929832</v>
      </c>
      <c r="D256">
        <v>11.829890935166951</v>
      </c>
      <c r="E256">
        <v>5.575596229543482</v>
      </c>
      <c r="F256">
        <v>26.388666654894461</v>
      </c>
      <c r="G256">
        <v>18.06759282120041</v>
      </c>
      <c r="H256">
        <v>17.351557740089081</v>
      </c>
      <c r="I256">
        <v>1914.154408958756</v>
      </c>
      <c r="J256">
        <v>20</v>
      </c>
      <c r="K256" t="s">
        <v>66</v>
      </c>
    </row>
    <row r="257" spans="1:11" x14ac:dyDescent="0.3">
      <c r="A257">
        <v>5.6680995077981917</v>
      </c>
      <c r="B257">
        <v>0</v>
      </c>
      <c r="C257">
        <v>0</v>
      </c>
      <c r="D257">
        <v>0</v>
      </c>
      <c r="E257">
        <v>5.9517523563286794</v>
      </c>
      <c r="F257">
        <v>20.158660087161341</v>
      </c>
      <c r="G257">
        <v>21.064939279564431</v>
      </c>
      <c r="H257">
        <v>26.395937221895728</v>
      </c>
      <c r="I257">
        <v>1833.7220770841709</v>
      </c>
      <c r="J257">
        <v>20</v>
      </c>
      <c r="K257" t="s">
        <v>66</v>
      </c>
    </row>
    <row r="258" spans="1:11" x14ac:dyDescent="0.3">
      <c r="A258">
        <v>124.2779905810343</v>
      </c>
      <c r="B258">
        <v>6.3135084631594536</v>
      </c>
      <c r="C258">
        <v>7.7423774764063529</v>
      </c>
      <c r="D258">
        <v>16.113957416454699</v>
      </c>
      <c r="E258">
        <v>4.3</v>
      </c>
      <c r="F258">
        <v>54.894438427358061</v>
      </c>
      <c r="G258">
        <v>19.497971698982759</v>
      </c>
      <c r="H258">
        <v>20.592175008518119</v>
      </c>
      <c r="I258">
        <v>1652.921500367763</v>
      </c>
      <c r="J258">
        <v>12</v>
      </c>
      <c r="K258" t="s">
        <v>66</v>
      </c>
    </row>
    <row r="259" spans="1:11" x14ac:dyDescent="0.3">
      <c r="A259">
        <v>12.051686329827829</v>
      </c>
      <c r="B259">
        <v>0</v>
      </c>
      <c r="C259">
        <v>0</v>
      </c>
      <c r="D259">
        <v>0.97709189690782905</v>
      </c>
      <c r="E259">
        <v>6.4106127172060212</v>
      </c>
      <c r="F259">
        <v>25.588262026334181</v>
      </c>
      <c r="G259">
        <v>18.654643347265331</v>
      </c>
      <c r="H259">
        <v>28.73994911655296</v>
      </c>
      <c r="I259">
        <v>2248.9107921840341</v>
      </c>
      <c r="J259">
        <v>15</v>
      </c>
      <c r="K259" t="s">
        <v>66</v>
      </c>
    </row>
    <row r="260" spans="1:11" x14ac:dyDescent="0.3">
      <c r="A260">
        <v>20.879733162484751</v>
      </c>
      <c r="B260">
        <v>1.06592456684324</v>
      </c>
      <c r="C260">
        <v>1.1194762861876939</v>
      </c>
      <c r="D260">
        <v>3.1800638897232831</v>
      </c>
      <c r="E260">
        <v>6.2271577042018276</v>
      </c>
      <c r="F260">
        <v>47.265032654767687</v>
      </c>
      <c r="G260">
        <v>22.72124141180921</v>
      </c>
      <c r="H260">
        <v>20.938515849202719</v>
      </c>
      <c r="I260">
        <v>1262.707595293813</v>
      </c>
      <c r="J260">
        <v>30</v>
      </c>
      <c r="K260" t="s">
        <v>66</v>
      </c>
    </row>
    <row r="261" spans="1:11" x14ac:dyDescent="0.3">
      <c r="A261">
        <v>30.041695573180391</v>
      </c>
      <c r="B261">
        <v>0.94868036354866037</v>
      </c>
      <c r="C261">
        <v>1.7687168366512289</v>
      </c>
      <c r="D261">
        <v>4.6145905986356546</v>
      </c>
      <c r="E261">
        <v>6.3118816535929883</v>
      </c>
      <c r="F261">
        <v>19.29022080224545</v>
      </c>
      <c r="G261">
        <v>23.3415567854613</v>
      </c>
      <c r="H261">
        <v>19.964644187286169</v>
      </c>
      <c r="I261">
        <v>1258.508150654525</v>
      </c>
      <c r="J261">
        <v>45</v>
      </c>
      <c r="K261" t="s">
        <v>66</v>
      </c>
    </row>
    <row r="262" spans="1:11" x14ac:dyDescent="0.3">
      <c r="A262">
        <v>17.796168997288621</v>
      </c>
      <c r="B262">
        <v>0</v>
      </c>
      <c r="C262">
        <v>0.76796844017695765</v>
      </c>
      <c r="D262">
        <v>2.0878905380915982</v>
      </c>
      <c r="E262">
        <v>6.1122774964432889</v>
      </c>
      <c r="F262">
        <v>23.151445811149848</v>
      </c>
      <c r="G262">
        <v>23.146505967440941</v>
      </c>
      <c r="H262">
        <v>28.230226211400939</v>
      </c>
      <c r="I262">
        <v>2081.9609247688982</v>
      </c>
      <c r="J262">
        <v>25</v>
      </c>
      <c r="K262" t="s">
        <v>66</v>
      </c>
    </row>
    <row r="263" spans="1:11" x14ac:dyDescent="0.3">
      <c r="A263">
        <v>12.838173303488601</v>
      </c>
      <c r="B263">
        <v>0</v>
      </c>
      <c r="C263">
        <v>0</v>
      </c>
      <c r="D263">
        <v>1.906648237609712</v>
      </c>
      <c r="E263">
        <v>5.6088028527531506</v>
      </c>
      <c r="F263">
        <v>27.078264194883381</v>
      </c>
      <c r="G263">
        <v>20.06337509116986</v>
      </c>
      <c r="H263">
        <v>27.052982649477549</v>
      </c>
      <c r="I263">
        <v>2169.1441050529079</v>
      </c>
      <c r="J263">
        <v>10</v>
      </c>
      <c r="K263" t="s">
        <v>66</v>
      </c>
    </row>
    <row r="264" spans="1:11" x14ac:dyDescent="0.3">
      <c r="A264">
        <v>85.241084056469205</v>
      </c>
      <c r="B264">
        <v>3.912781641843051</v>
      </c>
      <c r="C264">
        <v>6.1264010791218668</v>
      </c>
      <c r="D264">
        <v>15.719242293451391</v>
      </c>
      <c r="E264">
        <v>5.4663450125315247</v>
      </c>
      <c r="F264">
        <v>30.7880910902675</v>
      </c>
      <c r="G264">
        <v>21.85703190705366</v>
      </c>
      <c r="H264">
        <v>20.951350321692988</v>
      </c>
      <c r="I264">
        <v>1780.050795923645</v>
      </c>
      <c r="J264">
        <v>25</v>
      </c>
      <c r="K264" t="s">
        <v>66</v>
      </c>
    </row>
    <row r="265" spans="1:11" x14ac:dyDescent="0.3">
      <c r="A265">
        <v>103.6238891590187</v>
      </c>
      <c r="B265">
        <v>3.994464901562305</v>
      </c>
      <c r="C265">
        <v>5.0998668831318383</v>
      </c>
      <c r="D265">
        <v>14.12182307254934</v>
      </c>
      <c r="E265">
        <v>6.8864047705494036</v>
      </c>
      <c r="F265">
        <v>33.180882565637177</v>
      </c>
      <c r="G265">
        <v>17.43897556426068</v>
      </c>
      <c r="H265">
        <v>16.80792431453747</v>
      </c>
      <c r="I265">
        <v>1967.041525790992</v>
      </c>
      <c r="J265">
        <v>20</v>
      </c>
      <c r="K265" t="s">
        <v>66</v>
      </c>
    </row>
    <row r="266" spans="1:11" x14ac:dyDescent="0.3">
      <c r="A266">
        <v>76.160534285706063</v>
      </c>
      <c r="B266">
        <v>2.916311120900458</v>
      </c>
      <c r="C266">
        <v>4.8528787471817711</v>
      </c>
      <c r="D266">
        <v>12.54059486853364</v>
      </c>
      <c r="E266">
        <v>6.3461033530959527</v>
      </c>
      <c r="F266">
        <v>32.794787461431319</v>
      </c>
      <c r="G266">
        <v>26.47848717387382</v>
      </c>
      <c r="H266">
        <v>22.070007900415309</v>
      </c>
      <c r="I266">
        <v>1328.3098602123191</v>
      </c>
      <c r="J266">
        <v>25</v>
      </c>
      <c r="K266" t="s">
        <v>66</v>
      </c>
    </row>
    <row r="267" spans="1:11" x14ac:dyDescent="0.3">
      <c r="A267">
        <v>42.328974889379907</v>
      </c>
      <c r="B267">
        <v>2.0619997966331112</v>
      </c>
      <c r="C267">
        <v>1.960360864724056</v>
      </c>
      <c r="D267">
        <v>6.5870746833999299</v>
      </c>
      <c r="E267">
        <v>6.3002811843924622</v>
      </c>
      <c r="F267">
        <v>25.318409383741599</v>
      </c>
      <c r="G267">
        <v>19.098103993821411</v>
      </c>
      <c r="H267">
        <v>28.087402141048031</v>
      </c>
      <c r="I267">
        <v>2076.3883200576779</v>
      </c>
      <c r="J267">
        <v>30</v>
      </c>
      <c r="K267" t="s">
        <v>66</v>
      </c>
    </row>
    <row r="268" spans="1:11" x14ac:dyDescent="0.3">
      <c r="A268">
        <v>25.81275147244833</v>
      </c>
      <c r="B268">
        <v>1.1870965175371779</v>
      </c>
      <c r="C268">
        <v>0.97313542466902569</v>
      </c>
      <c r="D268">
        <v>4.2790347881356796</v>
      </c>
      <c r="E268">
        <v>6.2606026766236873</v>
      </c>
      <c r="F268">
        <v>25.699728630003719</v>
      </c>
      <c r="G268">
        <v>24.45562583729652</v>
      </c>
      <c r="H268">
        <v>17.9551706283427</v>
      </c>
      <c r="I268">
        <v>1837.612733807621</v>
      </c>
      <c r="J268">
        <v>40</v>
      </c>
      <c r="K268" t="s">
        <v>66</v>
      </c>
    </row>
    <row r="269" spans="1:11" x14ac:dyDescent="0.3">
      <c r="A269">
        <v>19.414507486190331</v>
      </c>
      <c r="B269">
        <v>0</v>
      </c>
      <c r="C269">
        <v>0.84568817720571299</v>
      </c>
      <c r="D269">
        <v>2.460535578177268</v>
      </c>
      <c r="E269">
        <v>5.3070589363881009</v>
      </c>
      <c r="F269">
        <v>27.790220738162891</v>
      </c>
      <c r="G269">
        <v>19.684780166036319</v>
      </c>
      <c r="H269">
        <v>22.942360875609559</v>
      </c>
      <c r="I269">
        <v>2000.5362888843861</v>
      </c>
      <c r="J269">
        <v>13</v>
      </c>
      <c r="K269" t="s">
        <v>66</v>
      </c>
    </row>
    <row r="270" spans="1:11" x14ac:dyDescent="0.3">
      <c r="A270">
        <v>61.924500763990963</v>
      </c>
      <c r="B270">
        <v>3.0591876796893618</v>
      </c>
      <c r="C270">
        <v>3.7640430728977572</v>
      </c>
      <c r="D270">
        <v>10.61233221400251</v>
      </c>
      <c r="E270">
        <v>6.0535594120256162</v>
      </c>
      <c r="F270">
        <v>17.390249355935811</v>
      </c>
      <c r="G270">
        <v>22.776593933937569</v>
      </c>
      <c r="H270">
        <v>21.709653241550001</v>
      </c>
      <c r="I270">
        <v>1565.8146103177471</v>
      </c>
      <c r="J270">
        <v>30</v>
      </c>
      <c r="K270" t="s">
        <v>66</v>
      </c>
    </row>
    <row r="271" spans="1:11" x14ac:dyDescent="0.3">
      <c r="A271">
        <v>126</v>
      </c>
      <c r="B271">
        <v>6</v>
      </c>
      <c r="C271">
        <v>8</v>
      </c>
      <c r="D271">
        <v>20</v>
      </c>
      <c r="E271">
        <v>4.9000000000000004</v>
      </c>
      <c r="F271">
        <v>54.4</v>
      </c>
      <c r="G271">
        <v>20</v>
      </c>
      <c r="H271">
        <v>20.9</v>
      </c>
      <c r="I271">
        <v>1675</v>
      </c>
      <c r="J271">
        <v>12</v>
      </c>
      <c r="K271" t="s">
        <v>67</v>
      </c>
    </row>
    <row r="272" spans="1:11" x14ac:dyDescent="0.3">
      <c r="A272">
        <v>111.2138479373593</v>
      </c>
      <c r="B272">
        <v>5.2483496116182611</v>
      </c>
      <c r="C272">
        <v>8.0157010066919359</v>
      </c>
      <c r="D272">
        <v>15.55121810690455</v>
      </c>
      <c r="E272">
        <v>5.7773251733440274</v>
      </c>
      <c r="F272">
        <v>39.886071964030847</v>
      </c>
      <c r="G272">
        <v>23.834297583461819</v>
      </c>
      <c r="H272">
        <v>18.337801758899449</v>
      </c>
      <c r="I272">
        <v>2137.6766609966439</v>
      </c>
      <c r="J272">
        <v>20</v>
      </c>
      <c r="K272" t="s">
        <v>66</v>
      </c>
    </row>
    <row r="273" spans="1:11" x14ac:dyDescent="0.3">
      <c r="A273">
        <v>26.942813197233221</v>
      </c>
      <c r="B273">
        <v>0.83923389728819409</v>
      </c>
      <c r="C273">
        <v>2.0632716643072291</v>
      </c>
      <c r="D273">
        <v>4.0958510072955994</v>
      </c>
      <c r="E273">
        <v>5.9865181470898223</v>
      </c>
      <c r="F273">
        <v>29.234372816715009</v>
      </c>
      <c r="G273">
        <v>27.14930337722144</v>
      </c>
      <c r="H273">
        <v>19.18715028158644</v>
      </c>
      <c r="I273">
        <v>1864.787605562221</v>
      </c>
      <c r="J273">
        <v>40</v>
      </c>
      <c r="K273" t="s">
        <v>66</v>
      </c>
    </row>
    <row r="274" spans="1:11" x14ac:dyDescent="0.3">
      <c r="A274">
        <v>26.981778746603791</v>
      </c>
      <c r="B274">
        <v>0.9920358608754285</v>
      </c>
      <c r="C274">
        <v>1.0638660168643099</v>
      </c>
      <c r="D274">
        <v>3.7251943601202009</v>
      </c>
      <c r="E274">
        <v>5.4139717447240123</v>
      </c>
      <c r="F274">
        <v>29.206625431343021</v>
      </c>
      <c r="G274">
        <v>20.33471960211984</v>
      </c>
      <c r="H274">
        <v>25.436188859760961</v>
      </c>
      <c r="I274">
        <v>1935.127748707723</v>
      </c>
      <c r="J274">
        <v>20</v>
      </c>
      <c r="K274" t="s">
        <v>66</v>
      </c>
    </row>
    <row r="275" spans="1:11" x14ac:dyDescent="0.3">
      <c r="A275">
        <v>120.04404443603219</v>
      </c>
      <c r="B275">
        <v>5.3710637455359462</v>
      </c>
      <c r="C275">
        <v>7.0437649891206036</v>
      </c>
      <c r="D275">
        <v>19.596743597603322</v>
      </c>
      <c r="E275">
        <v>5.3704462396209509</v>
      </c>
      <c r="F275">
        <v>47.676688886455707</v>
      </c>
      <c r="G275">
        <v>21.340919926914989</v>
      </c>
      <c r="H275">
        <v>27.4940606237389</v>
      </c>
      <c r="I275">
        <v>1802.1235126853071</v>
      </c>
      <c r="J275">
        <v>25</v>
      </c>
      <c r="K275" t="s">
        <v>66</v>
      </c>
    </row>
    <row r="276" spans="1:11" x14ac:dyDescent="0.3">
      <c r="A276">
        <v>26.976803260383321</v>
      </c>
      <c r="B276">
        <v>1.0718185725707929</v>
      </c>
      <c r="C276">
        <v>0.86519528880598329</v>
      </c>
      <c r="D276">
        <v>4.013611834538672</v>
      </c>
      <c r="E276">
        <v>6.9134074986179028</v>
      </c>
      <c r="F276">
        <v>49.532683708975128</v>
      </c>
      <c r="G276">
        <v>21.80790804059005</v>
      </c>
      <c r="H276">
        <v>21.4280102649975</v>
      </c>
      <c r="I276">
        <v>1314.144263083017</v>
      </c>
      <c r="J276">
        <v>18</v>
      </c>
      <c r="K276" t="s">
        <v>66</v>
      </c>
    </row>
    <row r="277" spans="1:11" x14ac:dyDescent="0.3">
      <c r="A277">
        <v>78</v>
      </c>
      <c r="B277">
        <v>3</v>
      </c>
      <c r="C277">
        <v>5</v>
      </c>
      <c r="D277">
        <v>12</v>
      </c>
      <c r="E277">
        <v>5.5</v>
      </c>
      <c r="F277">
        <v>26.7</v>
      </c>
      <c r="G277">
        <v>18.7</v>
      </c>
      <c r="H277">
        <v>18</v>
      </c>
      <c r="I277">
        <v>1895</v>
      </c>
      <c r="J277">
        <v>20</v>
      </c>
      <c r="K277" t="s">
        <v>67</v>
      </c>
    </row>
    <row r="278" spans="1:11" x14ac:dyDescent="0.3">
      <c r="A278">
        <v>352.90373515206892</v>
      </c>
      <c r="B278">
        <v>19.060304775156879</v>
      </c>
      <c r="C278">
        <v>22.540256382132579</v>
      </c>
      <c r="D278">
        <v>49.610409338697657</v>
      </c>
      <c r="E278">
        <v>4.6039588495455579</v>
      </c>
      <c r="F278">
        <v>50.871771188119389</v>
      </c>
      <c r="G278">
        <v>30.015516931966449</v>
      </c>
      <c r="H278">
        <v>31.017669146501682</v>
      </c>
      <c r="I278">
        <v>13.834422173656479</v>
      </c>
      <c r="J278">
        <v>0</v>
      </c>
      <c r="K278" t="s">
        <v>66</v>
      </c>
    </row>
    <row r="279" spans="1:11" x14ac:dyDescent="0.3">
      <c r="A279">
        <v>106.23957671850241</v>
      </c>
      <c r="B279">
        <v>4.521781811590996</v>
      </c>
      <c r="C279">
        <v>6.1148511151315237</v>
      </c>
      <c r="D279">
        <v>15.715846408386019</v>
      </c>
      <c r="E279">
        <v>6.3990641393328644</v>
      </c>
      <c r="F279">
        <v>27.239202078945119</v>
      </c>
      <c r="G279">
        <v>20.83063511233474</v>
      </c>
      <c r="H279">
        <v>27.954318344353862</v>
      </c>
      <c r="I279">
        <v>1941.728621786496</v>
      </c>
      <c r="J279">
        <v>30</v>
      </c>
      <c r="K279" t="s">
        <v>66</v>
      </c>
    </row>
    <row r="280" spans="1:11" x14ac:dyDescent="0.3">
      <c r="A280">
        <v>45.549269823909277</v>
      </c>
      <c r="B280">
        <v>2.0995486178182792</v>
      </c>
      <c r="C280">
        <v>2.516529792269151</v>
      </c>
      <c r="D280">
        <v>7.1473474092450529</v>
      </c>
      <c r="E280">
        <v>5.3151042494838068</v>
      </c>
      <c r="F280">
        <v>18.937633833682881</v>
      </c>
      <c r="G280">
        <v>22.624036909971831</v>
      </c>
      <c r="H280">
        <v>26.34214272790167</v>
      </c>
      <c r="I280">
        <v>1640.1045092638501</v>
      </c>
      <c r="J280">
        <v>18</v>
      </c>
      <c r="K280" t="s">
        <v>66</v>
      </c>
    </row>
    <row r="281" spans="1:11" x14ac:dyDescent="0.3">
      <c r="A281">
        <v>6.0722259538465702</v>
      </c>
      <c r="B281">
        <v>0</v>
      </c>
      <c r="C281">
        <v>0</v>
      </c>
      <c r="D281">
        <v>0</v>
      </c>
      <c r="E281">
        <v>6.1495324819221073</v>
      </c>
      <c r="F281">
        <v>23.605421679363211</v>
      </c>
      <c r="G281">
        <v>28.427999594631139</v>
      </c>
      <c r="H281">
        <v>33.504876673016618</v>
      </c>
      <c r="I281">
        <v>1769.207076454509</v>
      </c>
      <c r="J281">
        <v>26</v>
      </c>
      <c r="K281" t="s">
        <v>66</v>
      </c>
    </row>
    <row r="282" spans="1:11" x14ac:dyDescent="0.3">
      <c r="A282">
        <v>99.404057156667136</v>
      </c>
      <c r="B282">
        <v>4.5926653609850394</v>
      </c>
      <c r="C282">
        <v>6.1196543915920607</v>
      </c>
      <c r="D282">
        <v>12.68334922762763</v>
      </c>
      <c r="E282">
        <v>5.6661170473655726</v>
      </c>
      <c r="F282">
        <v>36.974336100493502</v>
      </c>
      <c r="G282">
        <v>25.491289501004449</v>
      </c>
      <c r="H282">
        <v>24.82810136596969</v>
      </c>
      <c r="I282">
        <v>662.8240738847951</v>
      </c>
      <c r="J282">
        <v>25</v>
      </c>
      <c r="K282" t="s">
        <v>66</v>
      </c>
    </row>
    <row r="283" spans="1:11" x14ac:dyDescent="0.3">
      <c r="A283">
        <v>72</v>
      </c>
      <c r="B283">
        <v>3</v>
      </c>
      <c r="C283">
        <v>5</v>
      </c>
      <c r="D283">
        <v>11</v>
      </c>
      <c r="E283">
        <v>6.3</v>
      </c>
      <c r="F283">
        <v>16.7</v>
      </c>
      <c r="G283">
        <v>20</v>
      </c>
      <c r="H283">
        <v>19</v>
      </c>
      <c r="I283">
        <v>1638.91</v>
      </c>
      <c r="J283">
        <v>30</v>
      </c>
      <c r="K283" t="s">
        <v>67</v>
      </c>
    </row>
    <row r="284" spans="1:11" x14ac:dyDescent="0.3">
      <c r="A284">
        <v>85.242434737676234</v>
      </c>
      <c r="B284">
        <v>3.4731472320213661</v>
      </c>
      <c r="C284">
        <v>4.9855970234361289</v>
      </c>
      <c r="D284">
        <v>12.61478725397955</v>
      </c>
      <c r="E284">
        <v>5.7800045049353752</v>
      </c>
      <c r="F284">
        <v>34.22382043656188</v>
      </c>
      <c r="G284">
        <v>24.443935558471409</v>
      </c>
      <c r="H284">
        <v>24.978552068453158</v>
      </c>
      <c r="I284">
        <v>697.33700900560291</v>
      </c>
      <c r="J284">
        <v>25</v>
      </c>
      <c r="K284" t="s">
        <v>66</v>
      </c>
    </row>
    <row r="285" spans="1:11" x14ac:dyDescent="0.3">
      <c r="A285">
        <v>94.834796969429931</v>
      </c>
      <c r="B285">
        <v>3.6169630694488619</v>
      </c>
      <c r="C285">
        <v>4.3565214747479022</v>
      </c>
      <c r="D285">
        <v>9.9821050229916501</v>
      </c>
      <c r="E285">
        <v>5.85697503549705</v>
      </c>
      <c r="F285">
        <v>32.85391239680991</v>
      </c>
      <c r="G285">
        <v>17.097044153738889</v>
      </c>
      <c r="H285">
        <v>18.186001709619902</v>
      </c>
      <c r="I285">
        <v>2184.9495070733142</v>
      </c>
      <c r="J285">
        <v>20</v>
      </c>
      <c r="K285" t="s">
        <v>66</v>
      </c>
    </row>
    <row r="286" spans="1:11" x14ac:dyDescent="0.3">
      <c r="A286">
        <v>44.247372219357857</v>
      </c>
      <c r="B286">
        <v>1.8658759581846709</v>
      </c>
      <c r="C286">
        <v>2.5989823683372211</v>
      </c>
      <c r="D286">
        <v>7.0705537508513654</v>
      </c>
      <c r="E286">
        <v>6.217769981820001</v>
      </c>
      <c r="F286">
        <v>32.908005172346961</v>
      </c>
      <c r="G286">
        <v>21.458220962953281</v>
      </c>
      <c r="H286">
        <v>28.032542083968341</v>
      </c>
      <c r="I286">
        <v>1336.524948485431</v>
      </c>
      <c r="J286">
        <v>18</v>
      </c>
      <c r="K286" t="s">
        <v>66</v>
      </c>
    </row>
    <row r="287" spans="1:11" x14ac:dyDescent="0.3">
      <c r="A287">
        <v>108.6627556143268</v>
      </c>
      <c r="B287">
        <v>5.6245936275022723</v>
      </c>
      <c r="C287">
        <v>7.6032974623918808</v>
      </c>
      <c r="D287">
        <v>19.25981863005854</v>
      </c>
      <c r="E287">
        <v>4.3</v>
      </c>
      <c r="F287">
        <v>58.669386966876189</v>
      </c>
      <c r="G287">
        <v>19.234215314901359</v>
      </c>
      <c r="H287">
        <v>22.74666942378931</v>
      </c>
      <c r="I287">
        <v>1683.598955234864</v>
      </c>
      <c r="J287">
        <v>12</v>
      </c>
      <c r="K287" t="s">
        <v>66</v>
      </c>
    </row>
    <row r="288" spans="1:11" x14ac:dyDescent="0.3">
      <c r="A288">
        <v>33.11393018370147</v>
      </c>
      <c r="B288">
        <v>1.0198948146796489</v>
      </c>
      <c r="C288">
        <v>2.1992236429822261</v>
      </c>
      <c r="D288">
        <v>5.5494916787209823</v>
      </c>
      <c r="E288">
        <v>6.3072959297607714</v>
      </c>
      <c r="F288">
        <v>19.101832607489438</v>
      </c>
      <c r="G288">
        <v>25.126841553738519</v>
      </c>
      <c r="H288">
        <v>19.701578280115839</v>
      </c>
      <c r="I288">
        <v>1279.3351781707281</v>
      </c>
      <c r="J288">
        <v>45</v>
      </c>
      <c r="K288" t="s">
        <v>66</v>
      </c>
    </row>
    <row r="289" spans="1:11" x14ac:dyDescent="0.3">
      <c r="A289">
        <v>50.160700047738658</v>
      </c>
      <c r="B289">
        <v>1.771254758535868</v>
      </c>
      <c r="C289">
        <v>2.966547351857117</v>
      </c>
      <c r="D289">
        <v>8.5674820115642536</v>
      </c>
      <c r="E289">
        <v>5.6545933025648756</v>
      </c>
      <c r="F289">
        <v>34.812801576795543</v>
      </c>
      <c r="G289">
        <v>19.617097128939701</v>
      </c>
      <c r="H289">
        <v>20.207576884168489</v>
      </c>
      <c r="I289">
        <v>1713.1205404359409</v>
      </c>
      <c r="J289">
        <v>10</v>
      </c>
      <c r="K289" t="s">
        <v>66</v>
      </c>
    </row>
    <row r="290" spans="1:11" x14ac:dyDescent="0.3">
      <c r="A290">
        <v>89.650764193850904</v>
      </c>
      <c r="B290">
        <v>4.3570389353197241</v>
      </c>
      <c r="C290">
        <v>4.3141284353682474</v>
      </c>
      <c r="D290">
        <v>11.55945380426347</v>
      </c>
      <c r="E290">
        <v>6.2145234028025813</v>
      </c>
      <c r="F290">
        <v>23.524909048241572</v>
      </c>
      <c r="G290">
        <v>20.13997102465272</v>
      </c>
      <c r="H290">
        <v>18.841165889688789</v>
      </c>
      <c r="I290">
        <v>1656.544136402498</v>
      </c>
      <c r="J290">
        <v>30</v>
      </c>
      <c r="K290" t="s">
        <v>66</v>
      </c>
    </row>
    <row r="291" spans="1:11" x14ac:dyDescent="0.3">
      <c r="A291">
        <v>66.031573889770357</v>
      </c>
      <c r="B291">
        <v>2.5197288064570449</v>
      </c>
      <c r="C291">
        <v>4.0413752517232426</v>
      </c>
      <c r="D291">
        <v>12.49955187264548</v>
      </c>
      <c r="E291">
        <v>5.5353097320054623</v>
      </c>
      <c r="F291">
        <v>37.715483714960293</v>
      </c>
      <c r="G291">
        <v>21.776591657668781</v>
      </c>
      <c r="H291">
        <v>17.232088411529318</v>
      </c>
      <c r="I291">
        <v>1822.539032054478</v>
      </c>
      <c r="J291">
        <v>20</v>
      </c>
      <c r="K291" t="s">
        <v>66</v>
      </c>
    </row>
    <row r="292" spans="1:11" x14ac:dyDescent="0.3">
      <c r="A292">
        <v>72.840681597582446</v>
      </c>
      <c r="B292">
        <v>2.8649432205445771</v>
      </c>
      <c r="C292">
        <v>4.9241427832113853</v>
      </c>
      <c r="D292">
        <v>12.33455977486255</v>
      </c>
      <c r="E292">
        <v>6.4824449170019864</v>
      </c>
      <c r="F292">
        <v>16.586145277726271</v>
      </c>
      <c r="G292">
        <v>25.39285399171473</v>
      </c>
      <c r="H292">
        <v>25.201505471737519</v>
      </c>
      <c r="I292">
        <v>674.15279058139959</v>
      </c>
      <c r="J292">
        <v>25</v>
      </c>
      <c r="K292" t="s">
        <v>66</v>
      </c>
    </row>
    <row r="293" spans="1:11" x14ac:dyDescent="0.3">
      <c r="A293">
        <v>24.800352633619489</v>
      </c>
      <c r="B293">
        <v>0.87542826235536153</v>
      </c>
      <c r="C293">
        <v>0.94852173250852578</v>
      </c>
      <c r="D293">
        <v>2.8443999841136369</v>
      </c>
      <c r="E293">
        <v>6.1379811338227546</v>
      </c>
      <c r="F293">
        <v>34.754110040342383</v>
      </c>
      <c r="G293">
        <v>18.518893328182902</v>
      </c>
      <c r="H293">
        <v>16</v>
      </c>
      <c r="I293">
        <v>1808.5939118089129</v>
      </c>
      <c r="J293">
        <v>30</v>
      </c>
      <c r="K293" t="s">
        <v>66</v>
      </c>
    </row>
    <row r="294" spans="1:11" x14ac:dyDescent="0.3">
      <c r="A294">
        <v>96.81524214256774</v>
      </c>
      <c r="B294">
        <v>4.2282451988878123</v>
      </c>
      <c r="C294">
        <v>6.687618086485239</v>
      </c>
      <c r="D294">
        <v>13.392577151829141</v>
      </c>
      <c r="E294">
        <v>5.8237353168795476</v>
      </c>
      <c r="F294">
        <v>30.516666450550101</v>
      </c>
      <c r="G294">
        <v>20.85951872549683</v>
      </c>
      <c r="H294">
        <v>20.738492457863039</v>
      </c>
      <c r="I294">
        <v>1741.3920602062301</v>
      </c>
      <c r="J294">
        <v>25</v>
      </c>
      <c r="K294" t="s">
        <v>66</v>
      </c>
    </row>
    <row r="295" spans="1:11" x14ac:dyDescent="0.3">
      <c r="A295">
        <v>107.4777491958999</v>
      </c>
      <c r="B295">
        <v>5.3894682517560568</v>
      </c>
      <c r="C295">
        <v>8.0696219515714827</v>
      </c>
      <c r="D295">
        <v>19.83886872838789</v>
      </c>
      <c r="E295">
        <v>5.8859645585591451</v>
      </c>
      <c r="F295">
        <v>39.092909482805723</v>
      </c>
      <c r="G295">
        <v>24.0376180688707</v>
      </c>
      <c r="H295">
        <v>18.837829126526639</v>
      </c>
      <c r="I295">
        <v>2139.986622236097</v>
      </c>
      <c r="J295">
        <v>20</v>
      </c>
      <c r="K295" t="s">
        <v>66</v>
      </c>
    </row>
    <row r="296" spans="1:11" x14ac:dyDescent="0.3">
      <c r="A296">
        <v>57.873177843970893</v>
      </c>
      <c r="B296">
        <v>4.1778713119308986</v>
      </c>
      <c r="C296">
        <v>4.1517621590420442</v>
      </c>
      <c r="D296">
        <v>8.9689747248526928</v>
      </c>
      <c r="E296">
        <v>5.8282374183534689</v>
      </c>
      <c r="F296">
        <v>33.582475124852891</v>
      </c>
      <c r="G296">
        <v>19.89705567093042</v>
      </c>
      <c r="H296">
        <v>18.147737375237199</v>
      </c>
      <c r="I296">
        <v>2130.6258337166009</v>
      </c>
      <c r="J296">
        <v>20</v>
      </c>
      <c r="K296" t="s">
        <v>66</v>
      </c>
    </row>
    <row r="297" spans="1:11" x14ac:dyDescent="0.3">
      <c r="A297">
        <v>64.289708279696967</v>
      </c>
      <c r="B297">
        <v>2.5962060959259752</v>
      </c>
      <c r="C297">
        <v>3.589698926543889</v>
      </c>
      <c r="D297">
        <v>10.157974312251451</v>
      </c>
      <c r="E297">
        <v>5.8936173843263759</v>
      </c>
      <c r="F297">
        <v>38.316144976824802</v>
      </c>
      <c r="G297">
        <v>20.615584192506141</v>
      </c>
      <c r="H297">
        <v>18.739681795059681</v>
      </c>
      <c r="I297">
        <v>1960.7486085564619</v>
      </c>
      <c r="J297">
        <v>20</v>
      </c>
      <c r="K297" t="s">
        <v>66</v>
      </c>
    </row>
    <row r="298" spans="1:11" x14ac:dyDescent="0.3">
      <c r="A298">
        <v>12.105864933166339</v>
      </c>
      <c r="B298">
        <v>0</v>
      </c>
      <c r="C298">
        <v>0</v>
      </c>
      <c r="D298">
        <v>0.8715612963927486</v>
      </c>
      <c r="E298">
        <v>6.2538314471473528</v>
      </c>
      <c r="F298">
        <v>25.801270472569829</v>
      </c>
      <c r="G298">
        <v>18.920957282851699</v>
      </c>
      <c r="H298">
        <v>30.646570527998971</v>
      </c>
      <c r="I298">
        <v>2257</v>
      </c>
      <c r="J298">
        <v>15</v>
      </c>
      <c r="K298" t="s">
        <v>66</v>
      </c>
    </row>
    <row r="299" spans="1:11" x14ac:dyDescent="0.3">
      <c r="A299">
        <v>32.278187095431477</v>
      </c>
      <c r="B299">
        <v>0.9552678104341249</v>
      </c>
      <c r="C299">
        <v>2.2014887946390398</v>
      </c>
      <c r="D299">
        <v>3.9108943401342851</v>
      </c>
      <c r="E299">
        <v>5.3699819804324962</v>
      </c>
      <c r="F299">
        <v>27.196269086587819</v>
      </c>
      <c r="G299">
        <v>19.965713461363041</v>
      </c>
      <c r="H299">
        <v>25.59151065934617</v>
      </c>
      <c r="I299">
        <v>1864.4225582984141</v>
      </c>
      <c r="J299">
        <v>20</v>
      </c>
      <c r="K299" t="s">
        <v>66</v>
      </c>
    </row>
    <row r="300" spans="1:11" x14ac:dyDescent="0.3">
      <c r="A300">
        <v>77.572436570315688</v>
      </c>
      <c r="B300">
        <v>2.9178020754512088</v>
      </c>
      <c r="C300">
        <v>5.3401151042088149</v>
      </c>
      <c r="D300">
        <v>13.02528240134486</v>
      </c>
      <c r="E300">
        <v>5.5729125202323786</v>
      </c>
      <c r="F300">
        <v>34.284099478911934</v>
      </c>
      <c r="G300">
        <v>17.42591085997552</v>
      </c>
      <c r="H300">
        <v>17.225326335111649</v>
      </c>
      <c r="I300">
        <v>1878.951753497505</v>
      </c>
      <c r="J300">
        <v>20</v>
      </c>
      <c r="K300" t="s">
        <v>66</v>
      </c>
    </row>
    <row r="301" spans="1:11" x14ac:dyDescent="0.3">
      <c r="A301">
        <v>16.911134341210921</v>
      </c>
      <c r="B301">
        <v>0</v>
      </c>
      <c r="C301">
        <v>0.92530767149298321</v>
      </c>
      <c r="D301">
        <v>2.5785549168217479</v>
      </c>
      <c r="E301">
        <v>5.1938066744304594</v>
      </c>
      <c r="F301">
        <v>26.866084798207378</v>
      </c>
      <c r="G301">
        <v>20.706212061831089</v>
      </c>
      <c r="H301">
        <v>22.41923955934724</v>
      </c>
      <c r="I301">
        <v>2076.842080218235</v>
      </c>
      <c r="J301">
        <v>13</v>
      </c>
      <c r="K301" t="s">
        <v>66</v>
      </c>
    </row>
    <row r="302" spans="1:11" x14ac:dyDescent="0.3">
      <c r="A302">
        <v>12.7451297004641</v>
      </c>
      <c r="B302">
        <v>0</v>
      </c>
      <c r="C302">
        <v>0</v>
      </c>
      <c r="D302">
        <v>2.0894787874137948</v>
      </c>
      <c r="E302">
        <v>5.0300611584058066</v>
      </c>
      <c r="F302">
        <v>28.35865321324129</v>
      </c>
      <c r="G302">
        <v>20.41577788719729</v>
      </c>
      <c r="H302">
        <v>21.949722958930991</v>
      </c>
      <c r="I302">
        <v>2135.8766656038952</v>
      </c>
      <c r="J302">
        <v>13</v>
      </c>
      <c r="K302" t="s">
        <v>66</v>
      </c>
    </row>
    <row r="303" spans="1:11" x14ac:dyDescent="0.3">
      <c r="A303">
        <v>9.9597704641346549</v>
      </c>
      <c r="B303">
        <v>4.7021693529782542</v>
      </c>
      <c r="C303">
        <v>7.6708700738894304</v>
      </c>
      <c r="D303">
        <v>16.879493098064419</v>
      </c>
      <c r="E303">
        <v>6.38624076018219</v>
      </c>
      <c r="F303">
        <v>28.360676431269951</v>
      </c>
      <c r="G303">
        <v>25.379926220624501</v>
      </c>
      <c r="H303">
        <v>24.823563029935549</v>
      </c>
      <c r="I303">
        <v>696.24542574759653</v>
      </c>
      <c r="J303">
        <v>25</v>
      </c>
      <c r="K303" t="s">
        <v>66</v>
      </c>
    </row>
    <row r="304" spans="1:11" x14ac:dyDescent="0.3">
      <c r="A304">
        <v>67.941991270297407</v>
      </c>
      <c r="B304">
        <v>2.80507043194552</v>
      </c>
      <c r="C304">
        <v>4.3279701010540936</v>
      </c>
      <c r="D304">
        <v>9.3690691662622108</v>
      </c>
      <c r="E304">
        <v>5.3721496261943003</v>
      </c>
      <c r="F304">
        <v>30.905792066529919</v>
      </c>
      <c r="G304">
        <v>20.170740074284719</v>
      </c>
      <c r="H304">
        <v>19.61189821749943</v>
      </c>
      <c r="I304">
        <v>1509.0665615501109</v>
      </c>
      <c r="J304">
        <v>25</v>
      </c>
      <c r="K304" t="s">
        <v>66</v>
      </c>
    </row>
    <row r="305" spans="1:11" x14ac:dyDescent="0.3">
      <c r="A305">
        <v>451.3716329611774</v>
      </c>
      <c r="B305">
        <v>27.972283428686609</v>
      </c>
      <c r="C305">
        <v>42.174342335250742</v>
      </c>
      <c r="D305">
        <v>80.56258485478709</v>
      </c>
      <c r="E305">
        <v>5.3062643740228754</v>
      </c>
      <c r="F305">
        <v>62.833437279692589</v>
      </c>
      <c r="G305">
        <v>30.758923713906189</v>
      </c>
      <c r="H305">
        <v>31.24828747830863</v>
      </c>
      <c r="I305">
        <v>11</v>
      </c>
      <c r="J305">
        <v>0</v>
      </c>
      <c r="K305" t="s">
        <v>66</v>
      </c>
    </row>
    <row r="306" spans="1:11" x14ac:dyDescent="0.3">
      <c r="A306">
        <v>57.396042076478139</v>
      </c>
      <c r="B306">
        <v>1.9848097952714949</v>
      </c>
      <c r="C306">
        <v>2.9019911360440909</v>
      </c>
      <c r="D306">
        <v>8.1293588213638017</v>
      </c>
      <c r="E306">
        <v>5.7866782845155758</v>
      </c>
      <c r="F306">
        <v>27.888235159535039</v>
      </c>
      <c r="G306">
        <v>24.25464735520314</v>
      </c>
      <c r="H306">
        <v>22.574456224130081</v>
      </c>
      <c r="I306">
        <v>1464.1499797473789</v>
      </c>
      <c r="J306">
        <v>30</v>
      </c>
      <c r="K306" t="s">
        <v>66</v>
      </c>
    </row>
    <row r="307" spans="1:11" x14ac:dyDescent="0.3">
      <c r="A307">
        <v>50.3623737563438</v>
      </c>
      <c r="B307">
        <v>1.8432468668827211</v>
      </c>
      <c r="C307">
        <v>3.2885961567215518</v>
      </c>
      <c r="D307">
        <v>5.7888160886609583</v>
      </c>
      <c r="E307">
        <v>7.487611113697306</v>
      </c>
      <c r="F307">
        <v>44.746697463569163</v>
      </c>
      <c r="G307">
        <v>31.64128284035818</v>
      </c>
      <c r="H307">
        <v>22.07340740099497</v>
      </c>
      <c r="I307">
        <v>1349.1472526387099</v>
      </c>
      <c r="J307">
        <v>25</v>
      </c>
      <c r="K307" t="s">
        <v>66</v>
      </c>
    </row>
    <row r="308" spans="1:11" x14ac:dyDescent="0.3">
      <c r="A308">
        <v>94.939186133474053</v>
      </c>
      <c r="B308">
        <v>4.3676616694440007</v>
      </c>
      <c r="C308">
        <v>6.6141183865112074</v>
      </c>
      <c r="D308">
        <v>11.822476772622259</v>
      </c>
      <c r="E308">
        <v>6.1936612820660937</v>
      </c>
      <c r="F308">
        <v>38.611325582067863</v>
      </c>
      <c r="G308">
        <v>21.473238237547591</v>
      </c>
      <c r="H308">
        <v>19.163282937280709</v>
      </c>
      <c r="I308">
        <v>1557.2304214414719</v>
      </c>
      <c r="J308">
        <v>40</v>
      </c>
      <c r="K308" t="s">
        <v>66</v>
      </c>
    </row>
    <row r="309" spans="1:11" x14ac:dyDescent="0.3">
      <c r="A309">
        <v>104.4939012566436</v>
      </c>
      <c r="B309">
        <v>5.6089795761527794</v>
      </c>
      <c r="C309">
        <v>6.5939885671424214</v>
      </c>
      <c r="D309">
        <v>19.90246067625068</v>
      </c>
      <c r="E309">
        <v>5.9153447762985891</v>
      </c>
      <c r="F309">
        <v>45.881894763678382</v>
      </c>
      <c r="G309">
        <v>24.140095185270329</v>
      </c>
      <c r="H309">
        <v>18.91037525654373</v>
      </c>
      <c r="I309">
        <v>2166.0386977623029</v>
      </c>
      <c r="J309">
        <v>20</v>
      </c>
      <c r="K309" t="s">
        <v>66</v>
      </c>
    </row>
    <row r="310" spans="1:11" x14ac:dyDescent="0.3">
      <c r="A310">
        <v>71.219676334059741</v>
      </c>
      <c r="B310">
        <v>3.0554221736687168</v>
      </c>
      <c r="C310">
        <v>4.5573756569378876</v>
      </c>
      <c r="D310">
        <v>12.879665137759201</v>
      </c>
      <c r="E310">
        <v>6.2651213450097867</v>
      </c>
      <c r="F310">
        <v>47.463711615149577</v>
      </c>
      <c r="G310">
        <v>24.964810523370591</v>
      </c>
      <c r="H310">
        <v>23.237052658157559</v>
      </c>
      <c r="I310">
        <v>1439.2365724528529</v>
      </c>
      <c r="J310">
        <v>30</v>
      </c>
      <c r="K310" t="s">
        <v>66</v>
      </c>
    </row>
    <row r="311" spans="1:11" x14ac:dyDescent="0.3">
      <c r="A311">
        <v>10.40941811496419</v>
      </c>
      <c r="B311">
        <v>0</v>
      </c>
      <c r="C311">
        <v>0</v>
      </c>
      <c r="D311">
        <v>0.78056175301799757</v>
      </c>
      <c r="E311">
        <v>6.2874929497547267</v>
      </c>
      <c r="F311">
        <v>36.839366189997818</v>
      </c>
      <c r="G311">
        <v>17.66943709796762</v>
      </c>
      <c r="H311">
        <v>21.773019638334251</v>
      </c>
      <c r="I311">
        <v>1532.9542936511691</v>
      </c>
      <c r="J311">
        <v>30</v>
      </c>
      <c r="K311" t="s">
        <v>66</v>
      </c>
    </row>
    <row r="312" spans="1:11" x14ac:dyDescent="0.3">
      <c r="A312">
        <v>6.7805049342541182</v>
      </c>
      <c r="B312">
        <v>0</v>
      </c>
      <c r="C312">
        <v>0</v>
      </c>
      <c r="D312">
        <v>0</v>
      </c>
      <c r="E312">
        <v>6.1724068003781696</v>
      </c>
      <c r="F312">
        <v>22.201041622410621</v>
      </c>
      <c r="G312">
        <v>28.073872801743459</v>
      </c>
      <c r="H312">
        <v>34.44647726177012</v>
      </c>
      <c r="I312">
        <v>1777.119144550041</v>
      </c>
      <c r="J312">
        <v>26</v>
      </c>
      <c r="K312" t="s">
        <v>66</v>
      </c>
    </row>
    <row r="313" spans="1:11" x14ac:dyDescent="0.3">
      <c r="A313">
        <v>54</v>
      </c>
      <c r="B313">
        <v>2</v>
      </c>
      <c r="C313">
        <v>3</v>
      </c>
      <c r="D313">
        <v>8</v>
      </c>
      <c r="E313">
        <v>6.4</v>
      </c>
      <c r="F313">
        <v>33.5</v>
      </c>
      <c r="G313">
        <v>21.7</v>
      </c>
      <c r="H313">
        <v>20</v>
      </c>
      <c r="I313">
        <v>1251</v>
      </c>
      <c r="J313">
        <v>18</v>
      </c>
      <c r="K313" t="s">
        <v>67</v>
      </c>
    </row>
    <row r="314" spans="1:11" x14ac:dyDescent="0.3">
      <c r="A314">
        <v>59.266023432057239</v>
      </c>
      <c r="B314">
        <v>2.0444579711601709</v>
      </c>
      <c r="C314">
        <v>3.197835372334084</v>
      </c>
      <c r="D314">
        <v>9.0420723174289854</v>
      </c>
      <c r="E314">
        <v>5.9637173959624921</v>
      </c>
      <c r="F314">
        <v>57.753772802111413</v>
      </c>
      <c r="G314">
        <v>21.530178203353969</v>
      </c>
      <c r="H314">
        <v>19.507368820694289</v>
      </c>
      <c r="I314">
        <v>1883.749097029126</v>
      </c>
      <c r="J314">
        <v>40</v>
      </c>
      <c r="K314" t="s">
        <v>66</v>
      </c>
    </row>
    <row r="315" spans="1:11" x14ac:dyDescent="0.3">
      <c r="A315">
        <v>7.0112014521730179</v>
      </c>
      <c r="B315">
        <v>0</v>
      </c>
      <c r="C315">
        <v>0</v>
      </c>
      <c r="D315">
        <v>0.97344394874814588</v>
      </c>
      <c r="E315">
        <v>6.6252283988664038</v>
      </c>
      <c r="F315">
        <v>28.32450053776439</v>
      </c>
      <c r="G315">
        <v>22.473503334428461</v>
      </c>
      <c r="H315">
        <v>20.283930239487191</v>
      </c>
      <c r="I315">
        <v>1624.2386282188029</v>
      </c>
      <c r="J315">
        <v>25</v>
      </c>
      <c r="K315" t="s">
        <v>66</v>
      </c>
    </row>
    <row r="316" spans="1:11" x14ac:dyDescent="0.3">
      <c r="A316">
        <v>208.86231137330239</v>
      </c>
      <c r="B316">
        <v>7.9489984038588588</v>
      </c>
      <c r="C316">
        <v>12.35589232623637</v>
      </c>
      <c r="D316">
        <v>35.925106346021721</v>
      </c>
      <c r="E316">
        <v>6.1640423120498564</v>
      </c>
      <c r="F316">
        <v>26.49859881429418</v>
      </c>
      <c r="G316">
        <v>30.065831198546281</v>
      </c>
      <c r="H316">
        <v>30.089143363459911</v>
      </c>
      <c r="I316">
        <v>13.86281567412729</v>
      </c>
      <c r="J316">
        <v>0</v>
      </c>
      <c r="K316" t="s">
        <v>66</v>
      </c>
    </row>
    <row r="317" spans="1:11" x14ac:dyDescent="0.3">
      <c r="A317">
        <v>52.443421918037863</v>
      </c>
      <c r="B317">
        <v>2.244616613419065</v>
      </c>
      <c r="C317">
        <v>2.775192693173167</v>
      </c>
      <c r="D317">
        <v>7.9511219935953052</v>
      </c>
      <c r="E317">
        <v>6.2091590658669498</v>
      </c>
      <c r="F317">
        <v>25.160701474567549</v>
      </c>
      <c r="G317">
        <v>19.536722837724351</v>
      </c>
      <c r="H317">
        <v>27.897662372650409</v>
      </c>
      <c r="I317">
        <v>2257</v>
      </c>
      <c r="J317">
        <v>15</v>
      </c>
      <c r="K317" t="s">
        <v>66</v>
      </c>
    </row>
    <row r="318" spans="1:11" x14ac:dyDescent="0.3">
      <c r="A318">
        <v>350.82947674803722</v>
      </c>
      <c r="B318">
        <v>19.532767845623539</v>
      </c>
      <c r="C318">
        <v>19.274584458201399</v>
      </c>
      <c r="D318">
        <v>47.614298655807808</v>
      </c>
      <c r="E318">
        <v>5.2025409113785157</v>
      </c>
      <c r="F318">
        <v>77.499417703327921</v>
      </c>
      <c r="G318">
        <v>31.11925100393201</v>
      </c>
      <c r="H318">
        <v>30.477189022000701</v>
      </c>
      <c r="I318">
        <v>11.21482949461004</v>
      </c>
      <c r="J318">
        <v>0</v>
      </c>
      <c r="K318" t="s">
        <v>66</v>
      </c>
    </row>
    <row r="319" spans="1:11" x14ac:dyDescent="0.3">
      <c r="A319">
        <v>83.818482784904461</v>
      </c>
      <c r="B319">
        <v>3.249057543558783</v>
      </c>
      <c r="C319">
        <v>4.5627821758300406</v>
      </c>
      <c r="D319">
        <v>13.801011636336449</v>
      </c>
      <c r="E319">
        <v>5.3456085507479969</v>
      </c>
      <c r="F319">
        <v>32.553028939410552</v>
      </c>
      <c r="G319">
        <v>17.302701530923478</v>
      </c>
      <c r="H319">
        <v>18.083510213347779</v>
      </c>
      <c r="I319">
        <v>1854.9673515463469</v>
      </c>
      <c r="J319">
        <v>20</v>
      </c>
      <c r="K319" t="s">
        <v>66</v>
      </c>
    </row>
    <row r="320" spans="1:11" x14ac:dyDescent="0.3">
      <c r="A320">
        <v>119.4209741537594</v>
      </c>
      <c r="B320">
        <v>6.0611137771571917</v>
      </c>
      <c r="C320">
        <v>7.0406414582014314</v>
      </c>
      <c r="D320">
        <v>16.73597022994716</v>
      </c>
      <c r="E320">
        <v>5.1398401881968621</v>
      </c>
      <c r="F320">
        <v>19.716128628302329</v>
      </c>
      <c r="G320">
        <v>18.560568038410281</v>
      </c>
      <c r="H320">
        <v>19.163456225676601</v>
      </c>
      <c r="I320">
        <v>1836.9881053404879</v>
      </c>
      <c r="J320">
        <v>12</v>
      </c>
      <c r="K320" t="s">
        <v>66</v>
      </c>
    </row>
    <row r="321" spans="1:11" x14ac:dyDescent="0.3">
      <c r="A321">
        <v>34.413058010633733</v>
      </c>
      <c r="B321">
        <v>0.99393391861853797</v>
      </c>
      <c r="C321">
        <v>1.9193848021869939</v>
      </c>
      <c r="D321">
        <v>4.6324415996377057</v>
      </c>
      <c r="E321">
        <v>6.1557799937704862</v>
      </c>
      <c r="F321">
        <v>32.383229290349462</v>
      </c>
      <c r="G321">
        <v>20.4038900529264</v>
      </c>
      <c r="H321">
        <v>20.262503722083821</v>
      </c>
      <c r="I321">
        <v>1549.0144896821951</v>
      </c>
      <c r="J321">
        <v>25</v>
      </c>
      <c r="K321" t="s">
        <v>66</v>
      </c>
    </row>
    <row r="322" spans="1:11" x14ac:dyDescent="0.3">
      <c r="A322">
        <v>122.403592755473</v>
      </c>
      <c r="B322">
        <v>6.4848346789686868</v>
      </c>
      <c r="C322">
        <v>8.8659276212094333</v>
      </c>
      <c r="D322">
        <v>17.33077878617954</v>
      </c>
      <c r="E322">
        <v>5.3156584643990197</v>
      </c>
      <c r="F322">
        <v>20.41183470251497</v>
      </c>
      <c r="G322">
        <v>19.39603237651643</v>
      </c>
      <c r="H322">
        <v>20.761198272278818</v>
      </c>
      <c r="I322">
        <v>1874.023476767162</v>
      </c>
      <c r="J322">
        <v>12</v>
      </c>
      <c r="K322" t="s">
        <v>66</v>
      </c>
    </row>
    <row r="323" spans="1:11" x14ac:dyDescent="0.3">
      <c r="A323">
        <v>31.72390998942851</v>
      </c>
      <c r="B323">
        <v>1.1117398815902459</v>
      </c>
      <c r="C323">
        <v>2.0485764026300548</v>
      </c>
      <c r="D323">
        <v>4.4499730181212964</v>
      </c>
      <c r="E323">
        <v>5.5977339781220019</v>
      </c>
      <c r="F323">
        <v>32.094327729355641</v>
      </c>
      <c r="G323">
        <v>26.906861501552211</v>
      </c>
      <c r="H323">
        <v>19.952015644306861</v>
      </c>
      <c r="I323">
        <v>1886.259239347705</v>
      </c>
      <c r="J323">
        <v>40</v>
      </c>
      <c r="K323" t="s">
        <v>66</v>
      </c>
    </row>
    <row r="324" spans="1:11" x14ac:dyDescent="0.3">
      <c r="A324">
        <v>29.794384134234139</v>
      </c>
      <c r="B324">
        <v>1.0462060893251901</v>
      </c>
      <c r="C324">
        <v>2.200326365041712</v>
      </c>
      <c r="D324">
        <v>5.4208903873920056</v>
      </c>
      <c r="E324">
        <v>6.0471264728642886</v>
      </c>
      <c r="F324">
        <v>27.569720121411891</v>
      </c>
      <c r="G324">
        <v>26.446727016828451</v>
      </c>
      <c r="H324">
        <v>22.02897947923892</v>
      </c>
      <c r="I324">
        <v>1202.8652606694211</v>
      </c>
      <c r="J324">
        <v>18</v>
      </c>
      <c r="K324" t="s">
        <v>66</v>
      </c>
    </row>
    <row r="325" spans="1:11" x14ac:dyDescent="0.3">
      <c r="A325">
        <v>31.264841429098311</v>
      </c>
      <c r="B325">
        <v>1.089038316351979</v>
      </c>
      <c r="C325">
        <v>1.9175558509951061</v>
      </c>
      <c r="D325">
        <v>4.9682132304069393</v>
      </c>
      <c r="E325">
        <v>6.0094288628074501</v>
      </c>
      <c r="F325">
        <v>30.114535138317081</v>
      </c>
      <c r="G325">
        <v>26.233561204671339</v>
      </c>
      <c r="H325">
        <v>22.297889381590661</v>
      </c>
      <c r="I325">
        <v>1235.0466019792971</v>
      </c>
      <c r="J325">
        <v>18</v>
      </c>
      <c r="K325" t="s">
        <v>66</v>
      </c>
    </row>
    <row r="326" spans="1:11" x14ac:dyDescent="0.3">
      <c r="A326">
        <v>96.271609884483695</v>
      </c>
      <c r="B326">
        <v>3.7509402553062192</v>
      </c>
      <c r="C326">
        <v>6.1275444183793288</v>
      </c>
      <c r="D326">
        <v>13.83927685173731</v>
      </c>
      <c r="E326">
        <v>6.3131649199950148</v>
      </c>
      <c r="F326">
        <v>33.430556874656062</v>
      </c>
      <c r="G326">
        <v>20.979801289278502</v>
      </c>
      <c r="H326">
        <v>18.692126803165849</v>
      </c>
      <c r="I326">
        <v>1612.1531123787861</v>
      </c>
      <c r="J326">
        <v>40</v>
      </c>
      <c r="K326" t="s">
        <v>66</v>
      </c>
    </row>
    <row r="327" spans="1:11" x14ac:dyDescent="0.3">
      <c r="A327">
        <v>65.79344267793158</v>
      </c>
      <c r="B327">
        <v>2.6873866763270691</v>
      </c>
      <c r="C327">
        <v>3.786909800713238</v>
      </c>
      <c r="D327">
        <v>9.4520041812588627</v>
      </c>
      <c r="E327">
        <v>5.7545778826266991</v>
      </c>
      <c r="F327">
        <v>32.415246489408119</v>
      </c>
      <c r="G327">
        <v>20.345737291836091</v>
      </c>
      <c r="H327">
        <v>17.222559139826259</v>
      </c>
      <c r="I327">
        <v>1864.315980539325</v>
      </c>
      <c r="J327">
        <v>20</v>
      </c>
      <c r="K327" t="s">
        <v>66</v>
      </c>
    </row>
    <row r="328" spans="1:11" x14ac:dyDescent="0.3">
      <c r="A328">
        <v>948.7398175979929</v>
      </c>
      <c r="B328">
        <v>42.419712268047988</v>
      </c>
      <c r="C328">
        <v>67</v>
      </c>
      <c r="D328">
        <v>150.80813859492781</v>
      </c>
      <c r="E328">
        <v>5.1915351583221883</v>
      </c>
      <c r="F328">
        <v>24.884736547760209</v>
      </c>
      <c r="G328">
        <v>19.079250348296348</v>
      </c>
      <c r="H328">
        <v>23.034987367622339</v>
      </c>
      <c r="I328">
        <v>1445.1545655696771</v>
      </c>
      <c r="J328">
        <v>30</v>
      </c>
      <c r="K328" t="s">
        <v>66</v>
      </c>
    </row>
    <row r="329" spans="1:11" x14ac:dyDescent="0.3">
      <c r="A329">
        <v>58</v>
      </c>
      <c r="B329">
        <v>2</v>
      </c>
      <c r="C329">
        <v>3</v>
      </c>
      <c r="D329">
        <v>8</v>
      </c>
      <c r="E329">
        <v>5.8</v>
      </c>
      <c r="F329">
        <v>57</v>
      </c>
      <c r="G329">
        <v>22.1</v>
      </c>
      <c r="H329">
        <v>19.2</v>
      </c>
      <c r="I329">
        <v>1941</v>
      </c>
      <c r="J329">
        <v>40</v>
      </c>
      <c r="K329" t="s">
        <v>67</v>
      </c>
    </row>
    <row r="330" spans="1:11" x14ac:dyDescent="0.3">
      <c r="A330">
        <v>84.089027538389814</v>
      </c>
      <c r="B330">
        <v>4.0725706480455894</v>
      </c>
      <c r="C330">
        <v>6.5656731084840452</v>
      </c>
      <c r="D330">
        <v>12.828073812938939</v>
      </c>
      <c r="E330">
        <v>6.7527926802658298</v>
      </c>
      <c r="F330">
        <v>13.91358436213474</v>
      </c>
      <c r="G330">
        <v>30.741766638641309</v>
      </c>
      <c r="H330">
        <v>30.897360773858569</v>
      </c>
      <c r="I330">
        <v>47.035483333721473</v>
      </c>
      <c r="J330">
        <v>0</v>
      </c>
      <c r="K330" t="s">
        <v>66</v>
      </c>
    </row>
    <row r="331" spans="1:11" x14ac:dyDescent="0.3">
      <c r="A331">
        <v>41</v>
      </c>
      <c r="B331">
        <v>2</v>
      </c>
      <c r="C331">
        <v>2</v>
      </c>
      <c r="D331">
        <v>6</v>
      </c>
      <c r="E331">
        <v>6.3</v>
      </c>
      <c r="F331">
        <v>26.4</v>
      </c>
      <c r="G331">
        <v>19.899999999999999</v>
      </c>
      <c r="H331">
        <v>28.1</v>
      </c>
      <c r="I331">
        <v>2002</v>
      </c>
      <c r="J331">
        <v>30</v>
      </c>
      <c r="K331" t="s">
        <v>67</v>
      </c>
    </row>
    <row r="332" spans="1:11" x14ac:dyDescent="0.3">
      <c r="A332">
        <v>75.510431040303899</v>
      </c>
      <c r="B332">
        <v>3.1864715669568149</v>
      </c>
      <c r="C332">
        <v>4.0799611277471239</v>
      </c>
      <c r="D332">
        <v>11.874060421239729</v>
      </c>
      <c r="E332">
        <v>6.1617937399976173</v>
      </c>
      <c r="F332">
        <v>16.803063366722551</v>
      </c>
      <c r="G332">
        <v>20.716528689808399</v>
      </c>
      <c r="H332">
        <v>18.689763573233009</v>
      </c>
      <c r="I332">
        <v>1620.6700534404779</v>
      </c>
      <c r="J332">
        <v>30</v>
      </c>
      <c r="K332" t="s">
        <v>66</v>
      </c>
    </row>
    <row r="333" spans="1:11" x14ac:dyDescent="0.3">
      <c r="A333">
        <v>33.413313203070693</v>
      </c>
      <c r="B333">
        <v>1.1639964529371389</v>
      </c>
      <c r="C333">
        <v>1.9845113078548009</v>
      </c>
      <c r="D333">
        <v>4.4010167853913691</v>
      </c>
      <c r="E333">
        <v>6.073673970587957</v>
      </c>
      <c r="F333">
        <v>26.184618011495822</v>
      </c>
      <c r="G333">
        <v>20.153626013563791</v>
      </c>
      <c r="H333">
        <v>20.11053033771806</v>
      </c>
      <c r="I333">
        <v>1550.660031048063</v>
      </c>
      <c r="J333">
        <v>25</v>
      </c>
      <c r="K333" t="s">
        <v>66</v>
      </c>
    </row>
    <row r="334" spans="1:11" x14ac:dyDescent="0.3">
      <c r="A334">
        <v>25.018013309282018</v>
      </c>
      <c r="B334">
        <v>0.93827468134530767</v>
      </c>
      <c r="C334">
        <v>1.046248362406685</v>
      </c>
      <c r="D334">
        <v>2.8938942721298981</v>
      </c>
      <c r="E334">
        <v>5.9658696640563367</v>
      </c>
      <c r="F334">
        <v>34.195528235366567</v>
      </c>
      <c r="G334">
        <v>18.595478171415252</v>
      </c>
      <c r="H334">
        <v>16</v>
      </c>
      <c r="I334">
        <v>1767.9943475916079</v>
      </c>
      <c r="J334">
        <v>30</v>
      </c>
      <c r="K334" t="s">
        <v>66</v>
      </c>
    </row>
    <row r="335" spans="1:11" x14ac:dyDescent="0.3">
      <c r="A335">
        <v>61</v>
      </c>
      <c r="B335">
        <v>3</v>
      </c>
      <c r="C335">
        <v>4</v>
      </c>
      <c r="D335">
        <v>9</v>
      </c>
      <c r="E335">
        <v>6.1</v>
      </c>
      <c r="F335">
        <v>34</v>
      </c>
      <c r="G335">
        <v>18</v>
      </c>
      <c r="H335">
        <v>19</v>
      </c>
      <c r="I335">
        <v>2122</v>
      </c>
      <c r="J335">
        <v>20</v>
      </c>
      <c r="K335" t="s">
        <v>67</v>
      </c>
    </row>
    <row r="336" spans="1:11" x14ac:dyDescent="0.3">
      <c r="A336">
        <v>127.07578310438301</v>
      </c>
      <c r="B336">
        <v>6.1257956491647754</v>
      </c>
      <c r="C336">
        <v>7.901013855920195</v>
      </c>
      <c r="D336">
        <v>20.55680920946487</v>
      </c>
      <c r="E336">
        <v>4.3</v>
      </c>
      <c r="F336">
        <v>53.272885118800247</v>
      </c>
      <c r="G336">
        <v>20.114273797493169</v>
      </c>
      <c r="H336">
        <v>20.709104820740059</v>
      </c>
      <c r="I336">
        <v>1638.764688275154</v>
      </c>
      <c r="J336">
        <v>12</v>
      </c>
      <c r="K336" t="s">
        <v>66</v>
      </c>
    </row>
    <row r="337" spans="1:11" x14ac:dyDescent="0.3">
      <c r="A337">
        <v>75</v>
      </c>
      <c r="B337">
        <v>3</v>
      </c>
      <c r="C337">
        <v>5</v>
      </c>
      <c r="D337">
        <v>12</v>
      </c>
      <c r="E337">
        <v>6.1</v>
      </c>
      <c r="F337">
        <v>45.8</v>
      </c>
      <c r="G337">
        <v>24.9</v>
      </c>
      <c r="H337">
        <v>23</v>
      </c>
      <c r="I337">
        <v>1466</v>
      </c>
      <c r="J337">
        <v>30</v>
      </c>
      <c r="K337" t="s">
        <v>67</v>
      </c>
    </row>
    <row r="338" spans="1:11" x14ac:dyDescent="0.3">
      <c r="A338">
        <v>88.074657123216369</v>
      </c>
      <c r="B338">
        <v>4.0774359645470177</v>
      </c>
      <c r="C338">
        <v>6.2032123907530137</v>
      </c>
      <c r="D338">
        <v>14.11054966393532</v>
      </c>
      <c r="E338">
        <v>5.4893563886494423</v>
      </c>
      <c r="F338">
        <v>30.016443250835991</v>
      </c>
      <c r="G338">
        <v>22.13930935008683</v>
      </c>
      <c r="H338">
        <v>22.098785006213571</v>
      </c>
      <c r="I338">
        <v>1746.061374626192</v>
      </c>
      <c r="J338">
        <v>25</v>
      </c>
      <c r="K338" t="s">
        <v>66</v>
      </c>
    </row>
    <row r="339" spans="1:11" x14ac:dyDescent="0.3">
      <c r="A339">
        <v>104.3727467052182</v>
      </c>
      <c r="B339">
        <v>3.7402507846714301</v>
      </c>
      <c r="C339">
        <v>5.417925443772214</v>
      </c>
      <c r="D339">
        <v>15.05793217424204</v>
      </c>
      <c r="E339">
        <v>5.5157289698290137</v>
      </c>
      <c r="F339">
        <v>28.03707745473957</v>
      </c>
      <c r="G339">
        <v>20.813976175432341</v>
      </c>
      <c r="H339">
        <v>21.025529453659711</v>
      </c>
      <c r="I339">
        <v>1740.687423651591</v>
      </c>
      <c r="J339">
        <v>25</v>
      </c>
      <c r="K339" t="s">
        <v>66</v>
      </c>
    </row>
    <row r="340" spans="1:11" x14ac:dyDescent="0.3">
      <c r="A340">
        <v>529.56236926642146</v>
      </c>
      <c r="B340">
        <v>27.235089802604868</v>
      </c>
      <c r="C340">
        <v>38.803272910290261</v>
      </c>
      <c r="D340">
        <v>90.159364267292361</v>
      </c>
      <c r="E340">
        <v>6.1016109934944494</v>
      </c>
      <c r="F340">
        <v>78.426595500708515</v>
      </c>
      <c r="G340">
        <v>30.979365472585869</v>
      </c>
      <c r="H340">
        <v>30.973505114205331</v>
      </c>
      <c r="I340">
        <v>11</v>
      </c>
      <c r="J340">
        <v>0</v>
      </c>
      <c r="K340" t="s">
        <v>66</v>
      </c>
    </row>
    <row r="341" spans="1:11" x14ac:dyDescent="0.3">
      <c r="A341">
        <v>96.329418139319756</v>
      </c>
      <c r="B341">
        <v>3.3747236765213371</v>
      </c>
      <c r="C341">
        <v>6.4544970896024916</v>
      </c>
      <c r="D341">
        <v>13.220495359335221</v>
      </c>
      <c r="E341">
        <v>5.7851214362638759</v>
      </c>
      <c r="F341">
        <v>33.033634033287498</v>
      </c>
      <c r="G341">
        <v>24.706791035404841</v>
      </c>
      <c r="H341">
        <v>24.724100895298221</v>
      </c>
      <c r="I341">
        <v>652.90425387032496</v>
      </c>
      <c r="J341">
        <v>25</v>
      </c>
      <c r="K341" t="s">
        <v>66</v>
      </c>
    </row>
    <row r="342" spans="1:11" x14ac:dyDescent="0.3">
      <c r="A342">
        <v>52.328061394095712</v>
      </c>
      <c r="B342">
        <v>1.6905392022123269</v>
      </c>
      <c r="C342">
        <v>2.1487480675807862</v>
      </c>
      <c r="D342">
        <v>8.3150985745317954</v>
      </c>
      <c r="E342">
        <v>6.0905057847913504</v>
      </c>
      <c r="F342">
        <v>37.338829528735687</v>
      </c>
      <c r="G342">
        <v>25.766580205633339</v>
      </c>
      <c r="H342">
        <v>26.836603568380429</v>
      </c>
      <c r="I342">
        <v>1453.0185358832759</v>
      </c>
      <c r="J342">
        <v>18</v>
      </c>
      <c r="K342" t="s">
        <v>66</v>
      </c>
    </row>
    <row r="343" spans="1:11" x14ac:dyDescent="0.3">
      <c r="A343">
        <v>95.519660183879864</v>
      </c>
      <c r="B343">
        <v>4.0858852732682109</v>
      </c>
      <c r="C343">
        <v>5.817989959513719</v>
      </c>
      <c r="D343">
        <v>14.442331482714771</v>
      </c>
      <c r="E343">
        <v>6.0688458674861696</v>
      </c>
      <c r="F343">
        <v>37.443926149467011</v>
      </c>
      <c r="G343">
        <v>24.067740179790629</v>
      </c>
      <c r="H343">
        <v>25.3036966470262</v>
      </c>
      <c r="I343">
        <v>675.97961085506131</v>
      </c>
      <c r="J343">
        <v>25</v>
      </c>
      <c r="K343" t="s">
        <v>66</v>
      </c>
    </row>
    <row r="344" spans="1:11" x14ac:dyDescent="0.3">
      <c r="A344">
        <v>346.58505342482198</v>
      </c>
      <c r="B344">
        <v>18.75951463961777</v>
      </c>
      <c r="C344">
        <v>23.610919084296832</v>
      </c>
      <c r="D344">
        <v>49.480306086026232</v>
      </c>
      <c r="E344">
        <v>4.3</v>
      </c>
      <c r="F344">
        <v>56.592981273857802</v>
      </c>
      <c r="G344">
        <v>30.30441709640807</v>
      </c>
      <c r="H344">
        <v>30.992830954121509</v>
      </c>
      <c r="I344">
        <v>14.14560122662423</v>
      </c>
      <c r="J344">
        <v>0</v>
      </c>
      <c r="K344" t="s">
        <v>66</v>
      </c>
    </row>
    <row r="345" spans="1:11" x14ac:dyDescent="0.3">
      <c r="A345">
        <v>94.620929489068132</v>
      </c>
      <c r="B345">
        <v>4.3433804466626658</v>
      </c>
      <c r="C345">
        <v>7.0880446191092554</v>
      </c>
      <c r="D345">
        <v>11.55388966624864</v>
      </c>
      <c r="E345">
        <v>6.95262669117208</v>
      </c>
      <c r="F345">
        <v>14.9242858643681</v>
      </c>
      <c r="G345">
        <v>35.410855216280481</v>
      </c>
      <c r="H345">
        <v>31.899233183000181</v>
      </c>
      <c r="I345">
        <v>47.857219595695312</v>
      </c>
      <c r="J345">
        <v>0</v>
      </c>
      <c r="K345" t="s">
        <v>66</v>
      </c>
    </row>
    <row r="346" spans="1:11" x14ac:dyDescent="0.3">
      <c r="A346">
        <v>124.9766361055058</v>
      </c>
      <c r="B346">
        <v>5.3457605535342916</v>
      </c>
      <c r="C346">
        <v>9.5163699789039722</v>
      </c>
      <c r="D346">
        <v>15.851027297967381</v>
      </c>
      <c r="E346">
        <v>5.0679937250547171</v>
      </c>
      <c r="F346">
        <v>20.523936875895469</v>
      </c>
      <c r="G346">
        <v>20.39785537695127</v>
      </c>
      <c r="H346">
        <v>18.848897727587509</v>
      </c>
      <c r="I346">
        <v>1953.0315863700439</v>
      </c>
      <c r="J346">
        <v>12</v>
      </c>
      <c r="K346" t="s">
        <v>66</v>
      </c>
    </row>
    <row r="347" spans="1:11" x14ac:dyDescent="0.3">
      <c r="A347">
        <v>40.029259378538057</v>
      </c>
      <c r="B347">
        <v>1.88527964542062</v>
      </c>
      <c r="C347">
        <v>2.9455490513593001</v>
      </c>
      <c r="D347">
        <v>7.6264373892187773</v>
      </c>
      <c r="E347">
        <v>5.9634224871435588</v>
      </c>
      <c r="F347">
        <v>23.160610338374781</v>
      </c>
      <c r="G347">
        <v>22.727146478286759</v>
      </c>
      <c r="H347">
        <v>20.55409968844473</v>
      </c>
      <c r="I347">
        <v>1521.1901064858839</v>
      </c>
      <c r="J347">
        <v>18</v>
      </c>
      <c r="K347" t="s">
        <v>66</v>
      </c>
    </row>
    <row r="348" spans="1:11" x14ac:dyDescent="0.3">
      <c r="A348">
        <v>44.500776952055027</v>
      </c>
      <c r="B348">
        <v>1.9553595490730391</v>
      </c>
      <c r="C348">
        <v>2.7923249012202311</v>
      </c>
      <c r="D348">
        <v>6.8668314089107492</v>
      </c>
      <c r="E348">
        <v>6.2645998439644206</v>
      </c>
      <c r="F348">
        <v>23.187543912820232</v>
      </c>
      <c r="G348">
        <v>19.304256745099782</v>
      </c>
      <c r="H348">
        <v>30.065024220812582</v>
      </c>
      <c r="I348">
        <v>2233.3059530009282</v>
      </c>
      <c r="J348">
        <v>15</v>
      </c>
      <c r="K348" t="s">
        <v>66</v>
      </c>
    </row>
    <row r="349" spans="1:11" x14ac:dyDescent="0.3">
      <c r="A349">
        <v>14.2249810988575</v>
      </c>
      <c r="B349">
        <v>0</v>
      </c>
      <c r="C349">
        <v>0</v>
      </c>
      <c r="D349">
        <v>2.4291649850152979</v>
      </c>
      <c r="E349">
        <v>5.511266966948714</v>
      </c>
      <c r="F349">
        <v>25.745631633691481</v>
      </c>
      <c r="G349">
        <v>20.499009437959302</v>
      </c>
      <c r="H349">
        <v>25.152006548764181</v>
      </c>
      <c r="I349">
        <v>2209.4434511211521</v>
      </c>
      <c r="J349">
        <v>10</v>
      </c>
      <c r="K349" t="s">
        <v>66</v>
      </c>
    </row>
    <row r="350" spans="1:11" x14ac:dyDescent="0.3">
      <c r="A350">
        <v>30.230587658918289</v>
      </c>
      <c r="B350">
        <v>1.050872502322993</v>
      </c>
      <c r="C350">
        <v>2.0415605014706628</v>
      </c>
      <c r="D350">
        <v>3.8238963182454402</v>
      </c>
      <c r="E350">
        <v>5.8425404158565382</v>
      </c>
      <c r="F350">
        <v>20.48218106267058</v>
      </c>
      <c r="G350">
        <v>19.769124785837558</v>
      </c>
      <c r="H350">
        <v>19.265280651209451</v>
      </c>
      <c r="I350">
        <v>2032.7155044132419</v>
      </c>
      <c r="J350">
        <v>40</v>
      </c>
      <c r="K350" t="s">
        <v>66</v>
      </c>
    </row>
    <row r="351" spans="1:11" x14ac:dyDescent="0.3">
      <c r="A351">
        <v>13.0839937682839</v>
      </c>
      <c r="B351">
        <v>0</v>
      </c>
      <c r="C351">
        <v>0</v>
      </c>
      <c r="D351">
        <v>1.955622345741546</v>
      </c>
      <c r="E351">
        <v>4.9239469168959893</v>
      </c>
      <c r="F351">
        <v>28.056203408319771</v>
      </c>
      <c r="G351">
        <v>21.0545543572381</v>
      </c>
      <c r="H351">
        <v>22.604658387891241</v>
      </c>
      <c r="I351">
        <v>2099.0784412781718</v>
      </c>
      <c r="J351">
        <v>13</v>
      </c>
      <c r="K351" t="s">
        <v>66</v>
      </c>
    </row>
    <row r="352" spans="1:11" x14ac:dyDescent="0.3">
      <c r="A352">
        <v>20.086314843344091</v>
      </c>
      <c r="B352">
        <v>0.94611581438072623</v>
      </c>
      <c r="C352">
        <v>1.0973101561015071</v>
      </c>
      <c r="D352">
        <v>2.5439139623278169</v>
      </c>
      <c r="E352">
        <v>6.2123784630723717</v>
      </c>
      <c r="F352">
        <v>27.251931798703531</v>
      </c>
      <c r="G352">
        <v>23.349829795124069</v>
      </c>
      <c r="H352">
        <v>22.85070177872803</v>
      </c>
      <c r="I352">
        <v>1702.0052118431729</v>
      </c>
      <c r="J352">
        <v>17</v>
      </c>
      <c r="K352" t="s">
        <v>66</v>
      </c>
    </row>
    <row r="353" spans="1:11" x14ac:dyDescent="0.3">
      <c r="A353">
        <v>43.237185747218248</v>
      </c>
      <c r="B353">
        <v>1.552353753335006</v>
      </c>
      <c r="C353">
        <v>2.0790841970776071</v>
      </c>
      <c r="D353">
        <v>5.6472862170551998</v>
      </c>
      <c r="E353">
        <v>6.0399263195502222</v>
      </c>
      <c r="F353">
        <v>36.169519483470943</v>
      </c>
      <c r="G353">
        <v>20.052127321889682</v>
      </c>
      <c r="H353">
        <v>17.536083692012919</v>
      </c>
      <c r="I353">
        <v>1893.096884766939</v>
      </c>
      <c r="J353">
        <v>20</v>
      </c>
      <c r="K353" t="s">
        <v>66</v>
      </c>
    </row>
    <row r="354" spans="1:11" x14ac:dyDescent="0.3">
      <c r="A354">
        <v>42.299378475517983</v>
      </c>
      <c r="B354">
        <v>2.0814104574249068</v>
      </c>
      <c r="C354">
        <v>2.8811310965694719</v>
      </c>
      <c r="D354">
        <v>7.647970546651905</v>
      </c>
      <c r="E354">
        <v>5.7460316069289119</v>
      </c>
      <c r="F354">
        <v>22.121077416640951</v>
      </c>
      <c r="G354">
        <v>20.847875279372619</v>
      </c>
      <c r="H354">
        <v>21.281524263721149</v>
      </c>
      <c r="I354">
        <v>1470.362153610314</v>
      </c>
      <c r="J354">
        <v>18</v>
      </c>
      <c r="K354" t="s">
        <v>66</v>
      </c>
    </row>
    <row r="355" spans="1:11" x14ac:dyDescent="0.3">
      <c r="A355">
        <v>189.80470257113839</v>
      </c>
      <c r="B355">
        <v>9.4690101855414053</v>
      </c>
      <c r="C355">
        <v>12.38494287111922</v>
      </c>
      <c r="D355">
        <v>28.418146033406249</v>
      </c>
      <c r="E355">
        <v>6.3103671588269572</v>
      </c>
      <c r="F355">
        <v>38.15683891793978</v>
      </c>
      <c r="G355">
        <v>23.436836297184321</v>
      </c>
      <c r="H355">
        <v>21.890119514374181</v>
      </c>
      <c r="I355">
        <v>1350.1930222284659</v>
      </c>
      <c r="J355">
        <v>20</v>
      </c>
      <c r="K355" t="s">
        <v>66</v>
      </c>
    </row>
    <row r="356" spans="1:11" x14ac:dyDescent="0.3">
      <c r="A356">
        <v>58.263874601869958</v>
      </c>
      <c r="B356">
        <v>2.059750581673137</v>
      </c>
      <c r="C356">
        <v>2.7459447101623908</v>
      </c>
      <c r="D356">
        <v>6.6720527206477787</v>
      </c>
      <c r="E356">
        <v>6.0065424853071514</v>
      </c>
      <c r="F356">
        <v>26.10276214279536</v>
      </c>
      <c r="G356">
        <v>17.54002547600809</v>
      </c>
      <c r="H356">
        <v>22.19024794617766</v>
      </c>
      <c r="I356">
        <v>1743.771913564683</v>
      </c>
      <c r="J356">
        <v>25</v>
      </c>
      <c r="K356" t="s">
        <v>66</v>
      </c>
    </row>
    <row r="357" spans="1:11" x14ac:dyDescent="0.3">
      <c r="A357">
        <v>95.15583671599282</v>
      </c>
      <c r="B357">
        <v>3.7964145497169999</v>
      </c>
      <c r="C357">
        <v>6.1276438655145959</v>
      </c>
      <c r="D357">
        <v>12.96582350233861</v>
      </c>
      <c r="E357">
        <v>6.6903851245759194</v>
      </c>
      <c r="F357">
        <v>31.177901758563859</v>
      </c>
      <c r="G357">
        <v>17.445554023042028</v>
      </c>
      <c r="H357">
        <v>17.334401905348781</v>
      </c>
      <c r="I357">
        <v>1832.984162344731</v>
      </c>
      <c r="J357">
        <v>20</v>
      </c>
      <c r="K357" t="s">
        <v>66</v>
      </c>
    </row>
    <row r="358" spans="1:11" x14ac:dyDescent="0.3">
      <c r="A358">
        <v>154.50598845439879</v>
      </c>
      <c r="B358">
        <v>8.8126945494130293</v>
      </c>
      <c r="C358">
        <v>11.436335405705981</v>
      </c>
      <c r="D358">
        <v>22.74688423195202</v>
      </c>
      <c r="E358">
        <v>5.7335979948308626</v>
      </c>
      <c r="F358">
        <v>25.127950568911888</v>
      </c>
      <c r="G358">
        <v>22.927715329603039</v>
      </c>
      <c r="H358">
        <v>18.355337188563219</v>
      </c>
      <c r="I358">
        <v>2031.9304298000609</v>
      </c>
      <c r="J358">
        <v>20</v>
      </c>
      <c r="K358" t="s">
        <v>66</v>
      </c>
    </row>
    <row r="359" spans="1:11" x14ac:dyDescent="0.3">
      <c r="A359">
        <v>15.57383932827047</v>
      </c>
      <c r="B359">
        <v>0</v>
      </c>
      <c r="C359">
        <v>1.1280939576666731</v>
      </c>
      <c r="D359">
        <v>1.539705656466003</v>
      </c>
      <c r="E359">
        <v>5.5795341733537853</v>
      </c>
      <c r="F359">
        <v>27.887254376648091</v>
      </c>
      <c r="G359">
        <v>24.4369971585492</v>
      </c>
      <c r="H359">
        <v>26.54185213871477</v>
      </c>
      <c r="I359">
        <v>2032.3041280015671</v>
      </c>
      <c r="J359">
        <v>20</v>
      </c>
      <c r="K359" t="s">
        <v>66</v>
      </c>
    </row>
    <row r="360" spans="1:11" x14ac:dyDescent="0.3">
      <c r="A360">
        <v>16.0800879115871</v>
      </c>
      <c r="B360">
        <v>0</v>
      </c>
      <c r="C360">
        <v>1.0359475797547131</v>
      </c>
      <c r="D360">
        <v>1.978761181992049</v>
      </c>
      <c r="E360">
        <v>6.3032035920697558</v>
      </c>
      <c r="F360">
        <v>40.899566660328951</v>
      </c>
      <c r="G360">
        <v>20.1261051501879</v>
      </c>
      <c r="H360">
        <v>18.882198997344599</v>
      </c>
      <c r="I360">
        <v>1926.6799579439851</v>
      </c>
      <c r="J360">
        <v>40</v>
      </c>
      <c r="K360" t="s">
        <v>66</v>
      </c>
    </row>
    <row r="361" spans="1:11" x14ac:dyDescent="0.3">
      <c r="A361">
        <v>29.82696761271734</v>
      </c>
      <c r="B361">
        <v>1.1038378851019319</v>
      </c>
      <c r="C361">
        <v>2.2523038505071029</v>
      </c>
      <c r="D361">
        <v>4.3877477209632216</v>
      </c>
      <c r="E361">
        <v>6.0728948394108038</v>
      </c>
      <c r="F361">
        <v>20.52010097953</v>
      </c>
      <c r="G361">
        <v>29.705633912222591</v>
      </c>
      <c r="H361">
        <v>26.278052141642199</v>
      </c>
      <c r="I361">
        <v>697.69867349501328</v>
      </c>
      <c r="J361">
        <v>0</v>
      </c>
      <c r="K361" t="s">
        <v>66</v>
      </c>
    </row>
    <row r="362" spans="1:11" x14ac:dyDescent="0.3">
      <c r="A362">
        <v>348.06874037356488</v>
      </c>
      <c r="B362">
        <v>14.673864433984219</v>
      </c>
      <c r="C362">
        <v>23.98570869788945</v>
      </c>
      <c r="D362">
        <v>51.294154418872878</v>
      </c>
      <c r="E362">
        <v>6.1997077328948373</v>
      </c>
      <c r="F362">
        <v>34.949781980967103</v>
      </c>
      <c r="G362">
        <v>26.18609328694502</v>
      </c>
      <c r="H362">
        <v>21.903742674238359</v>
      </c>
      <c r="I362">
        <v>1293.2080299296699</v>
      </c>
      <c r="J362">
        <v>20</v>
      </c>
      <c r="K362" t="s">
        <v>66</v>
      </c>
    </row>
    <row r="363" spans="1:11" x14ac:dyDescent="0.3">
      <c r="A363">
        <v>55.88466896703904</v>
      </c>
      <c r="B363">
        <v>2.251429843372514</v>
      </c>
      <c r="C363">
        <v>2.7306509800723111</v>
      </c>
      <c r="D363">
        <v>6.8359563159275583</v>
      </c>
      <c r="E363">
        <v>6.1750500060819862</v>
      </c>
      <c r="F363">
        <v>37.762819465301803</v>
      </c>
      <c r="G363">
        <v>26.405331041639421</v>
      </c>
      <c r="H363">
        <v>26.71570117821074</v>
      </c>
      <c r="I363">
        <v>1470.497258734669</v>
      </c>
      <c r="J363">
        <v>18</v>
      </c>
      <c r="K363" t="s">
        <v>66</v>
      </c>
    </row>
    <row r="364" spans="1:11" x14ac:dyDescent="0.3">
      <c r="A364">
        <v>57.839279466515663</v>
      </c>
      <c r="B364">
        <v>1.650293605352364</v>
      </c>
      <c r="C364">
        <v>2.6818184800810201</v>
      </c>
      <c r="D364">
        <v>7.1445964049959354</v>
      </c>
      <c r="E364">
        <v>6.1569046170643027</v>
      </c>
      <c r="F364">
        <v>38.666603582267292</v>
      </c>
      <c r="G364">
        <v>26.927936547937229</v>
      </c>
      <c r="H364">
        <v>26.355590943060569</v>
      </c>
      <c r="I364">
        <v>1484.9550192624431</v>
      </c>
      <c r="J364">
        <v>18</v>
      </c>
      <c r="K364" t="s">
        <v>66</v>
      </c>
    </row>
    <row r="365" spans="1:11" x14ac:dyDescent="0.3">
      <c r="A365">
        <v>81</v>
      </c>
      <c r="B365">
        <v>4</v>
      </c>
      <c r="C365">
        <v>5</v>
      </c>
      <c r="D365">
        <v>12</v>
      </c>
      <c r="E365">
        <v>5.8</v>
      </c>
      <c r="F365">
        <v>30</v>
      </c>
      <c r="G365">
        <v>25.2</v>
      </c>
      <c r="H365">
        <v>26.8</v>
      </c>
      <c r="I365">
        <v>1406</v>
      </c>
      <c r="J365">
        <v>18</v>
      </c>
      <c r="K365" t="s">
        <v>67</v>
      </c>
    </row>
    <row r="366" spans="1:11" x14ac:dyDescent="0.3">
      <c r="A366">
        <v>46.176690349438587</v>
      </c>
      <c r="B366">
        <v>1.934110442730582</v>
      </c>
      <c r="C366">
        <v>2.5547830005226988</v>
      </c>
      <c r="D366">
        <v>6.8936228323787727</v>
      </c>
      <c r="E366">
        <v>6.1264993683784654</v>
      </c>
      <c r="F366">
        <v>40.32918673615336</v>
      </c>
      <c r="G366">
        <v>23.626943479199859</v>
      </c>
      <c r="H366">
        <v>20.5411525608943</v>
      </c>
      <c r="I366">
        <v>1685.977592798994</v>
      </c>
      <c r="J366">
        <v>25</v>
      </c>
      <c r="K366" t="s">
        <v>66</v>
      </c>
    </row>
    <row r="367" spans="1:11" x14ac:dyDescent="0.3">
      <c r="A367">
        <v>93.446961612775567</v>
      </c>
      <c r="B367">
        <v>3.5509820775022338</v>
      </c>
      <c r="C367">
        <v>4.8888943610552049</v>
      </c>
      <c r="D367">
        <v>14.21196426713243</v>
      </c>
      <c r="E367">
        <v>5.9958335833244654</v>
      </c>
      <c r="F367">
        <v>29.427473899432009</v>
      </c>
      <c r="G367">
        <v>19.392156908082171</v>
      </c>
      <c r="H367">
        <v>19.167589347604778</v>
      </c>
      <c r="I367">
        <v>2092.4493005050158</v>
      </c>
      <c r="J367">
        <v>20</v>
      </c>
      <c r="K367" t="s">
        <v>66</v>
      </c>
    </row>
    <row r="368" spans="1:11" x14ac:dyDescent="0.3">
      <c r="A368">
        <v>56.073847961488198</v>
      </c>
      <c r="B368">
        <v>2.6409634060721059</v>
      </c>
      <c r="C368">
        <v>4.1944739166247764</v>
      </c>
      <c r="D368">
        <v>8.9259716702956915</v>
      </c>
      <c r="E368">
        <v>6.0105830233507582</v>
      </c>
      <c r="F368">
        <v>34.314436398481547</v>
      </c>
      <c r="G368">
        <v>17.290694988888841</v>
      </c>
      <c r="H368">
        <v>20.034124111789161</v>
      </c>
      <c r="I368">
        <v>2141.9836743918909</v>
      </c>
      <c r="J368">
        <v>20</v>
      </c>
      <c r="K368" t="s">
        <v>66</v>
      </c>
    </row>
    <row r="369" spans="1:11" x14ac:dyDescent="0.3">
      <c r="A369">
        <v>27.44539843262087</v>
      </c>
      <c r="B369">
        <v>1.0185175536829909</v>
      </c>
      <c r="C369">
        <v>2.1512976708632201</v>
      </c>
      <c r="D369">
        <v>3.545186846741005</v>
      </c>
      <c r="E369">
        <v>6.2477205489568384</v>
      </c>
      <c r="F369">
        <v>20.952194156964001</v>
      </c>
      <c r="G369">
        <v>18.069911089344441</v>
      </c>
      <c r="H369">
        <v>28.013605302144761</v>
      </c>
      <c r="I369">
        <v>1666.3755217048019</v>
      </c>
      <c r="J369">
        <v>20</v>
      </c>
      <c r="K369" t="s">
        <v>66</v>
      </c>
    </row>
    <row r="370" spans="1:11" x14ac:dyDescent="0.3">
      <c r="A370">
        <v>13.18835365698267</v>
      </c>
      <c r="B370">
        <v>0</v>
      </c>
      <c r="C370">
        <v>0</v>
      </c>
      <c r="D370">
        <v>1.860117091975342</v>
      </c>
      <c r="E370">
        <v>5.4847999888895211</v>
      </c>
      <c r="F370">
        <v>27.35735565754954</v>
      </c>
      <c r="G370">
        <v>20.685757120673419</v>
      </c>
      <c r="H370">
        <v>25.472235106708059</v>
      </c>
      <c r="I370">
        <v>2248.8298421284721</v>
      </c>
      <c r="J370">
        <v>10</v>
      </c>
      <c r="K370" t="s">
        <v>66</v>
      </c>
    </row>
    <row r="371" spans="1:11" x14ac:dyDescent="0.3">
      <c r="A371">
        <v>47.411068521593108</v>
      </c>
      <c r="B371">
        <v>1.9141395550965481</v>
      </c>
      <c r="C371">
        <v>3.2584908373493828</v>
      </c>
      <c r="D371">
        <v>7.5656253325814502</v>
      </c>
      <c r="E371">
        <v>7.3819238895019508</v>
      </c>
      <c r="F371">
        <v>44.404463940628467</v>
      </c>
      <c r="G371">
        <v>30.978106501294789</v>
      </c>
      <c r="H371">
        <v>22.244996463890239</v>
      </c>
      <c r="I371">
        <v>1347.766723839655</v>
      </c>
      <c r="J371">
        <v>25</v>
      </c>
      <c r="K371" t="s">
        <v>66</v>
      </c>
    </row>
    <row r="372" spans="1:11" x14ac:dyDescent="0.3">
      <c r="A372">
        <v>32.587384802101226</v>
      </c>
      <c r="B372">
        <v>0.98089722373998312</v>
      </c>
      <c r="C372">
        <v>1.5367712274062251</v>
      </c>
      <c r="D372">
        <v>5.3854011099939854</v>
      </c>
      <c r="E372">
        <v>6.3885191975556657</v>
      </c>
      <c r="F372">
        <v>23.067671056978782</v>
      </c>
      <c r="G372">
        <v>24.221312092183162</v>
      </c>
      <c r="H372">
        <v>19.49462256993796</v>
      </c>
      <c r="I372">
        <v>1249.049736672933</v>
      </c>
      <c r="J372">
        <v>45</v>
      </c>
      <c r="K372" t="s">
        <v>66</v>
      </c>
    </row>
    <row r="373" spans="1:11" x14ac:dyDescent="0.3">
      <c r="A373">
        <v>135.140357526809</v>
      </c>
      <c r="B373">
        <v>6.5402391530370387</v>
      </c>
      <c r="C373">
        <v>9.5648456678056473</v>
      </c>
      <c r="D373">
        <v>23.840881123283118</v>
      </c>
      <c r="E373">
        <v>6.089778461813534</v>
      </c>
      <c r="F373">
        <v>28.034661182746358</v>
      </c>
      <c r="G373">
        <v>21.203554582301429</v>
      </c>
      <c r="H373">
        <v>21.210065602514579</v>
      </c>
      <c r="I373">
        <v>1657.270867667012</v>
      </c>
      <c r="J373">
        <v>12</v>
      </c>
      <c r="K373" t="s">
        <v>66</v>
      </c>
    </row>
    <row r="374" spans="1:11" x14ac:dyDescent="0.3">
      <c r="A374">
        <v>45.860421928914107</v>
      </c>
      <c r="B374">
        <v>1.85684800217785</v>
      </c>
      <c r="C374">
        <v>3.0955563014396619</v>
      </c>
      <c r="D374">
        <v>8.9770314137021323</v>
      </c>
      <c r="E374">
        <v>6.1951461406559254</v>
      </c>
      <c r="F374">
        <v>30.846293059179459</v>
      </c>
      <c r="G374">
        <v>19.54369121794258</v>
      </c>
      <c r="H374">
        <v>18.271390378160579</v>
      </c>
      <c r="I374">
        <v>1987.8576741416621</v>
      </c>
      <c r="J374">
        <v>20</v>
      </c>
      <c r="K374" t="s">
        <v>66</v>
      </c>
    </row>
    <row r="375" spans="1:11" x14ac:dyDescent="0.3">
      <c r="A375">
        <v>0</v>
      </c>
      <c r="B375">
        <v>0</v>
      </c>
      <c r="C375">
        <v>0</v>
      </c>
      <c r="D375">
        <v>0</v>
      </c>
      <c r="E375">
        <v>6.2719903931924161</v>
      </c>
      <c r="F375">
        <v>21.93854279993969</v>
      </c>
      <c r="G375">
        <v>31.824610790013779</v>
      </c>
      <c r="H375">
        <v>34.5</v>
      </c>
      <c r="I375">
        <v>1853.9099790565119</v>
      </c>
      <c r="J375">
        <v>26</v>
      </c>
      <c r="K375" t="s">
        <v>66</v>
      </c>
    </row>
    <row r="376" spans="1:11" x14ac:dyDescent="0.3">
      <c r="A376">
        <v>50.596624831195662</v>
      </c>
      <c r="B376">
        <v>2.0014126317256351</v>
      </c>
      <c r="C376">
        <v>2.9160020094376562</v>
      </c>
      <c r="D376">
        <v>7.9766268753168106</v>
      </c>
      <c r="E376">
        <v>6.7432493388033352</v>
      </c>
      <c r="F376">
        <v>22.215106775117579</v>
      </c>
      <c r="G376">
        <v>24.14453881618422</v>
      </c>
      <c r="H376">
        <v>20.936561600125181</v>
      </c>
      <c r="I376">
        <v>1715.191511438308</v>
      </c>
      <c r="J376">
        <v>25</v>
      </c>
      <c r="K376" t="s">
        <v>66</v>
      </c>
    </row>
    <row r="377" spans="1:11" x14ac:dyDescent="0.3">
      <c r="A377">
        <v>18.809639887889929</v>
      </c>
      <c r="B377">
        <v>0</v>
      </c>
      <c r="C377">
        <v>0.92044429320591181</v>
      </c>
      <c r="D377">
        <v>1.945254149566648</v>
      </c>
      <c r="E377">
        <v>5.5892876128774596</v>
      </c>
      <c r="F377">
        <v>22.272760400542399</v>
      </c>
      <c r="G377">
        <v>21.044533907641249</v>
      </c>
      <c r="H377">
        <v>27.250216912652458</v>
      </c>
      <c r="I377">
        <v>2167.2849534571078</v>
      </c>
      <c r="J377">
        <v>10</v>
      </c>
      <c r="K377" t="s">
        <v>66</v>
      </c>
    </row>
    <row r="378" spans="1:11" x14ac:dyDescent="0.3">
      <c r="A378">
        <v>7.2121034829709743</v>
      </c>
      <c r="B378">
        <v>0</v>
      </c>
      <c r="C378">
        <v>0</v>
      </c>
      <c r="D378">
        <v>1.250090049793428</v>
      </c>
      <c r="E378">
        <v>6.2589932469871101</v>
      </c>
      <c r="F378">
        <v>23.927912630885949</v>
      </c>
      <c r="G378">
        <v>19.164229869864489</v>
      </c>
      <c r="H378">
        <v>16</v>
      </c>
      <c r="I378">
        <v>1771.265449184622</v>
      </c>
      <c r="J378">
        <v>30</v>
      </c>
      <c r="K378" t="s">
        <v>66</v>
      </c>
    </row>
    <row r="379" spans="1:11" x14ac:dyDescent="0.3">
      <c r="A379">
        <v>7</v>
      </c>
      <c r="B379">
        <v>0</v>
      </c>
      <c r="C379">
        <v>0</v>
      </c>
      <c r="D379">
        <v>1</v>
      </c>
      <c r="E379">
        <v>6.2</v>
      </c>
      <c r="F379">
        <v>22.5</v>
      </c>
      <c r="G379">
        <v>18.8</v>
      </c>
      <c r="H379">
        <v>16</v>
      </c>
      <c r="I379">
        <v>1753</v>
      </c>
      <c r="J379">
        <v>30</v>
      </c>
      <c r="K379" t="s">
        <v>67</v>
      </c>
    </row>
    <row r="380" spans="1:11" x14ac:dyDescent="0.3">
      <c r="A380">
        <v>362.18976447796427</v>
      </c>
      <c r="B380">
        <v>20.50643754011579</v>
      </c>
      <c r="C380">
        <v>24.929259240694488</v>
      </c>
      <c r="D380">
        <v>60.247724733524628</v>
      </c>
      <c r="E380">
        <v>4.5525367111918236</v>
      </c>
      <c r="F380">
        <v>53.397011211220409</v>
      </c>
      <c r="G380">
        <v>20.280022264503341</v>
      </c>
      <c r="H380">
        <v>20.408515850957009</v>
      </c>
      <c r="I380">
        <v>1652.0790102036699</v>
      </c>
      <c r="J380">
        <v>8</v>
      </c>
      <c r="K380" t="s">
        <v>66</v>
      </c>
    </row>
    <row r="381" spans="1:11" x14ac:dyDescent="0.3">
      <c r="A381">
        <v>123.7944464343331</v>
      </c>
      <c r="B381">
        <v>6.2062727289299309</v>
      </c>
      <c r="C381">
        <v>6.4196097830262904</v>
      </c>
      <c r="D381">
        <v>18.593637181646191</v>
      </c>
      <c r="E381">
        <v>4.3</v>
      </c>
      <c r="F381">
        <v>57.451739720986581</v>
      </c>
      <c r="G381">
        <v>20.08836719572939</v>
      </c>
      <c r="H381">
        <v>20.838553393826849</v>
      </c>
      <c r="I381">
        <v>1719.989037109646</v>
      </c>
      <c r="J381">
        <v>12</v>
      </c>
      <c r="K381" t="s">
        <v>66</v>
      </c>
    </row>
    <row r="382" spans="1:11" x14ac:dyDescent="0.3">
      <c r="A382">
        <v>134.94581628974279</v>
      </c>
      <c r="B382">
        <v>6.1732161775679142</v>
      </c>
      <c r="C382">
        <v>7.6363618250052454</v>
      </c>
      <c r="D382">
        <v>20.66887702969704</v>
      </c>
      <c r="E382">
        <v>6.0788148249388501</v>
      </c>
      <c r="F382">
        <v>20.010900405278051</v>
      </c>
      <c r="G382">
        <v>31.78111858089451</v>
      </c>
      <c r="H382">
        <v>31.784874802482609</v>
      </c>
      <c r="I382">
        <v>46.721522414977748</v>
      </c>
      <c r="J382">
        <v>0</v>
      </c>
      <c r="K382" t="s">
        <v>66</v>
      </c>
    </row>
    <row r="383" spans="1:11" x14ac:dyDescent="0.3">
      <c r="A383">
        <v>42.87611958637779</v>
      </c>
      <c r="B383">
        <v>2.2682951831061762</v>
      </c>
      <c r="C383">
        <v>2.1006504129499008</v>
      </c>
      <c r="D383">
        <v>6.6995499121531337</v>
      </c>
      <c r="E383">
        <v>4.7985147224902329</v>
      </c>
      <c r="F383">
        <v>32.776834750976363</v>
      </c>
      <c r="G383">
        <v>18.23028158319164</v>
      </c>
      <c r="H383">
        <v>18.389677126307589</v>
      </c>
      <c r="I383">
        <v>1944.886087985471</v>
      </c>
      <c r="J383">
        <v>40</v>
      </c>
      <c r="K383" t="s">
        <v>66</v>
      </c>
    </row>
    <row r="384" spans="1:11" x14ac:dyDescent="0.3">
      <c r="A384">
        <v>43.879019754391457</v>
      </c>
      <c r="B384">
        <v>2.1209030652710732</v>
      </c>
      <c r="C384">
        <v>3.08078842577422</v>
      </c>
      <c r="D384">
        <v>6.5679514273464266</v>
      </c>
      <c r="E384">
        <v>6.0495048170424672</v>
      </c>
      <c r="F384">
        <v>24.159730340045709</v>
      </c>
      <c r="G384">
        <v>20.02353408601585</v>
      </c>
      <c r="H384">
        <v>29.825404686690039</v>
      </c>
      <c r="I384">
        <v>2211.0209542608832</v>
      </c>
      <c r="J384">
        <v>15</v>
      </c>
      <c r="K384" t="s">
        <v>66</v>
      </c>
    </row>
    <row r="385" spans="1:11" x14ac:dyDescent="0.3">
      <c r="A385">
        <v>54.840375417267538</v>
      </c>
      <c r="B385">
        <v>1.970443936236506</v>
      </c>
      <c r="C385">
        <v>3.099782253097259</v>
      </c>
      <c r="D385">
        <v>7.3186702605324854</v>
      </c>
      <c r="E385">
        <v>6.727744378797528</v>
      </c>
      <c r="F385">
        <v>33.854897624538381</v>
      </c>
      <c r="G385">
        <v>20.506606035944131</v>
      </c>
      <c r="H385">
        <v>18.179606382712841</v>
      </c>
      <c r="I385">
        <v>1232.30748910325</v>
      </c>
      <c r="J385">
        <v>18</v>
      </c>
      <c r="K385" t="s">
        <v>66</v>
      </c>
    </row>
    <row r="386" spans="1:11" x14ac:dyDescent="0.3">
      <c r="A386">
        <v>553.40961684803517</v>
      </c>
      <c r="B386">
        <v>30.662070658399479</v>
      </c>
      <c r="C386">
        <v>39.53910306979121</v>
      </c>
      <c r="D386">
        <v>113.26062821812251</v>
      </c>
      <c r="E386">
        <v>6.3366154948614906</v>
      </c>
      <c r="F386">
        <v>82.145556875390298</v>
      </c>
      <c r="G386">
        <v>32.284992127562823</v>
      </c>
      <c r="H386">
        <v>31.813507848069641</v>
      </c>
      <c r="I386">
        <v>11.147370968339059</v>
      </c>
      <c r="J386">
        <v>0</v>
      </c>
      <c r="K386" t="s">
        <v>66</v>
      </c>
    </row>
    <row r="387" spans="1:11" x14ac:dyDescent="0.3">
      <c r="A387">
        <v>344</v>
      </c>
      <c r="B387">
        <v>17</v>
      </c>
      <c r="C387">
        <v>24</v>
      </c>
      <c r="D387">
        <v>55</v>
      </c>
      <c r="E387">
        <v>4.5999999999999996</v>
      </c>
      <c r="F387">
        <v>54</v>
      </c>
      <c r="G387">
        <v>30.4</v>
      </c>
      <c r="H387">
        <v>31</v>
      </c>
      <c r="I387">
        <v>14</v>
      </c>
      <c r="J387">
        <v>0</v>
      </c>
      <c r="K387" t="s">
        <v>67</v>
      </c>
    </row>
    <row r="388" spans="1:11" x14ac:dyDescent="0.3">
      <c r="A388">
        <v>97</v>
      </c>
      <c r="B388">
        <v>3</v>
      </c>
      <c r="C388">
        <v>4</v>
      </c>
      <c r="D388">
        <v>10</v>
      </c>
      <c r="E388">
        <v>6</v>
      </c>
      <c r="F388">
        <v>32</v>
      </c>
      <c r="G388">
        <v>16.899999999999999</v>
      </c>
      <c r="H388">
        <v>19</v>
      </c>
      <c r="I388">
        <v>2122</v>
      </c>
      <c r="J388">
        <v>20</v>
      </c>
      <c r="K388" t="s">
        <v>67</v>
      </c>
    </row>
    <row r="389" spans="1:11" x14ac:dyDescent="0.3">
      <c r="A389">
        <v>39.960724402146639</v>
      </c>
      <c r="B389">
        <v>0.99194002507032386</v>
      </c>
      <c r="C389">
        <v>2.052413361817345</v>
      </c>
      <c r="D389">
        <v>6.6429095613486231</v>
      </c>
      <c r="E389">
        <v>5.3792627919496701</v>
      </c>
      <c r="F389">
        <v>29.861761596761429</v>
      </c>
      <c r="G389">
        <v>17.163229677661551</v>
      </c>
      <c r="H389">
        <v>20.817280847076301</v>
      </c>
      <c r="I389">
        <v>1735.8184160214521</v>
      </c>
      <c r="J389">
        <v>35</v>
      </c>
      <c r="K389" t="s">
        <v>66</v>
      </c>
    </row>
    <row r="390" spans="1:11" x14ac:dyDescent="0.3">
      <c r="A390">
        <v>50.608388449942517</v>
      </c>
      <c r="B390">
        <v>2.291164464429353</v>
      </c>
      <c r="C390">
        <v>3.0025668242473049</v>
      </c>
      <c r="D390">
        <v>7.5269775925042346</v>
      </c>
      <c r="E390">
        <v>6.5664091578828154</v>
      </c>
      <c r="F390">
        <v>22.20924886219985</v>
      </c>
      <c r="G390">
        <v>22.48723003794111</v>
      </c>
      <c r="H390">
        <v>20.241272208877259</v>
      </c>
      <c r="I390">
        <v>1715.0064047982339</v>
      </c>
      <c r="J390">
        <v>25</v>
      </c>
      <c r="K390" t="s">
        <v>66</v>
      </c>
    </row>
    <row r="391" spans="1:11" x14ac:dyDescent="0.3">
      <c r="A391">
        <v>354.90096235203208</v>
      </c>
      <c r="B391">
        <v>19.656910906463931</v>
      </c>
      <c r="C391">
        <v>25.324526332373171</v>
      </c>
      <c r="D391">
        <v>53.002775942506069</v>
      </c>
      <c r="E391">
        <v>4.5380927094551344</v>
      </c>
      <c r="F391">
        <v>51.297274229896402</v>
      </c>
      <c r="G391">
        <v>29.9606740495468</v>
      </c>
      <c r="H391">
        <v>29.98675253030569</v>
      </c>
      <c r="I391">
        <v>14.281350073692209</v>
      </c>
      <c r="J391">
        <v>0</v>
      </c>
      <c r="K391" t="s">
        <v>66</v>
      </c>
    </row>
    <row r="392" spans="1:11" x14ac:dyDescent="0.3">
      <c r="A392">
        <v>50.458042172654572</v>
      </c>
      <c r="B392">
        <v>2.050448079285335</v>
      </c>
      <c r="C392">
        <v>2.8087237373772109</v>
      </c>
      <c r="D392">
        <v>7.8239090149961372</v>
      </c>
      <c r="E392">
        <v>6.4160702190913472</v>
      </c>
      <c r="F392">
        <v>30.986156624435861</v>
      </c>
      <c r="G392">
        <v>21.86164686470412</v>
      </c>
      <c r="H392">
        <v>20.03597771461742</v>
      </c>
      <c r="I392">
        <v>1245.3617896945011</v>
      </c>
      <c r="J392">
        <v>18</v>
      </c>
      <c r="K392" t="s">
        <v>66</v>
      </c>
    </row>
    <row r="393" spans="1:11" x14ac:dyDescent="0.3">
      <c r="A393">
        <v>53.666191439294217</v>
      </c>
      <c r="B393">
        <v>1.558886788580186</v>
      </c>
      <c r="C393">
        <v>2.855470208671957</v>
      </c>
      <c r="D393">
        <v>8.0275002472211678</v>
      </c>
      <c r="E393">
        <v>6.592348752043784</v>
      </c>
      <c r="F393">
        <v>20.936108003996921</v>
      </c>
      <c r="G393">
        <v>22.290878890756439</v>
      </c>
      <c r="H393">
        <v>21.396621770621479</v>
      </c>
      <c r="I393">
        <v>1731.7128319358651</v>
      </c>
      <c r="J393">
        <v>25</v>
      </c>
      <c r="K393" t="s">
        <v>66</v>
      </c>
    </row>
    <row r="394" spans="1:11" x14ac:dyDescent="0.3">
      <c r="A394">
        <v>44.780407477743388</v>
      </c>
      <c r="B394">
        <v>2.0530724698799259</v>
      </c>
      <c r="C394">
        <v>2.980593418490245</v>
      </c>
      <c r="D394">
        <v>8.1331513477626078</v>
      </c>
      <c r="E394">
        <v>6.0136786211941189</v>
      </c>
      <c r="F394">
        <v>21.887418558365461</v>
      </c>
      <c r="G394">
        <v>19.33549589668938</v>
      </c>
      <c r="H394">
        <v>31.29049602137664</v>
      </c>
      <c r="I394">
        <v>2257</v>
      </c>
      <c r="J394">
        <v>15</v>
      </c>
      <c r="K394" t="s">
        <v>66</v>
      </c>
    </row>
    <row r="395" spans="1:11" x14ac:dyDescent="0.3">
      <c r="A395">
        <v>21.31183390689484</v>
      </c>
      <c r="B395">
        <v>1.1314914453584051</v>
      </c>
      <c r="C395">
        <v>1.0131065186215851</v>
      </c>
      <c r="D395">
        <v>2.3338736973194618</v>
      </c>
      <c r="E395">
        <v>6.2333784341116401</v>
      </c>
      <c r="F395">
        <v>29.617483134355538</v>
      </c>
      <c r="G395">
        <v>22.361670579886919</v>
      </c>
      <c r="H395">
        <v>20.504979353459049</v>
      </c>
      <c r="I395">
        <v>1259.305737492735</v>
      </c>
      <c r="J395">
        <v>30</v>
      </c>
      <c r="K395" t="s">
        <v>66</v>
      </c>
    </row>
    <row r="396" spans="1:11" x14ac:dyDescent="0.3">
      <c r="A396">
        <v>31</v>
      </c>
      <c r="B396">
        <v>1</v>
      </c>
      <c r="C396">
        <v>2</v>
      </c>
      <c r="D396">
        <v>5</v>
      </c>
      <c r="E396">
        <v>6.1</v>
      </c>
      <c r="F396">
        <v>28.1</v>
      </c>
      <c r="G396">
        <v>26.5</v>
      </c>
      <c r="H396">
        <v>22</v>
      </c>
      <c r="I396">
        <v>1213</v>
      </c>
      <c r="J396">
        <v>18</v>
      </c>
      <c r="K396" t="s">
        <v>67</v>
      </c>
    </row>
    <row r="397" spans="1:11" x14ac:dyDescent="0.3">
      <c r="A397">
        <v>34.479895048028062</v>
      </c>
      <c r="B397">
        <v>1.023836898273478</v>
      </c>
      <c r="C397">
        <v>1.966873717936473</v>
      </c>
      <c r="D397">
        <v>3.905715502057332</v>
      </c>
      <c r="E397">
        <v>6.3433448270119399</v>
      </c>
      <c r="F397">
        <v>21.941641959709742</v>
      </c>
      <c r="G397">
        <v>23.962813418698719</v>
      </c>
      <c r="H397">
        <v>19.52895511406863</v>
      </c>
      <c r="I397">
        <v>1790.784656379886</v>
      </c>
      <c r="J397">
        <v>40</v>
      </c>
      <c r="K397" t="s">
        <v>66</v>
      </c>
    </row>
    <row r="398" spans="1:11" x14ac:dyDescent="0.3">
      <c r="A398">
        <v>36.172030322840321</v>
      </c>
      <c r="B398">
        <v>0.92122162480917613</v>
      </c>
      <c r="C398">
        <v>1.9604124542030641</v>
      </c>
      <c r="D398">
        <v>5.2397537740008042</v>
      </c>
      <c r="E398">
        <v>6.179718119154292</v>
      </c>
      <c r="F398">
        <v>21.738100430483961</v>
      </c>
      <c r="G398">
        <v>24.240866183116321</v>
      </c>
      <c r="H398">
        <v>19.677582446411961</v>
      </c>
      <c r="I398">
        <v>1243.7828210579321</v>
      </c>
      <c r="J398">
        <v>45</v>
      </c>
      <c r="K398" t="s">
        <v>66</v>
      </c>
    </row>
    <row r="399" spans="1:11" x14ac:dyDescent="0.3">
      <c r="A399">
        <v>18.17811970511638</v>
      </c>
      <c r="B399">
        <v>0</v>
      </c>
      <c r="C399">
        <v>0.88205403354922196</v>
      </c>
      <c r="D399">
        <v>1.890962751054736</v>
      </c>
      <c r="E399">
        <v>5.3844939731194499</v>
      </c>
      <c r="F399">
        <v>22.283370276769361</v>
      </c>
      <c r="G399">
        <v>20.48157831643265</v>
      </c>
      <c r="H399">
        <v>27.59332435537349</v>
      </c>
      <c r="I399">
        <v>2200.7191223600948</v>
      </c>
      <c r="J399">
        <v>10</v>
      </c>
      <c r="K399" t="s">
        <v>66</v>
      </c>
    </row>
    <row r="400" spans="1:11" x14ac:dyDescent="0.3">
      <c r="A400">
        <v>42.533822298373252</v>
      </c>
      <c r="B400">
        <v>1.103254620434166</v>
      </c>
      <c r="C400">
        <v>2.1955631099372401</v>
      </c>
      <c r="D400">
        <v>5.9897963553097018</v>
      </c>
      <c r="E400">
        <v>6.1196471227744373</v>
      </c>
      <c r="F400">
        <v>23.77706547175988</v>
      </c>
      <c r="G400">
        <v>21.101448518608571</v>
      </c>
      <c r="H400">
        <v>19.367061774559051</v>
      </c>
      <c r="I400">
        <v>1943.789574654674</v>
      </c>
      <c r="J400">
        <v>40</v>
      </c>
      <c r="K400" t="s">
        <v>66</v>
      </c>
    </row>
    <row r="401" spans="1:11" x14ac:dyDescent="0.3">
      <c r="A401">
        <v>266.67420357822601</v>
      </c>
      <c r="B401">
        <v>10.893768224249619</v>
      </c>
      <c r="C401">
        <v>13.132095063115001</v>
      </c>
      <c r="D401">
        <v>40.309621817861313</v>
      </c>
      <c r="E401">
        <v>5.1940306637661733</v>
      </c>
      <c r="F401">
        <v>27.819274444225659</v>
      </c>
      <c r="G401">
        <v>20.668769854754849</v>
      </c>
      <c r="H401">
        <v>17.739182665119898</v>
      </c>
      <c r="I401">
        <v>1605.4828451762201</v>
      </c>
      <c r="J401">
        <v>25</v>
      </c>
      <c r="K401" t="s">
        <v>66</v>
      </c>
    </row>
    <row r="402" spans="1:11" x14ac:dyDescent="0.3">
      <c r="A402">
        <v>47.062405029958121</v>
      </c>
      <c r="B402">
        <v>1.888515389378336</v>
      </c>
      <c r="C402">
        <v>3.321578959563539</v>
      </c>
      <c r="D402">
        <v>7.3125755548584976</v>
      </c>
      <c r="E402">
        <v>5.8404532184098708</v>
      </c>
      <c r="F402">
        <v>23.44169864451522</v>
      </c>
      <c r="G402">
        <v>20.19512653921424</v>
      </c>
      <c r="H402">
        <v>21.783471820940381</v>
      </c>
      <c r="I402">
        <v>1496.0892956560911</v>
      </c>
      <c r="J402">
        <v>18</v>
      </c>
      <c r="K402" t="s">
        <v>66</v>
      </c>
    </row>
    <row r="403" spans="1:11" x14ac:dyDescent="0.3">
      <c r="A403">
        <v>31.451656773557168</v>
      </c>
      <c r="B403">
        <v>0.78273304539859634</v>
      </c>
      <c r="C403">
        <v>1.6902078949893049</v>
      </c>
      <c r="D403">
        <v>4.6137928407178057</v>
      </c>
      <c r="E403">
        <v>5.9828790287737519</v>
      </c>
      <c r="F403">
        <v>22.907303347125829</v>
      </c>
      <c r="G403">
        <v>23.237364608110529</v>
      </c>
      <c r="H403">
        <v>19.337016090056949</v>
      </c>
      <c r="I403">
        <v>1805.740023034954</v>
      </c>
      <c r="J403">
        <v>40</v>
      </c>
      <c r="K403" t="s">
        <v>66</v>
      </c>
    </row>
    <row r="404" spans="1:11" x14ac:dyDescent="0.3">
      <c r="A404">
        <v>69.516085237715657</v>
      </c>
      <c r="B404">
        <v>2.8997768307060179</v>
      </c>
      <c r="C404">
        <v>3.7244457829698381</v>
      </c>
      <c r="D404">
        <v>10.938640022678941</v>
      </c>
      <c r="E404">
        <v>6.3991891293699839</v>
      </c>
      <c r="F404">
        <v>34.193180661486693</v>
      </c>
      <c r="G404">
        <v>20.741876509972389</v>
      </c>
      <c r="H404">
        <v>26.960731427095499</v>
      </c>
      <c r="I404">
        <v>2092.024723234108</v>
      </c>
      <c r="J404">
        <v>25</v>
      </c>
      <c r="K404" t="s">
        <v>66</v>
      </c>
    </row>
    <row r="405" spans="1:11" x14ac:dyDescent="0.3">
      <c r="A405">
        <v>28.52086278988947</v>
      </c>
      <c r="B405">
        <v>1.04042947549617</v>
      </c>
      <c r="C405">
        <v>1.0157761439293771</v>
      </c>
      <c r="D405">
        <v>4.180245219772555</v>
      </c>
      <c r="E405">
        <v>5.5811285139801834</v>
      </c>
      <c r="F405">
        <v>29.118393046020149</v>
      </c>
      <c r="G405">
        <v>18.60379084900995</v>
      </c>
      <c r="H405">
        <v>26.241062461721349</v>
      </c>
      <c r="I405">
        <v>1902.5402521123401</v>
      </c>
      <c r="J405">
        <v>20</v>
      </c>
      <c r="K405" t="s">
        <v>66</v>
      </c>
    </row>
    <row r="406" spans="1:11" x14ac:dyDescent="0.3">
      <c r="A406">
        <v>11.794387443551789</v>
      </c>
      <c r="B406">
        <v>0</v>
      </c>
      <c r="C406">
        <v>0</v>
      </c>
      <c r="D406">
        <v>1.0165403660299701</v>
      </c>
      <c r="E406">
        <v>6.5682015976351504</v>
      </c>
      <c r="F406">
        <v>26.25938303725205</v>
      </c>
      <c r="G406">
        <v>19.869066143139129</v>
      </c>
      <c r="H406">
        <v>30.708548663810621</v>
      </c>
      <c r="I406">
        <v>2233.316451245279</v>
      </c>
      <c r="J406">
        <v>15</v>
      </c>
      <c r="K406" t="s">
        <v>66</v>
      </c>
    </row>
    <row r="407" spans="1:11" x14ac:dyDescent="0.3">
      <c r="A407">
        <v>21</v>
      </c>
      <c r="B407">
        <v>1</v>
      </c>
      <c r="C407">
        <v>1</v>
      </c>
      <c r="D407">
        <v>3</v>
      </c>
      <c r="E407">
        <v>6.2</v>
      </c>
      <c r="F407">
        <v>29.5</v>
      </c>
      <c r="G407">
        <v>22.5</v>
      </c>
      <c r="H407">
        <v>20</v>
      </c>
      <c r="I407">
        <v>1251</v>
      </c>
      <c r="J407">
        <v>30</v>
      </c>
      <c r="K407" t="s">
        <v>67</v>
      </c>
    </row>
    <row r="408" spans="1:11" x14ac:dyDescent="0.3">
      <c r="A408">
        <v>69.045462246700808</v>
      </c>
      <c r="B408">
        <v>2.8049928196779299</v>
      </c>
      <c r="C408">
        <v>4.1890521383373622</v>
      </c>
      <c r="D408">
        <v>10.093158337699739</v>
      </c>
      <c r="E408">
        <v>6.1616510109881331</v>
      </c>
      <c r="F408">
        <v>32.672012530985803</v>
      </c>
      <c r="G408">
        <v>19.650126301205422</v>
      </c>
      <c r="H408">
        <v>19.603911279598119</v>
      </c>
      <c r="I408">
        <v>1467.6550086638531</v>
      </c>
      <c r="J408">
        <v>25</v>
      </c>
      <c r="K408" t="s">
        <v>66</v>
      </c>
    </row>
    <row r="409" spans="1:11" x14ac:dyDescent="0.3">
      <c r="A409">
        <v>110.6100742434043</v>
      </c>
      <c r="B409">
        <v>4.7981757683790018</v>
      </c>
      <c r="C409">
        <v>7.540344108385673</v>
      </c>
      <c r="D409">
        <v>20.984211889781459</v>
      </c>
      <c r="E409">
        <v>5.9954753093063031</v>
      </c>
      <c r="F409">
        <v>43.633478937244973</v>
      </c>
      <c r="G409">
        <v>17.19695508125336</v>
      </c>
      <c r="H409">
        <v>27.448449936430009</v>
      </c>
      <c r="I409">
        <v>1588.7123328145501</v>
      </c>
      <c r="J409">
        <v>20</v>
      </c>
      <c r="K409" t="s">
        <v>66</v>
      </c>
    </row>
    <row r="410" spans="1:11" x14ac:dyDescent="0.3">
      <c r="A410">
        <v>344.26733447689679</v>
      </c>
      <c r="B410">
        <v>15.96894424003324</v>
      </c>
      <c r="C410">
        <v>24.036439062097038</v>
      </c>
      <c r="D410">
        <v>66.317961474037688</v>
      </c>
      <c r="E410">
        <v>6.4523630615502157</v>
      </c>
      <c r="F410">
        <v>30.26424829105455</v>
      </c>
      <c r="G410">
        <v>26.36456449920572</v>
      </c>
      <c r="H410">
        <v>22.944848677441311</v>
      </c>
      <c r="I410">
        <v>1295.723657510629</v>
      </c>
      <c r="J410">
        <v>20</v>
      </c>
      <c r="K410" t="s">
        <v>66</v>
      </c>
    </row>
    <row r="411" spans="1:11" x14ac:dyDescent="0.3">
      <c r="A411">
        <v>354.47717567960342</v>
      </c>
      <c r="B411">
        <v>13.39480974052039</v>
      </c>
      <c r="C411">
        <v>21.70183450796349</v>
      </c>
      <c r="D411">
        <v>56.268359668214181</v>
      </c>
      <c r="E411">
        <v>4.477350383220096</v>
      </c>
      <c r="F411">
        <v>52.903502036036812</v>
      </c>
      <c r="G411">
        <v>32.087912401901377</v>
      </c>
      <c r="H411">
        <v>30.326184989798151</v>
      </c>
      <c r="I411">
        <v>13.930729976814719</v>
      </c>
      <c r="J411">
        <v>0</v>
      </c>
      <c r="K411" t="s">
        <v>66</v>
      </c>
    </row>
    <row r="412" spans="1:11" x14ac:dyDescent="0.3">
      <c r="A412">
        <v>15.519826498272961</v>
      </c>
      <c r="B412">
        <v>0</v>
      </c>
      <c r="C412">
        <v>0.99519114926692276</v>
      </c>
      <c r="D412">
        <v>2.0092158443266301</v>
      </c>
      <c r="E412">
        <v>5.4910826184021042</v>
      </c>
      <c r="F412">
        <v>26.770179040020491</v>
      </c>
      <c r="G412">
        <v>23.797356219406581</v>
      </c>
      <c r="H412">
        <v>25.6068808361882</v>
      </c>
      <c r="I412">
        <v>2061.9412356451348</v>
      </c>
      <c r="J412">
        <v>20</v>
      </c>
      <c r="K412" t="s">
        <v>66</v>
      </c>
    </row>
    <row r="413" spans="1:11" x14ac:dyDescent="0.3">
      <c r="A413">
        <v>44.348534641217249</v>
      </c>
      <c r="B413">
        <v>2.3974122223398879</v>
      </c>
      <c r="C413">
        <v>1.8692203223348851</v>
      </c>
      <c r="D413">
        <v>6.3185365885295699</v>
      </c>
      <c r="E413">
        <v>6.043560514176729</v>
      </c>
      <c r="F413">
        <v>39.044244823338168</v>
      </c>
      <c r="G413">
        <v>21.262426920431189</v>
      </c>
      <c r="H413">
        <v>17.624262810261872</v>
      </c>
      <c r="I413">
        <v>1994.2647348654609</v>
      </c>
      <c r="J413">
        <v>20</v>
      </c>
      <c r="K413" t="s">
        <v>66</v>
      </c>
    </row>
    <row r="414" spans="1:11" x14ac:dyDescent="0.3">
      <c r="A414">
        <v>20.272449542314298</v>
      </c>
      <c r="B414">
        <v>1.084515797118432</v>
      </c>
      <c r="C414">
        <v>0.77695319808755414</v>
      </c>
      <c r="D414">
        <v>3.3655440644615058</v>
      </c>
      <c r="E414">
        <v>6.2515543707487682</v>
      </c>
      <c r="F414">
        <v>52.874526007153619</v>
      </c>
      <c r="G414">
        <v>22.5894489099447</v>
      </c>
      <c r="H414">
        <v>20.91545545575017</v>
      </c>
      <c r="I414">
        <v>1277.03790309283</v>
      </c>
      <c r="J414">
        <v>30</v>
      </c>
      <c r="K414" t="s">
        <v>66</v>
      </c>
    </row>
    <row r="415" spans="1:11" x14ac:dyDescent="0.3">
      <c r="A415">
        <v>29.2157099592701</v>
      </c>
      <c r="B415">
        <v>1.0826047171441511</v>
      </c>
      <c r="C415">
        <v>2.562930888894511</v>
      </c>
      <c r="D415">
        <v>3.982255417795376</v>
      </c>
      <c r="E415">
        <v>6.0094127095300403</v>
      </c>
      <c r="F415">
        <v>19.620499693635601</v>
      </c>
      <c r="G415">
        <v>20.577326347148659</v>
      </c>
      <c r="H415">
        <v>18.853307235302811</v>
      </c>
      <c r="I415">
        <v>1973.796874108956</v>
      </c>
      <c r="J415">
        <v>40</v>
      </c>
      <c r="K415" t="s">
        <v>66</v>
      </c>
    </row>
    <row r="416" spans="1:11" x14ac:dyDescent="0.3">
      <c r="A416">
        <v>29.71405433281182</v>
      </c>
      <c r="B416">
        <v>1.1487246155335931</v>
      </c>
      <c r="C416">
        <v>1.8734239450230421</v>
      </c>
      <c r="D416">
        <v>4.0080425867476386</v>
      </c>
      <c r="E416">
        <v>5.7753333456662199</v>
      </c>
      <c r="F416">
        <v>24.360448275183259</v>
      </c>
      <c r="G416">
        <v>17.28724648458817</v>
      </c>
      <c r="H416">
        <v>21.453176389152549</v>
      </c>
      <c r="I416">
        <v>1776.9921928841759</v>
      </c>
      <c r="J416">
        <v>35</v>
      </c>
      <c r="K416" t="s">
        <v>66</v>
      </c>
    </row>
    <row r="417" spans="1:11" x14ac:dyDescent="0.3">
      <c r="A417">
        <v>77.366119795482376</v>
      </c>
      <c r="B417">
        <v>3.8433405730312842</v>
      </c>
      <c r="C417">
        <v>4.2160702873172724</v>
      </c>
      <c r="D417">
        <v>9.5104319549443588</v>
      </c>
      <c r="E417">
        <v>6.2041570630961846</v>
      </c>
      <c r="F417">
        <v>14.92516543744004</v>
      </c>
      <c r="G417">
        <v>34.899300195311604</v>
      </c>
      <c r="H417">
        <v>31.452247193409029</v>
      </c>
      <c r="I417">
        <v>48.036554898620601</v>
      </c>
      <c r="J417">
        <v>0</v>
      </c>
      <c r="K417" t="s">
        <v>66</v>
      </c>
    </row>
    <row r="418" spans="1:11" x14ac:dyDescent="0.3">
      <c r="A418">
        <v>13.233724277964191</v>
      </c>
      <c r="B418">
        <v>0</v>
      </c>
      <c r="C418">
        <v>0</v>
      </c>
      <c r="D418">
        <v>1.1389764133946361</v>
      </c>
      <c r="E418">
        <v>6.5101033777145796</v>
      </c>
      <c r="F418">
        <v>26.251830241927539</v>
      </c>
      <c r="G418">
        <v>18.924554758443762</v>
      </c>
      <c r="H418">
        <v>31.2809384289591</v>
      </c>
      <c r="I418">
        <v>2204.6585652526651</v>
      </c>
      <c r="J418">
        <v>15</v>
      </c>
      <c r="K418" t="s">
        <v>66</v>
      </c>
    </row>
    <row r="419" spans="1:11" x14ac:dyDescent="0.3">
      <c r="A419">
        <v>85.779063415629537</v>
      </c>
      <c r="B419">
        <v>3.8592314728733959</v>
      </c>
      <c r="C419">
        <v>5.1854894760948387</v>
      </c>
      <c r="D419">
        <v>14.0883008322308</v>
      </c>
      <c r="E419">
        <v>6.1639196713438524</v>
      </c>
      <c r="F419">
        <v>37.738228978472151</v>
      </c>
      <c r="G419">
        <v>20.553962610606071</v>
      </c>
      <c r="H419">
        <v>30.389340859594629</v>
      </c>
      <c r="I419">
        <v>2113.144743794905</v>
      </c>
      <c r="J419">
        <v>25</v>
      </c>
      <c r="K419" t="s">
        <v>66</v>
      </c>
    </row>
    <row r="420" spans="1:11" x14ac:dyDescent="0.3">
      <c r="A420">
        <v>3.7296630788767331</v>
      </c>
      <c r="B420">
        <v>0</v>
      </c>
      <c r="C420">
        <v>0</v>
      </c>
      <c r="D420">
        <v>0</v>
      </c>
      <c r="E420">
        <v>6.3042138769646172</v>
      </c>
      <c r="F420">
        <v>21.48477479106139</v>
      </c>
      <c r="G420">
        <v>17.99553680618806</v>
      </c>
      <c r="H420">
        <v>24.482202971486888</v>
      </c>
      <c r="I420">
        <v>1382.807962877228</v>
      </c>
      <c r="J420">
        <v>30</v>
      </c>
      <c r="K420" t="s">
        <v>66</v>
      </c>
    </row>
    <row r="421" spans="1:11" x14ac:dyDescent="0.3">
      <c r="A421">
        <v>348.72549402850473</v>
      </c>
      <c r="B421">
        <v>15.64675604343407</v>
      </c>
      <c r="C421">
        <v>24.302826968788722</v>
      </c>
      <c r="D421">
        <v>67.436196298994489</v>
      </c>
      <c r="E421">
        <v>5.351365186327194</v>
      </c>
      <c r="F421">
        <v>71.678835905410097</v>
      </c>
      <c r="G421">
        <v>30.830373037013661</v>
      </c>
      <c r="H421">
        <v>31.771061549217048</v>
      </c>
      <c r="I421">
        <v>11.116838728814709</v>
      </c>
      <c r="J421">
        <v>0</v>
      </c>
      <c r="K421" t="s">
        <v>66</v>
      </c>
    </row>
    <row r="422" spans="1:11" x14ac:dyDescent="0.3">
      <c r="A422">
        <v>120</v>
      </c>
      <c r="B422">
        <v>6</v>
      </c>
      <c r="C422">
        <v>8</v>
      </c>
      <c r="D422">
        <v>19</v>
      </c>
      <c r="E422">
        <v>4.3</v>
      </c>
      <c r="F422">
        <v>56.7</v>
      </c>
      <c r="G422">
        <v>19.899999999999999</v>
      </c>
      <c r="H422">
        <v>20.9</v>
      </c>
      <c r="I422">
        <v>1675</v>
      </c>
      <c r="J422">
        <v>12</v>
      </c>
      <c r="K422" t="s">
        <v>67</v>
      </c>
    </row>
    <row r="423" spans="1:11" x14ac:dyDescent="0.3">
      <c r="A423">
        <v>55.369639883989713</v>
      </c>
      <c r="B423">
        <v>2.1936369321065721</v>
      </c>
      <c r="C423">
        <v>2.7667885545462281</v>
      </c>
      <c r="D423">
        <v>9.3777240782465565</v>
      </c>
      <c r="E423">
        <v>6.2898368914873348</v>
      </c>
      <c r="F423">
        <v>26.64701504345166</v>
      </c>
      <c r="G423">
        <v>18.196033572644719</v>
      </c>
      <c r="H423">
        <v>30.634633793044362</v>
      </c>
      <c r="I423">
        <v>2150.365616258061</v>
      </c>
      <c r="J423">
        <v>15</v>
      </c>
      <c r="K423" t="s">
        <v>66</v>
      </c>
    </row>
    <row r="424" spans="1:11" x14ac:dyDescent="0.3">
      <c r="A424">
        <v>83.627275044738056</v>
      </c>
      <c r="B424">
        <v>3.669835788008418</v>
      </c>
      <c r="C424">
        <v>4.813662208024013</v>
      </c>
      <c r="D424">
        <v>10.54223263693363</v>
      </c>
      <c r="E424">
        <v>6.2373744766528576</v>
      </c>
      <c r="F424">
        <v>14.591813328185509</v>
      </c>
      <c r="G424">
        <v>33.123328977070052</v>
      </c>
      <c r="H424">
        <v>31.61594471240252</v>
      </c>
      <c r="I424">
        <v>47.391562900053309</v>
      </c>
      <c r="J424">
        <v>0</v>
      </c>
      <c r="K424" t="s">
        <v>66</v>
      </c>
    </row>
    <row r="425" spans="1:11" x14ac:dyDescent="0.3">
      <c r="A425">
        <v>74.98414056426968</v>
      </c>
      <c r="B425">
        <v>3.1656899813038568</v>
      </c>
      <c r="C425">
        <v>4.9659382874160238</v>
      </c>
      <c r="D425">
        <v>8.5073426964357886</v>
      </c>
      <c r="E425">
        <v>5.9504993175683261</v>
      </c>
      <c r="F425">
        <v>70.087898145322697</v>
      </c>
      <c r="G425">
        <v>21.314414841127299</v>
      </c>
      <c r="H425">
        <v>20.670655472695639</v>
      </c>
      <c r="I425">
        <v>1555.708861427077</v>
      </c>
      <c r="J425">
        <v>18</v>
      </c>
      <c r="K425" t="s">
        <v>66</v>
      </c>
    </row>
    <row r="426" spans="1:11" x14ac:dyDescent="0.3">
      <c r="A426">
        <v>47.939935299011651</v>
      </c>
      <c r="B426">
        <v>1.856233522478254</v>
      </c>
      <c r="C426">
        <v>3.0504046021597579</v>
      </c>
      <c r="D426">
        <v>6.6610191536484189</v>
      </c>
      <c r="E426">
        <v>7.5</v>
      </c>
      <c r="F426">
        <v>48.09677638323992</v>
      </c>
      <c r="G426">
        <v>30.845462580546691</v>
      </c>
      <c r="H426">
        <v>22.229742892579651</v>
      </c>
      <c r="I426">
        <v>1387.318913880516</v>
      </c>
      <c r="J426">
        <v>25</v>
      </c>
      <c r="K426" t="s">
        <v>66</v>
      </c>
    </row>
    <row r="427" spans="1:11" x14ac:dyDescent="0.3">
      <c r="A427">
        <v>20.156141703631778</v>
      </c>
      <c r="B427">
        <v>1.021677556376263</v>
      </c>
      <c r="C427">
        <v>1.126765151118797</v>
      </c>
      <c r="D427">
        <v>3.054021311308794</v>
      </c>
      <c r="E427">
        <v>5.8993799260339257</v>
      </c>
      <c r="F427">
        <v>20.29866394478902</v>
      </c>
      <c r="G427">
        <v>20.095335381828001</v>
      </c>
      <c r="H427">
        <v>19.120223411362591</v>
      </c>
      <c r="I427">
        <v>1860.038969372559</v>
      </c>
      <c r="J427">
        <v>40</v>
      </c>
      <c r="K427" t="s">
        <v>66</v>
      </c>
    </row>
    <row r="428" spans="1:11" x14ac:dyDescent="0.3">
      <c r="A428">
        <v>671.02341847401192</v>
      </c>
      <c r="B428">
        <v>41.104431653762227</v>
      </c>
      <c r="C428">
        <v>44.412405920970109</v>
      </c>
      <c r="D428">
        <v>117.75438669449279</v>
      </c>
      <c r="E428">
        <v>6.0932318030825794</v>
      </c>
      <c r="F428">
        <v>66.576919417671007</v>
      </c>
      <c r="G428">
        <v>30.112830467046301</v>
      </c>
      <c r="H428">
        <v>31.017940518747771</v>
      </c>
      <c r="I428">
        <v>11.295775459778261</v>
      </c>
      <c r="J428">
        <v>0</v>
      </c>
      <c r="K428" t="s">
        <v>66</v>
      </c>
    </row>
    <row r="429" spans="1:11" x14ac:dyDescent="0.3">
      <c r="A429">
        <v>33.915793457632923</v>
      </c>
      <c r="B429">
        <v>0.87414950893246657</v>
      </c>
      <c r="C429">
        <v>2.2255560501267801</v>
      </c>
      <c r="D429">
        <v>4.206657778374387</v>
      </c>
      <c r="E429">
        <v>5.9068691017960369</v>
      </c>
      <c r="F429">
        <v>22.758085730642438</v>
      </c>
      <c r="G429">
        <v>29.666162006753101</v>
      </c>
      <c r="H429">
        <v>27.309451369761749</v>
      </c>
      <c r="I429">
        <v>727.80629149319293</v>
      </c>
      <c r="J429">
        <v>0</v>
      </c>
      <c r="K429" t="s">
        <v>66</v>
      </c>
    </row>
    <row r="430" spans="1:11" x14ac:dyDescent="0.3">
      <c r="A430">
        <v>536.26664755369927</v>
      </c>
      <c r="B430">
        <v>21.994626184809778</v>
      </c>
      <c r="C430">
        <v>32.003405557683877</v>
      </c>
      <c r="D430">
        <v>72.084570567835229</v>
      </c>
      <c r="E430">
        <v>5.4631285975984429</v>
      </c>
      <c r="F430">
        <v>65.113818269914276</v>
      </c>
      <c r="G430">
        <v>30.820690338804109</v>
      </c>
      <c r="H430">
        <v>32.802428256435618</v>
      </c>
      <c r="I430">
        <v>11.293465840775349</v>
      </c>
      <c r="J430">
        <v>0</v>
      </c>
      <c r="K430" t="s">
        <v>66</v>
      </c>
    </row>
    <row r="431" spans="1:11" x14ac:dyDescent="0.3">
      <c r="A431">
        <v>41.037789562784063</v>
      </c>
      <c r="B431">
        <v>2.1001331442762421</v>
      </c>
      <c r="C431">
        <v>2.1075259805899762</v>
      </c>
      <c r="D431">
        <v>6.0453458236020223</v>
      </c>
      <c r="E431">
        <v>6.2277464751190443</v>
      </c>
      <c r="F431">
        <v>36.364829924672968</v>
      </c>
      <c r="G431">
        <v>19.551237448955771</v>
      </c>
      <c r="H431">
        <v>17.960675886401219</v>
      </c>
      <c r="I431">
        <v>1926.579103443049</v>
      </c>
      <c r="J431">
        <v>20</v>
      </c>
      <c r="K431" t="s">
        <v>66</v>
      </c>
    </row>
    <row r="432" spans="1:11" x14ac:dyDescent="0.3">
      <c r="A432">
        <v>20.53115930032963</v>
      </c>
      <c r="B432">
        <v>1.1901190685753009</v>
      </c>
      <c r="C432">
        <v>0.93250659812094483</v>
      </c>
      <c r="D432">
        <v>2.9826276750369272</v>
      </c>
      <c r="E432">
        <v>5.811822682389594</v>
      </c>
      <c r="F432">
        <v>20.313888520663319</v>
      </c>
      <c r="G432">
        <v>19.910731137946151</v>
      </c>
      <c r="H432">
        <v>19.538939239818411</v>
      </c>
      <c r="I432">
        <v>1971.051824685642</v>
      </c>
      <c r="J432">
        <v>40</v>
      </c>
      <c r="K432" t="s">
        <v>66</v>
      </c>
    </row>
    <row r="433" spans="1:11" x14ac:dyDescent="0.3">
      <c r="A433">
        <v>64</v>
      </c>
      <c r="B433">
        <v>3</v>
      </c>
      <c r="C433">
        <v>4</v>
      </c>
      <c r="D433">
        <v>10</v>
      </c>
      <c r="E433">
        <v>5.8</v>
      </c>
      <c r="F433">
        <v>43</v>
      </c>
      <c r="G433">
        <v>20</v>
      </c>
      <c r="H433">
        <v>20.5</v>
      </c>
      <c r="I433">
        <v>1779</v>
      </c>
      <c r="J433">
        <v>10</v>
      </c>
      <c r="K433" t="s">
        <v>67</v>
      </c>
    </row>
    <row r="434" spans="1:11" x14ac:dyDescent="0.3">
      <c r="A434">
        <v>28.134868791134782</v>
      </c>
      <c r="B434">
        <v>0.99468793469824546</v>
      </c>
      <c r="C434">
        <v>1.1284095793948119</v>
      </c>
      <c r="D434">
        <v>4.7947407586351352</v>
      </c>
      <c r="E434">
        <v>5.8732207889957264</v>
      </c>
      <c r="F434">
        <v>19.3436838628337</v>
      </c>
      <c r="G434">
        <v>20.592970046414202</v>
      </c>
      <c r="H434">
        <v>27.62771292150704</v>
      </c>
      <c r="I434">
        <v>2240.6025693529191</v>
      </c>
      <c r="J434">
        <v>10</v>
      </c>
      <c r="K434" t="s">
        <v>66</v>
      </c>
    </row>
    <row r="435" spans="1:11" x14ac:dyDescent="0.3">
      <c r="A435">
        <v>30.544980072328421</v>
      </c>
      <c r="B435">
        <v>0.96506832038818025</v>
      </c>
      <c r="C435">
        <v>1.9514637446375931</v>
      </c>
      <c r="D435">
        <v>5.6265664123841219</v>
      </c>
      <c r="E435">
        <v>5.9561475761636533</v>
      </c>
      <c r="F435">
        <v>31.15154895077621</v>
      </c>
      <c r="G435">
        <v>23.42967510850335</v>
      </c>
      <c r="H435">
        <v>27.333777621023479</v>
      </c>
      <c r="I435">
        <v>1613.846390540408</v>
      </c>
      <c r="J435">
        <v>18</v>
      </c>
      <c r="K435" t="s">
        <v>66</v>
      </c>
    </row>
    <row r="436" spans="1:11" x14ac:dyDescent="0.3">
      <c r="A436">
        <v>21.308235828774961</v>
      </c>
      <c r="B436">
        <v>0.88963301714696308</v>
      </c>
      <c r="C436">
        <v>0.98853591644936079</v>
      </c>
      <c r="D436">
        <v>2.890296875240844</v>
      </c>
      <c r="E436">
        <v>6.2856911168364027</v>
      </c>
      <c r="F436">
        <v>49.648139744171772</v>
      </c>
      <c r="G436">
        <v>22.52944006717842</v>
      </c>
      <c r="H436">
        <v>21.17739754520408</v>
      </c>
      <c r="I436">
        <v>1281.5900445753839</v>
      </c>
      <c r="J436">
        <v>30</v>
      </c>
      <c r="K436" t="s">
        <v>66</v>
      </c>
    </row>
    <row r="437" spans="1:11" x14ac:dyDescent="0.3">
      <c r="A437">
        <v>12.110730781918219</v>
      </c>
      <c r="B437">
        <v>0</v>
      </c>
      <c r="C437">
        <v>0</v>
      </c>
      <c r="D437">
        <v>1.1306072203871631</v>
      </c>
      <c r="E437">
        <v>6.1632201756993616</v>
      </c>
      <c r="F437">
        <v>18.265255643314479</v>
      </c>
      <c r="G437">
        <v>17.310119067449119</v>
      </c>
      <c r="H437">
        <v>19.244198127010339</v>
      </c>
      <c r="I437">
        <v>1912.316645151421</v>
      </c>
      <c r="J437">
        <v>40</v>
      </c>
      <c r="K437" t="s">
        <v>66</v>
      </c>
    </row>
    <row r="438" spans="1:11" x14ac:dyDescent="0.3">
      <c r="A438">
        <v>50.201039018308762</v>
      </c>
      <c r="B438">
        <v>2.0006751013194322</v>
      </c>
      <c r="C438">
        <v>2.926084979245636</v>
      </c>
      <c r="D438">
        <v>7.7152207324913338</v>
      </c>
      <c r="E438">
        <v>6.6414927061733486</v>
      </c>
      <c r="F438">
        <v>22.66786953505212</v>
      </c>
      <c r="G438">
        <v>22.824984344078121</v>
      </c>
      <c r="H438">
        <v>20.954421090655082</v>
      </c>
      <c r="I438">
        <v>1720.3824539786799</v>
      </c>
      <c r="J438">
        <v>25</v>
      </c>
      <c r="K438" t="s">
        <v>66</v>
      </c>
    </row>
    <row r="439" spans="1:11" x14ac:dyDescent="0.3">
      <c r="A439">
        <v>29.21595995499543</v>
      </c>
      <c r="B439">
        <v>0.90448774206506466</v>
      </c>
      <c r="C439">
        <v>2.0882614303398488</v>
      </c>
      <c r="D439">
        <v>4.3482986578353611</v>
      </c>
      <c r="E439">
        <v>5.7997329312656323</v>
      </c>
      <c r="F439">
        <v>21.211926901555401</v>
      </c>
      <c r="G439">
        <v>28.305314897995451</v>
      </c>
      <c r="H439">
        <v>25.373095544502149</v>
      </c>
      <c r="I439">
        <v>726.06492605526614</v>
      </c>
      <c r="J439">
        <v>0</v>
      </c>
      <c r="K439" t="s">
        <v>66</v>
      </c>
    </row>
    <row r="440" spans="1:11" x14ac:dyDescent="0.3">
      <c r="A440">
        <v>44.395000446251629</v>
      </c>
      <c r="B440">
        <v>2.2471564383644309</v>
      </c>
      <c r="C440">
        <v>2.6707895043086798</v>
      </c>
      <c r="D440">
        <v>7.057941032649798</v>
      </c>
      <c r="E440">
        <v>6.0188978884721074</v>
      </c>
      <c r="F440">
        <v>30.247582706129158</v>
      </c>
      <c r="G440">
        <v>19.168414209085629</v>
      </c>
      <c r="H440">
        <v>18.072328616794088</v>
      </c>
      <c r="I440">
        <v>1964.96890508967</v>
      </c>
      <c r="J440">
        <v>20</v>
      </c>
      <c r="K440" t="s">
        <v>66</v>
      </c>
    </row>
    <row r="441" spans="1:11" x14ac:dyDescent="0.3">
      <c r="A441">
        <v>48.735782124526672</v>
      </c>
      <c r="B441">
        <v>2.0482643869833561</v>
      </c>
      <c r="C441">
        <v>3.068110343659467</v>
      </c>
      <c r="D441">
        <v>7.5957868688661669</v>
      </c>
      <c r="E441">
        <v>5.8373445510775834</v>
      </c>
      <c r="F441">
        <v>21.49165898093695</v>
      </c>
      <c r="G441">
        <v>18.386300747697909</v>
      </c>
      <c r="H441">
        <v>30.774616879231768</v>
      </c>
      <c r="I441">
        <v>2257</v>
      </c>
      <c r="J441">
        <v>15</v>
      </c>
      <c r="K441" t="s">
        <v>66</v>
      </c>
    </row>
    <row r="442" spans="1:11" x14ac:dyDescent="0.3">
      <c r="A442">
        <v>90.356488921616943</v>
      </c>
      <c r="B442">
        <v>3.2362575649970831</v>
      </c>
      <c r="C442">
        <v>4.6045591041527176</v>
      </c>
      <c r="D442">
        <v>12.438016267160471</v>
      </c>
      <c r="E442">
        <v>6.1948852320065786</v>
      </c>
      <c r="F442">
        <v>21.10505104599984</v>
      </c>
      <c r="G442">
        <v>20.15720994461509</v>
      </c>
      <c r="H442">
        <v>19.11289244775454</v>
      </c>
      <c r="I442">
        <v>1686.4645950665611</v>
      </c>
      <c r="J442">
        <v>30</v>
      </c>
      <c r="K442" t="s">
        <v>66</v>
      </c>
    </row>
    <row r="443" spans="1:11" x14ac:dyDescent="0.3">
      <c r="A443">
        <v>65.706892761230179</v>
      </c>
      <c r="B443">
        <v>2.69365126273191</v>
      </c>
      <c r="C443">
        <v>3.5655494803274359</v>
      </c>
      <c r="D443">
        <v>7.6095576700619398</v>
      </c>
      <c r="E443">
        <v>6.0536355047526982</v>
      </c>
      <c r="F443">
        <v>35.280422914545333</v>
      </c>
      <c r="G443">
        <v>18.29617016771191</v>
      </c>
      <c r="H443">
        <v>18.638825276430971</v>
      </c>
      <c r="I443">
        <v>2067.650820550874</v>
      </c>
      <c r="J443">
        <v>20</v>
      </c>
      <c r="K443" t="s">
        <v>66</v>
      </c>
    </row>
    <row r="444" spans="1:11" x14ac:dyDescent="0.3">
      <c r="A444">
        <v>29.10121302323553</v>
      </c>
      <c r="B444">
        <v>0.95261606529290843</v>
      </c>
      <c r="C444">
        <v>1.963369905789341</v>
      </c>
      <c r="D444">
        <v>3.5705245364328988</v>
      </c>
      <c r="E444">
        <v>6.5198175676294809</v>
      </c>
      <c r="F444">
        <v>22.964704692493061</v>
      </c>
      <c r="G444">
        <v>16.74073334695526</v>
      </c>
      <c r="H444">
        <v>27.86299323248409</v>
      </c>
      <c r="I444">
        <v>1584.491588930186</v>
      </c>
      <c r="J444">
        <v>20</v>
      </c>
      <c r="K444" t="s">
        <v>66</v>
      </c>
    </row>
    <row r="445" spans="1:11" x14ac:dyDescent="0.3">
      <c r="A445">
        <v>68.369007278188306</v>
      </c>
      <c r="B445">
        <v>3.3550481000669778</v>
      </c>
      <c r="C445">
        <v>3.936677808796134</v>
      </c>
      <c r="D445">
        <v>10.308462728266051</v>
      </c>
      <c r="E445">
        <v>5.4777427202442901</v>
      </c>
      <c r="F445">
        <v>28.411009701143801</v>
      </c>
      <c r="G445">
        <v>17.79959013600099</v>
      </c>
      <c r="H445">
        <v>21.124344741426981</v>
      </c>
      <c r="I445">
        <v>1701.2668110852901</v>
      </c>
      <c r="J445">
        <v>25</v>
      </c>
      <c r="K445" t="s">
        <v>66</v>
      </c>
    </row>
    <row r="446" spans="1:11" x14ac:dyDescent="0.3">
      <c r="A446">
        <v>67.820638013214221</v>
      </c>
      <c r="B446">
        <v>2.7282803097412138</v>
      </c>
      <c r="C446">
        <v>3.124031318008579</v>
      </c>
      <c r="D446">
        <v>9.5853730994281374</v>
      </c>
      <c r="E446">
        <v>5.8067122295015032</v>
      </c>
      <c r="F446">
        <v>33.655668986210557</v>
      </c>
      <c r="G446">
        <v>19.641571363372911</v>
      </c>
      <c r="H446">
        <v>20.286553291731799</v>
      </c>
      <c r="I446">
        <v>1562.576108386686</v>
      </c>
      <c r="J446">
        <v>25</v>
      </c>
      <c r="K446" t="s">
        <v>66</v>
      </c>
    </row>
    <row r="447" spans="1:11" x14ac:dyDescent="0.3">
      <c r="A447">
        <v>25.94167702638067</v>
      </c>
      <c r="B447">
        <v>1.175493307164724</v>
      </c>
      <c r="C447">
        <v>1.0692769031848861</v>
      </c>
      <c r="D447">
        <v>3.5839205156178111</v>
      </c>
      <c r="E447">
        <v>6.2623127460142154</v>
      </c>
      <c r="F447">
        <v>41.944645624569823</v>
      </c>
      <c r="G447">
        <v>23.810548619795149</v>
      </c>
      <c r="H447">
        <v>21.51328035462166</v>
      </c>
      <c r="I447">
        <v>1623.1961565954589</v>
      </c>
      <c r="J447">
        <v>25</v>
      </c>
      <c r="K447" t="s">
        <v>66</v>
      </c>
    </row>
    <row r="448" spans="1:11" x14ac:dyDescent="0.3">
      <c r="A448">
        <v>71.398361830368913</v>
      </c>
      <c r="B448">
        <v>3.2143829371909849</v>
      </c>
      <c r="C448">
        <v>5.3517200665694471</v>
      </c>
      <c r="D448">
        <v>10.339575737841781</v>
      </c>
      <c r="E448">
        <v>6.9727970962841663</v>
      </c>
      <c r="F448">
        <v>25.355820236510851</v>
      </c>
      <c r="G448">
        <v>20.820130596801789</v>
      </c>
      <c r="H448">
        <v>20.30640568271528</v>
      </c>
      <c r="I448">
        <v>1583.2348032644809</v>
      </c>
      <c r="J448">
        <v>40</v>
      </c>
      <c r="K448" t="s">
        <v>66</v>
      </c>
    </row>
    <row r="449" spans="1:11" x14ac:dyDescent="0.3">
      <c r="A449">
        <v>128.7067619938764</v>
      </c>
      <c r="B449">
        <v>5.366065414343848</v>
      </c>
      <c r="C449">
        <v>7.5324357665196491</v>
      </c>
      <c r="D449">
        <v>23.905834764979019</v>
      </c>
      <c r="E449">
        <v>6.2432745616501037</v>
      </c>
      <c r="F449">
        <v>19.99061074303167</v>
      </c>
      <c r="G449">
        <v>30.082334695053738</v>
      </c>
      <c r="H449">
        <v>30.958552783534302</v>
      </c>
      <c r="I449">
        <v>48.293473143119783</v>
      </c>
      <c r="J449">
        <v>0</v>
      </c>
      <c r="K449" t="s">
        <v>66</v>
      </c>
    </row>
    <row r="450" spans="1:11" x14ac:dyDescent="0.3">
      <c r="A450">
        <v>31.162011022093669</v>
      </c>
      <c r="B450">
        <v>1.0438475738809729</v>
      </c>
      <c r="C450">
        <v>1.857063864601914</v>
      </c>
      <c r="D450">
        <v>5.3068854278949544</v>
      </c>
      <c r="E450">
        <v>5.6228349402574276</v>
      </c>
      <c r="F450">
        <v>24.774215234182549</v>
      </c>
      <c r="G450">
        <v>19.722820468118051</v>
      </c>
      <c r="H450">
        <v>24.790199578053009</v>
      </c>
      <c r="I450">
        <v>1826.756245122745</v>
      </c>
      <c r="J450">
        <v>20</v>
      </c>
      <c r="K450" t="s">
        <v>66</v>
      </c>
    </row>
    <row r="451" spans="1:11" x14ac:dyDescent="0.3">
      <c r="A451">
        <v>69.204303597349991</v>
      </c>
      <c r="B451">
        <v>3.357752253743393</v>
      </c>
      <c r="C451">
        <v>4.4767597337654292</v>
      </c>
      <c r="D451">
        <v>11.819665950713301</v>
      </c>
      <c r="E451">
        <v>5.3112363426858238</v>
      </c>
      <c r="F451">
        <v>27.79253913321422</v>
      </c>
      <c r="G451">
        <v>18.597063812973321</v>
      </c>
      <c r="H451">
        <v>21.04654876975847</v>
      </c>
      <c r="I451">
        <v>1762.292720290018</v>
      </c>
      <c r="J451">
        <v>25</v>
      </c>
      <c r="K451" t="s">
        <v>66</v>
      </c>
    </row>
    <row r="452" spans="1:11" x14ac:dyDescent="0.3">
      <c r="A452">
        <v>123</v>
      </c>
      <c r="B452">
        <v>6</v>
      </c>
      <c r="C452">
        <v>8</v>
      </c>
      <c r="D452">
        <v>20</v>
      </c>
      <c r="E452">
        <v>6.1</v>
      </c>
      <c r="F452">
        <v>29</v>
      </c>
      <c r="G452">
        <v>24</v>
      </c>
      <c r="H452">
        <v>19</v>
      </c>
      <c r="I452">
        <v>2077</v>
      </c>
      <c r="J452">
        <v>20</v>
      </c>
      <c r="K452" t="s">
        <v>67</v>
      </c>
    </row>
    <row r="453" spans="1:11" x14ac:dyDescent="0.3">
      <c r="A453">
        <v>650.69451466109911</v>
      </c>
      <c r="B453">
        <v>31.87722567497504</v>
      </c>
      <c r="C453">
        <v>47.213809938754537</v>
      </c>
      <c r="D453">
        <v>102.4938468464215</v>
      </c>
      <c r="E453">
        <v>5.9458807179564834</v>
      </c>
      <c r="F453">
        <v>68.944657964807291</v>
      </c>
      <c r="G453">
        <v>28.55235302262648</v>
      </c>
      <c r="H453">
        <v>29.59856226180165</v>
      </c>
      <c r="I453">
        <v>11.028478261360441</v>
      </c>
      <c r="J453">
        <v>0</v>
      </c>
      <c r="K453" t="s">
        <v>66</v>
      </c>
    </row>
    <row r="454" spans="1:11" x14ac:dyDescent="0.3">
      <c r="A454">
        <v>124</v>
      </c>
      <c r="B454">
        <v>6</v>
      </c>
      <c r="C454">
        <v>8</v>
      </c>
      <c r="D454">
        <v>20</v>
      </c>
      <c r="E454">
        <v>6.3</v>
      </c>
      <c r="F454">
        <v>20.2</v>
      </c>
      <c r="G454">
        <v>30.8</v>
      </c>
      <c r="H454">
        <v>31</v>
      </c>
      <c r="I454">
        <v>48</v>
      </c>
      <c r="J454">
        <v>0</v>
      </c>
      <c r="K454" t="s">
        <v>67</v>
      </c>
    </row>
    <row r="455" spans="1:11" x14ac:dyDescent="0.3">
      <c r="A455">
        <v>48.477054478305973</v>
      </c>
      <c r="B455">
        <v>2.044647782825832</v>
      </c>
      <c r="C455">
        <v>3.2712052664283942</v>
      </c>
      <c r="D455">
        <v>7.0109884571704306</v>
      </c>
      <c r="E455">
        <v>5.5756169430639151</v>
      </c>
      <c r="F455">
        <v>19.26363192848374</v>
      </c>
      <c r="G455">
        <v>24.077109205931961</v>
      </c>
      <c r="H455">
        <v>27.735360431777</v>
      </c>
      <c r="I455">
        <v>1616.977703449711</v>
      </c>
      <c r="J455">
        <v>18</v>
      </c>
      <c r="K455" t="s">
        <v>66</v>
      </c>
    </row>
    <row r="456" spans="1:11" x14ac:dyDescent="0.3">
      <c r="A456">
        <v>56.56994890440621</v>
      </c>
      <c r="B456">
        <v>1.9737486065815391</v>
      </c>
      <c r="C456">
        <v>3.1399635934350378</v>
      </c>
      <c r="D456">
        <v>8.3992766529101992</v>
      </c>
      <c r="E456">
        <v>6.1313849173756028</v>
      </c>
      <c r="F456">
        <v>37.404215044829613</v>
      </c>
      <c r="G456">
        <v>26.346242435806349</v>
      </c>
      <c r="H456">
        <v>27.11229521166824</v>
      </c>
      <c r="I456">
        <v>1471.5941556368839</v>
      </c>
      <c r="J456">
        <v>18</v>
      </c>
      <c r="K456" t="s">
        <v>66</v>
      </c>
    </row>
    <row r="457" spans="1:11" x14ac:dyDescent="0.3">
      <c r="A457">
        <v>81.0181340358196</v>
      </c>
      <c r="B457">
        <v>2.9888889608854758</v>
      </c>
      <c r="C457">
        <v>5.039071531484824</v>
      </c>
      <c r="D457">
        <v>15.73549224125261</v>
      </c>
      <c r="E457">
        <v>6.2232872419172729</v>
      </c>
      <c r="F457">
        <v>30.968170854545459</v>
      </c>
      <c r="G457">
        <v>25.727812126518089</v>
      </c>
      <c r="H457">
        <v>22.842334231996549</v>
      </c>
      <c r="I457">
        <v>1360.658604182682</v>
      </c>
      <c r="J457">
        <v>25</v>
      </c>
      <c r="K457" t="s">
        <v>66</v>
      </c>
    </row>
    <row r="458" spans="1:11" x14ac:dyDescent="0.3">
      <c r="A458">
        <v>109.09104765954901</v>
      </c>
      <c r="B458">
        <v>2.872729099980587</v>
      </c>
      <c r="C458">
        <v>4.4231256723283181</v>
      </c>
      <c r="D458">
        <v>10.14775590740013</v>
      </c>
      <c r="E458">
        <v>6.0292170092564126</v>
      </c>
      <c r="F458">
        <v>32.124136623178217</v>
      </c>
      <c r="G458">
        <v>17.42022633256672</v>
      </c>
      <c r="H458">
        <v>18.867146000531029</v>
      </c>
      <c r="I458">
        <v>2183.915095893562</v>
      </c>
      <c r="J458">
        <v>20</v>
      </c>
      <c r="K458" t="s">
        <v>66</v>
      </c>
    </row>
    <row r="459" spans="1:11" x14ac:dyDescent="0.3">
      <c r="A459">
        <v>94.434094514870466</v>
      </c>
      <c r="B459">
        <v>4.2062512353775823</v>
      </c>
      <c r="C459">
        <v>5.8978450519224568</v>
      </c>
      <c r="D459">
        <v>12.84929126410738</v>
      </c>
      <c r="E459">
        <v>5.9195866432505611</v>
      </c>
      <c r="F459">
        <v>33.962984131670353</v>
      </c>
      <c r="G459">
        <v>24.506928375014368</v>
      </c>
      <c r="H459">
        <v>25.36979976064438</v>
      </c>
      <c r="I459">
        <v>697.44180145458517</v>
      </c>
      <c r="J459">
        <v>25</v>
      </c>
      <c r="K459" t="s">
        <v>66</v>
      </c>
    </row>
    <row r="460" spans="1:11" x14ac:dyDescent="0.3">
      <c r="A460">
        <v>340.79928712058671</v>
      </c>
      <c r="B460">
        <v>18.204116540241809</v>
      </c>
      <c r="C460">
        <v>24.001638765497962</v>
      </c>
      <c r="D460">
        <v>58.236178569627143</v>
      </c>
      <c r="E460">
        <v>5.2579423123139621</v>
      </c>
      <c r="F460">
        <v>78.193633906538423</v>
      </c>
      <c r="G460">
        <v>30.714185216021281</v>
      </c>
      <c r="H460">
        <v>32.561073786844347</v>
      </c>
      <c r="I460">
        <v>11.036699533094019</v>
      </c>
      <c r="J460">
        <v>0</v>
      </c>
      <c r="K460" t="s">
        <v>66</v>
      </c>
    </row>
    <row r="461" spans="1:11" x14ac:dyDescent="0.3">
      <c r="A461">
        <v>27.6669407514817</v>
      </c>
      <c r="B461">
        <v>1.0597228218253389</v>
      </c>
      <c r="C461">
        <v>0.86414259847425257</v>
      </c>
      <c r="D461">
        <v>5.3361467040202024</v>
      </c>
      <c r="E461">
        <v>5.828890332055483</v>
      </c>
      <c r="F461">
        <v>21.147842903771011</v>
      </c>
      <c r="G461">
        <v>19.906938480060891</v>
      </c>
      <c r="H461">
        <v>25.490589853731901</v>
      </c>
      <c r="I461">
        <v>2143.2212185154458</v>
      </c>
      <c r="J461">
        <v>10</v>
      </c>
      <c r="K461" t="s">
        <v>66</v>
      </c>
    </row>
    <row r="462" spans="1:11" x14ac:dyDescent="0.3">
      <c r="A462">
        <v>339.96091487959592</v>
      </c>
      <c r="B462">
        <v>17.591050022015171</v>
      </c>
      <c r="C462">
        <v>24.72408002136417</v>
      </c>
      <c r="D462">
        <v>53.698260355582228</v>
      </c>
      <c r="E462">
        <v>5.1771181251233944</v>
      </c>
      <c r="F462">
        <v>74.978336417594605</v>
      </c>
      <c r="G462">
        <v>30.831339452783372</v>
      </c>
      <c r="H462">
        <v>30.542657050229732</v>
      </c>
      <c r="I462">
        <v>11</v>
      </c>
      <c r="J462">
        <v>0</v>
      </c>
      <c r="K462" t="s">
        <v>66</v>
      </c>
    </row>
    <row r="463" spans="1:11" x14ac:dyDescent="0.3">
      <c r="A463">
        <v>86.639269893133147</v>
      </c>
      <c r="B463">
        <v>3.9442214897276</v>
      </c>
      <c r="C463">
        <v>6.7652344427994091</v>
      </c>
      <c r="D463">
        <v>14.97485200691245</v>
      </c>
      <c r="E463">
        <v>6.5848117891402884</v>
      </c>
      <c r="F463">
        <v>13.9</v>
      </c>
      <c r="G463">
        <v>31.456006035680549</v>
      </c>
      <c r="H463">
        <v>29.860252708340141</v>
      </c>
      <c r="I463">
        <v>46.115175702465102</v>
      </c>
      <c r="J463">
        <v>0</v>
      </c>
      <c r="K463" t="s">
        <v>66</v>
      </c>
    </row>
    <row r="464" spans="1:11" x14ac:dyDescent="0.3">
      <c r="A464">
        <v>125.7754586615259</v>
      </c>
      <c r="B464">
        <v>6.7983449424234239</v>
      </c>
      <c r="C464">
        <v>6.9887950656421092</v>
      </c>
      <c r="D464">
        <v>22.673938147111919</v>
      </c>
      <c r="E464">
        <v>5.0317956950557088</v>
      </c>
      <c r="F464">
        <v>52.550655960848623</v>
      </c>
      <c r="G464">
        <v>20.108876638088379</v>
      </c>
      <c r="H464">
        <v>20.922950492665048</v>
      </c>
      <c r="I464">
        <v>1601.4190502349561</v>
      </c>
      <c r="J464">
        <v>12</v>
      </c>
      <c r="K464" t="s">
        <v>66</v>
      </c>
    </row>
    <row r="465" spans="1:11" x14ac:dyDescent="0.3">
      <c r="A465">
        <v>64.116537230626733</v>
      </c>
      <c r="B465">
        <v>3.266187251180023</v>
      </c>
      <c r="C465">
        <v>4.045256182821209</v>
      </c>
      <c r="D465">
        <v>8.5059622067102492</v>
      </c>
      <c r="E465">
        <v>6.0488864596464094</v>
      </c>
      <c r="F465">
        <v>35.295103526849608</v>
      </c>
      <c r="G465">
        <v>21.09417589142954</v>
      </c>
      <c r="H465">
        <v>28.176675607194461</v>
      </c>
      <c r="I465">
        <v>2108.1107585495602</v>
      </c>
      <c r="J465">
        <v>25</v>
      </c>
      <c r="K465" t="s">
        <v>66</v>
      </c>
    </row>
    <row r="466" spans="1:11" x14ac:dyDescent="0.3">
      <c r="A466">
        <v>10.835503448173791</v>
      </c>
      <c r="B466">
        <v>4.1370966356047019</v>
      </c>
      <c r="C466">
        <v>7.4850003089662058</v>
      </c>
      <c r="D466">
        <v>17.125028067552009</v>
      </c>
      <c r="E466">
        <v>6.1766081709843874</v>
      </c>
      <c r="F466">
        <v>29.1419253688277</v>
      </c>
      <c r="G466">
        <v>23.930520399070389</v>
      </c>
      <c r="H466">
        <v>25.841398449856541</v>
      </c>
      <c r="I466">
        <v>692.78036047856278</v>
      </c>
      <c r="J466">
        <v>25</v>
      </c>
      <c r="K466" t="s">
        <v>66</v>
      </c>
    </row>
    <row r="467" spans="1:11" x14ac:dyDescent="0.3">
      <c r="A467">
        <v>22.502249144334861</v>
      </c>
      <c r="B467">
        <v>1.0023903043284961</v>
      </c>
      <c r="C467">
        <v>1.112790899325357</v>
      </c>
      <c r="D467">
        <v>4.0666623269439377</v>
      </c>
      <c r="E467">
        <v>6.0328690108948582</v>
      </c>
      <c r="F467">
        <v>25.278441250737401</v>
      </c>
      <c r="G467">
        <v>25.008368419677488</v>
      </c>
      <c r="H467">
        <v>19.536217777818599</v>
      </c>
      <c r="I467">
        <v>1851.2498892417659</v>
      </c>
      <c r="J467">
        <v>40</v>
      </c>
      <c r="K467" t="s">
        <v>66</v>
      </c>
    </row>
    <row r="468" spans="1:11" x14ac:dyDescent="0.3">
      <c r="A468">
        <v>42.51052998903949</v>
      </c>
      <c r="B468">
        <v>1.7995565962146549</v>
      </c>
      <c r="C468">
        <v>2.55104354874398</v>
      </c>
      <c r="D468">
        <v>5.4583146438223196</v>
      </c>
      <c r="E468">
        <v>6.1533427986036617</v>
      </c>
      <c r="F468">
        <v>36.166818846175161</v>
      </c>
      <c r="G468">
        <v>20.823942528684778</v>
      </c>
      <c r="H468">
        <v>18.26804608912558</v>
      </c>
      <c r="I468">
        <v>1884.259990324754</v>
      </c>
      <c r="J468">
        <v>20</v>
      </c>
      <c r="K468" t="s">
        <v>66</v>
      </c>
    </row>
    <row r="469" spans="1:11" x14ac:dyDescent="0.3">
      <c r="A469">
        <v>356.49505278399789</v>
      </c>
      <c r="B469">
        <v>19.178794451506409</v>
      </c>
      <c r="C469">
        <v>25.595286588799461</v>
      </c>
      <c r="D469">
        <v>59.408919299096738</v>
      </c>
      <c r="E469">
        <v>5.1976666505940203</v>
      </c>
      <c r="F469">
        <v>71.371676757109213</v>
      </c>
      <c r="G469">
        <v>30.609199417297841</v>
      </c>
      <c r="H469">
        <v>31.11216594928063</v>
      </c>
      <c r="I469">
        <v>11</v>
      </c>
      <c r="J469">
        <v>0</v>
      </c>
      <c r="K469" t="s">
        <v>66</v>
      </c>
    </row>
    <row r="470" spans="1:11" x14ac:dyDescent="0.3">
      <c r="A470">
        <v>350.8666377088108</v>
      </c>
      <c r="B470">
        <v>15.559022321347561</v>
      </c>
      <c r="C470">
        <v>24.502882152630711</v>
      </c>
      <c r="D470">
        <v>53.158583569055239</v>
      </c>
      <c r="E470">
        <v>4.4862439976335038</v>
      </c>
      <c r="F470">
        <v>53.617510893944953</v>
      </c>
      <c r="G470">
        <v>31.374517197311231</v>
      </c>
      <c r="H470">
        <v>32.204488146101667</v>
      </c>
      <c r="I470">
        <v>14.454676248395391</v>
      </c>
      <c r="J470">
        <v>0</v>
      </c>
      <c r="K470" t="s">
        <v>66</v>
      </c>
    </row>
    <row r="471" spans="1:11" x14ac:dyDescent="0.3">
      <c r="A471">
        <v>23.13786693449708</v>
      </c>
      <c r="B471">
        <v>1.105605680906605</v>
      </c>
      <c r="C471">
        <v>1.0224339656778081</v>
      </c>
      <c r="D471">
        <v>2.9625339343949801</v>
      </c>
      <c r="E471">
        <v>5.9659322169231599</v>
      </c>
      <c r="F471">
        <v>31.32468092722749</v>
      </c>
      <c r="G471">
        <v>24.169365353902322</v>
      </c>
      <c r="H471">
        <v>26.370934157649181</v>
      </c>
      <c r="I471">
        <v>1365.7950812303791</v>
      </c>
      <c r="J471">
        <v>7</v>
      </c>
      <c r="K471" t="s">
        <v>66</v>
      </c>
    </row>
    <row r="472" spans="1:11" x14ac:dyDescent="0.3">
      <c r="A472">
        <v>77.921883768604616</v>
      </c>
      <c r="B472">
        <v>2.8348389451525251</v>
      </c>
      <c r="C472">
        <v>5.436098500036489</v>
      </c>
      <c r="D472">
        <v>10.71696999932043</v>
      </c>
      <c r="E472">
        <v>6.7410805864240464</v>
      </c>
      <c r="F472">
        <v>25.009678268980739</v>
      </c>
      <c r="G472">
        <v>20.53071845733237</v>
      </c>
      <c r="H472">
        <v>20.52383963979926</v>
      </c>
      <c r="I472">
        <v>1581.5866472577429</v>
      </c>
      <c r="J472">
        <v>40</v>
      </c>
      <c r="K472" t="s">
        <v>66</v>
      </c>
    </row>
    <row r="473" spans="1:11" x14ac:dyDescent="0.3">
      <c r="A473">
        <v>7.5465289188543982</v>
      </c>
      <c r="B473">
        <v>0</v>
      </c>
      <c r="C473">
        <v>0</v>
      </c>
      <c r="D473">
        <v>0.88033344077156039</v>
      </c>
      <c r="E473">
        <v>6.5708370123079707</v>
      </c>
      <c r="F473">
        <v>27.052402134111809</v>
      </c>
      <c r="G473">
        <v>22.201323444092939</v>
      </c>
      <c r="H473">
        <v>20.39079857119712</v>
      </c>
      <c r="I473">
        <v>1639.729142584029</v>
      </c>
      <c r="J473">
        <v>25</v>
      </c>
      <c r="K473" t="s">
        <v>66</v>
      </c>
    </row>
    <row r="474" spans="1:11" x14ac:dyDescent="0.3">
      <c r="A474">
        <v>362.70091591822711</v>
      </c>
      <c r="B474">
        <v>15.979279938244201</v>
      </c>
      <c r="C474">
        <v>24.91144232649815</v>
      </c>
      <c r="D474">
        <v>65.901748041134795</v>
      </c>
      <c r="E474">
        <v>5.1971520306780112</v>
      </c>
      <c r="F474">
        <v>72.811018868711088</v>
      </c>
      <c r="G474">
        <v>30.959443978888771</v>
      </c>
      <c r="H474">
        <v>30.674606625315612</v>
      </c>
      <c r="I474">
        <v>11.28297545902007</v>
      </c>
      <c r="J474">
        <v>0</v>
      </c>
      <c r="K474" t="s">
        <v>66</v>
      </c>
    </row>
    <row r="475" spans="1:11" x14ac:dyDescent="0.3">
      <c r="A475">
        <v>73.251215009135919</v>
      </c>
      <c r="B475">
        <v>3.7327423657844019</v>
      </c>
      <c r="C475">
        <v>5.9557095435698617</v>
      </c>
      <c r="D475">
        <v>11.830021696787851</v>
      </c>
      <c r="E475">
        <v>6.123228754417009</v>
      </c>
      <c r="F475">
        <v>15.43183490946222</v>
      </c>
      <c r="G475">
        <v>33.033170372037162</v>
      </c>
      <c r="H475">
        <v>30.67752260136233</v>
      </c>
      <c r="I475">
        <v>47.259840947694023</v>
      </c>
      <c r="J475">
        <v>0</v>
      </c>
      <c r="K475" t="s">
        <v>66</v>
      </c>
    </row>
    <row r="476" spans="1:11" x14ac:dyDescent="0.3">
      <c r="A476">
        <v>34.738733568227751</v>
      </c>
      <c r="B476">
        <v>1.1272353500106771</v>
      </c>
      <c r="C476">
        <v>2.0392481881333442</v>
      </c>
      <c r="D476">
        <v>4.4514281751855931</v>
      </c>
      <c r="E476">
        <v>5.7793492983525949</v>
      </c>
      <c r="F476">
        <v>29.710545660893651</v>
      </c>
      <c r="G476">
        <v>23.09059356791353</v>
      </c>
      <c r="H476">
        <v>26.837158594788029</v>
      </c>
      <c r="I476">
        <v>1601.623809786297</v>
      </c>
      <c r="J476">
        <v>18</v>
      </c>
      <c r="K476" t="s">
        <v>66</v>
      </c>
    </row>
    <row r="477" spans="1:11" x14ac:dyDescent="0.3">
      <c r="A477">
        <v>11.418228060879359</v>
      </c>
      <c r="B477">
        <v>0</v>
      </c>
      <c r="C477">
        <v>0</v>
      </c>
      <c r="D477">
        <v>0.97693383333602923</v>
      </c>
      <c r="E477">
        <v>6.3682713447579324</v>
      </c>
      <c r="F477">
        <v>15.4564440120658</v>
      </c>
      <c r="G477">
        <v>22.08145627819513</v>
      </c>
      <c r="H477">
        <v>20.832285841243909</v>
      </c>
      <c r="I477">
        <v>1568.7432669663469</v>
      </c>
      <c r="J477">
        <v>30</v>
      </c>
      <c r="K477" t="s">
        <v>66</v>
      </c>
    </row>
    <row r="478" spans="1:11" x14ac:dyDescent="0.3">
      <c r="A478">
        <v>6.7587842636686508</v>
      </c>
      <c r="B478">
        <v>0</v>
      </c>
      <c r="C478">
        <v>0</v>
      </c>
      <c r="D478">
        <v>0.78760524172993351</v>
      </c>
      <c r="E478">
        <v>6.3266814707855934</v>
      </c>
      <c r="F478">
        <v>21.613414214358372</v>
      </c>
      <c r="G478">
        <v>18.281034141457869</v>
      </c>
      <c r="H478">
        <v>16.369223333069939</v>
      </c>
      <c r="I478">
        <v>1750.1576598202589</v>
      </c>
      <c r="J478">
        <v>30</v>
      </c>
      <c r="K478" t="s">
        <v>66</v>
      </c>
    </row>
    <row r="479" spans="1:11" x14ac:dyDescent="0.3">
      <c r="A479">
        <v>0</v>
      </c>
      <c r="B479">
        <v>0</v>
      </c>
      <c r="C479">
        <v>0</v>
      </c>
      <c r="D479">
        <v>0</v>
      </c>
      <c r="E479">
        <v>7.1392381530038271</v>
      </c>
      <c r="F479">
        <v>13.9</v>
      </c>
      <c r="G479">
        <v>37.505476191999207</v>
      </c>
      <c r="H479">
        <v>33.664154429017998</v>
      </c>
      <c r="I479">
        <v>1761.416137084675</v>
      </c>
      <c r="J479">
        <v>7</v>
      </c>
      <c r="K479" t="s">
        <v>66</v>
      </c>
    </row>
    <row r="480" spans="1:11" x14ac:dyDescent="0.3">
      <c r="A480">
        <v>64.891910492342575</v>
      </c>
      <c r="B480">
        <v>2.96173526388674</v>
      </c>
      <c r="C480">
        <v>3.8192202512352491</v>
      </c>
      <c r="D480">
        <v>11.51544480835225</v>
      </c>
      <c r="E480">
        <v>6.1418370180332031</v>
      </c>
      <c r="F480">
        <v>37.636832419458017</v>
      </c>
      <c r="G480">
        <v>21.673106763620261</v>
      </c>
      <c r="H480">
        <v>28.918421540250659</v>
      </c>
      <c r="I480">
        <v>2055.9481805804362</v>
      </c>
      <c r="J480">
        <v>25</v>
      </c>
      <c r="K480" t="s">
        <v>66</v>
      </c>
    </row>
    <row r="481" spans="1:11" x14ac:dyDescent="0.3">
      <c r="A481">
        <v>11.930611030567061</v>
      </c>
      <c r="B481">
        <v>0</v>
      </c>
      <c r="C481">
        <v>0</v>
      </c>
      <c r="D481">
        <v>0.87554574999152768</v>
      </c>
      <c r="E481">
        <v>5.8936751703625951</v>
      </c>
      <c r="F481">
        <v>18.70274497754389</v>
      </c>
      <c r="G481">
        <v>19.029339276907539</v>
      </c>
      <c r="H481">
        <v>18.711030917930611</v>
      </c>
      <c r="I481">
        <v>1819.88637269167</v>
      </c>
      <c r="J481">
        <v>40</v>
      </c>
      <c r="K481" t="s">
        <v>66</v>
      </c>
    </row>
    <row r="482" spans="1:11" x14ac:dyDescent="0.3">
      <c r="A482">
        <v>32.873068440163387</v>
      </c>
      <c r="B482">
        <v>1.0368733147317519</v>
      </c>
      <c r="C482">
        <v>1.8311351925633861</v>
      </c>
      <c r="D482">
        <v>4.1525132807416938</v>
      </c>
      <c r="E482">
        <v>5.724892971291994</v>
      </c>
      <c r="F482">
        <v>24.29180600812365</v>
      </c>
      <c r="G482">
        <v>20.10890062419789</v>
      </c>
      <c r="H482">
        <v>25.68370737408781</v>
      </c>
      <c r="I482">
        <v>1818.6502123963201</v>
      </c>
      <c r="J482">
        <v>20</v>
      </c>
      <c r="K482" t="s">
        <v>66</v>
      </c>
    </row>
    <row r="483" spans="1:11" x14ac:dyDescent="0.3">
      <c r="A483">
        <v>31.965417395138619</v>
      </c>
      <c r="B483">
        <v>0.98061738612271965</v>
      </c>
      <c r="C483">
        <v>1.8104214565462029</v>
      </c>
      <c r="D483">
        <v>4.8272904166023292</v>
      </c>
      <c r="E483">
        <v>5.9515809600082648</v>
      </c>
      <c r="F483">
        <v>22.07974105574829</v>
      </c>
      <c r="G483">
        <v>29.952773529543251</v>
      </c>
      <c r="H483">
        <v>25.375863267042</v>
      </c>
      <c r="I483">
        <v>728.12502207134253</v>
      </c>
      <c r="J483">
        <v>0</v>
      </c>
      <c r="K483" t="s">
        <v>66</v>
      </c>
    </row>
    <row r="484" spans="1:11" x14ac:dyDescent="0.3">
      <c r="A484">
        <v>317.86640597069231</v>
      </c>
      <c r="B484">
        <v>13.457008002852399</v>
      </c>
      <c r="C484">
        <v>25.657134446691629</v>
      </c>
      <c r="D484">
        <v>60.605162637016221</v>
      </c>
      <c r="E484">
        <v>5.0662976921385114</v>
      </c>
      <c r="F484">
        <v>80.645796535423912</v>
      </c>
      <c r="G484">
        <v>30.007955673424132</v>
      </c>
      <c r="H484">
        <v>31.007502086252359</v>
      </c>
      <c r="I484">
        <v>11.096361156874121</v>
      </c>
      <c r="J484">
        <v>0</v>
      </c>
      <c r="K484" t="s">
        <v>66</v>
      </c>
    </row>
    <row r="485" spans="1:11" x14ac:dyDescent="0.3">
      <c r="A485">
        <v>86.512797779641431</v>
      </c>
      <c r="B485">
        <v>4.3903266877378826</v>
      </c>
      <c r="C485">
        <v>6.2330254375381013</v>
      </c>
      <c r="D485">
        <v>14.79858964270511</v>
      </c>
      <c r="E485">
        <v>6.9315471539411568</v>
      </c>
      <c r="F485">
        <v>14.113392269890021</v>
      </c>
      <c r="G485">
        <v>32.075750733462037</v>
      </c>
      <c r="H485">
        <v>30.387619556407031</v>
      </c>
      <c r="I485">
        <v>47.229038802509713</v>
      </c>
      <c r="J485">
        <v>0</v>
      </c>
      <c r="K485" t="s">
        <v>66</v>
      </c>
    </row>
    <row r="486" spans="1:11" x14ac:dyDescent="0.3">
      <c r="A486">
        <v>102.9318653040785</v>
      </c>
      <c r="B486">
        <v>5.4660957821301928</v>
      </c>
      <c r="C486">
        <v>8.6819749147463607</v>
      </c>
      <c r="D486">
        <v>17.717355308799529</v>
      </c>
      <c r="E486">
        <v>5.5116801211384239</v>
      </c>
      <c r="F486">
        <v>46.329858637361703</v>
      </c>
      <c r="G486">
        <v>21.494831194813131</v>
      </c>
      <c r="H486">
        <v>28.357494217963591</v>
      </c>
      <c r="I486">
        <v>1888.7888187414251</v>
      </c>
      <c r="J486">
        <v>25</v>
      </c>
      <c r="K486" t="s">
        <v>66</v>
      </c>
    </row>
    <row r="487" spans="1:11" x14ac:dyDescent="0.3">
      <c r="A487">
        <v>34.233034448453381</v>
      </c>
      <c r="B487">
        <v>1.063805110144076</v>
      </c>
      <c r="C487">
        <v>1.8068670392953581</v>
      </c>
      <c r="D487">
        <v>5.1963170578254836</v>
      </c>
      <c r="E487">
        <v>5.9087054316016472</v>
      </c>
      <c r="F487">
        <v>33.094593239386839</v>
      </c>
      <c r="G487">
        <v>20.92342502435536</v>
      </c>
      <c r="H487">
        <v>19.748091802501261</v>
      </c>
      <c r="I487">
        <v>1526.2237217721411</v>
      </c>
      <c r="J487">
        <v>25</v>
      </c>
      <c r="K487" t="s">
        <v>66</v>
      </c>
    </row>
    <row r="488" spans="1:11" x14ac:dyDescent="0.3">
      <c r="A488">
        <v>65.108812421538289</v>
      </c>
      <c r="B488">
        <v>2.9209655351753252</v>
      </c>
      <c r="C488">
        <v>4.2422424930525251</v>
      </c>
      <c r="D488">
        <v>11.09180533907465</v>
      </c>
      <c r="E488">
        <v>5.7421174783064233</v>
      </c>
      <c r="F488">
        <v>45.961270313485933</v>
      </c>
      <c r="G488">
        <v>19.334901745521929</v>
      </c>
      <c r="H488">
        <v>20.790200017944159</v>
      </c>
      <c r="I488">
        <v>1799.2368257601779</v>
      </c>
      <c r="J488">
        <v>10</v>
      </c>
      <c r="K488" t="s">
        <v>66</v>
      </c>
    </row>
    <row r="489" spans="1:11" x14ac:dyDescent="0.3">
      <c r="A489">
        <v>914.88577025628695</v>
      </c>
      <c r="B489">
        <v>47</v>
      </c>
      <c r="C489">
        <v>67</v>
      </c>
      <c r="D489">
        <v>133.67962243181199</v>
      </c>
      <c r="E489">
        <v>5.4913908898648023</v>
      </c>
      <c r="F489">
        <v>27.147533054593278</v>
      </c>
      <c r="G489">
        <v>19.337467078795751</v>
      </c>
      <c r="H489">
        <v>21.710506582562662</v>
      </c>
      <c r="I489">
        <v>1508.6244661574849</v>
      </c>
      <c r="J489">
        <v>30</v>
      </c>
      <c r="K489" t="s">
        <v>66</v>
      </c>
    </row>
    <row r="490" spans="1:11" x14ac:dyDescent="0.3">
      <c r="A490">
        <v>31</v>
      </c>
      <c r="B490">
        <v>1</v>
      </c>
      <c r="C490">
        <v>2</v>
      </c>
      <c r="D490">
        <v>4</v>
      </c>
      <c r="E490">
        <v>5.9</v>
      </c>
      <c r="F490">
        <v>21.3</v>
      </c>
      <c r="G490">
        <v>30</v>
      </c>
      <c r="H490">
        <v>26</v>
      </c>
      <c r="I490">
        <v>727</v>
      </c>
      <c r="J490">
        <v>0</v>
      </c>
      <c r="K490" t="s">
        <v>67</v>
      </c>
    </row>
    <row r="491" spans="1:11" x14ac:dyDescent="0.3">
      <c r="A491">
        <v>80.231853939014215</v>
      </c>
      <c r="B491">
        <v>4.0776430523813429</v>
      </c>
      <c r="C491">
        <v>6.2324228883797943</v>
      </c>
      <c r="D491">
        <v>14.737654565086681</v>
      </c>
      <c r="E491">
        <v>6.2752922554547057</v>
      </c>
      <c r="F491">
        <v>35.412122169763549</v>
      </c>
      <c r="G491">
        <v>20.267199353254242</v>
      </c>
      <c r="H491">
        <v>28.62371014243385</v>
      </c>
      <c r="I491">
        <v>1991.8978149095101</v>
      </c>
      <c r="J491">
        <v>25</v>
      </c>
      <c r="K491" t="s">
        <v>66</v>
      </c>
    </row>
    <row r="492" spans="1:11" x14ac:dyDescent="0.3">
      <c r="A492">
        <v>6.0802176942215711</v>
      </c>
      <c r="B492">
        <v>0</v>
      </c>
      <c r="C492">
        <v>0</v>
      </c>
      <c r="D492">
        <v>0</v>
      </c>
      <c r="E492">
        <v>6.326461046810846</v>
      </c>
      <c r="F492">
        <v>24.11280943214101</v>
      </c>
      <c r="G492">
        <v>28.697872262036181</v>
      </c>
      <c r="H492">
        <v>32.769508491694708</v>
      </c>
      <c r="I492">
        <v>1757.653412714212</v>
      </c>
      <c r="J492">
        <v>26</v>
      </c>
      <c r="K492" t="s">
        <v>66</v>
      </c>
    </row>
    <row r="493" spans="1:11" x14ac:dyDescent="0.3">
      <c r="A493">
        <v>46</v>
      </c>
      <c r="B493">
        <v>2</v>
      </c>
      <c r="C493">
        <v>3</v>
      </c>
      <c r="D493">
        <v>7</v>
      </c>
      <c r="E493">
        <v>6.1</v>
      </c>
      <c r="F493">
        <v>39</v>
      </c>
      <c r="G493">
        <v>24</v>
      </c>
      <c r="H493">
        <v>21</v>
      </c>
      <c r="I493">
        <v>1628</v>
      </c>
      <c r="J493">
        <v>25</v>
      </c>
      <c r="K493" t="s">
        <v>67</v>
      </c>
    </row>
    <row r="494" spans="1:11" x14ac:dyDescent="0.3">
      <c r="A494">
        <v>184.12835651844881</v>
      </c>
      <c r="B494">
        <v>8.0864152273549177</v>
      </c>
      <c r="C494">
        <v>13.61300509454367</v>
      </c>
      <c r="D494">
        <v>30.069587935672121</v>
      </c>
      <c r="E494">
        <v>5.765447450625004</v>
      </c>
      <c r="F494">
        <v>43.860886819887483</v>
      </c>
      <c r="G494">
        <v>24.47042554108441</v>
      </c>
      <c r="H494">
        <v>19.46849524497706</v>
      </c>
      <c r="I494">
        <v>2125.489256400122</v>
      </c>
      <c r="J494">
        <v>20</v>
      </c>
      <c r="K494" t="s">
        <v>66</v>
      </c>
    </row>
    <row r="495" spans="1:11" x14ac:dyDescent="0.3">
      <c r="A495">
        <v>500.62993643683228</v>
      </c>
      <c r="B495">
        <v>24.815131085979019</v>
      </c>
      <c r="C495">
        <v>32.911798294858947</v>
      </c>
      <c r="D495">
        <v>85.665250079480785</v>
      </c>
      <c r="E495">
        <v>5.4715538916070514</v>
      </c>
      <c r="F495">
        <v>61.627634848376438</v>
      </c>
      <c r="G495">
        <v>31.865395986971869</v>
      </c>
      <c r="H495">
        <v>32.406223192701553</v>
      </c>
      <c r="I495">
        <v>11</v>
      </c>
      <c r="J495">
        <v>0</v>
      </c>
      <c r="K495" t="s">
        <v>66</v>
      </c>
    </row>
    <row r="496" spans="1:11" x14ac:dyDescent="0.3">
      <c r="A496">
        <v>0</v>
      </c>
      <c r="B496">
        <v>0</v>
      </c>
      <c r="C496">
        <v>0</v>
      </c>
      <c r="D496">
        <v>0</v>
      </c>
      <c r="E496">
        <v>7.1839295047200533</v>
      </c>
      <c r="F496">
        <v>13.9</v>
      </c>
      <c r="G496">
        <v>36.017090563015401</v>
      </c>
      <c r="H496">
        <v>32.278507132918968</v>
      </c>
      <c r="I496">
        <v>1777.6913984749431</v>
      </c>
      <c r="J496">
        <v>7</v>
      </c>
      <c r="K496" t="s">
        <v>66</v>
      </c>
    </row>
    <row r="497" spans="1:11" x14ac:dyDescent="0.3">
      <c r="A497">
        <v>46.319319042198963</v>
      </c>
      <c r="B497">
        <v>2.0408778063205948</v>
      </c>
      <c r="C497">
        <v>3.4996055752870592</v>
      </c>
      <c r="D497">
        <v>6.8715302794899928</v>
      </c>
      <c r="E497">
        <v>5.9947521356885103</v>
      </c>
      <c r="F497">
        <v>33.785283821894133</v>
      </c>
      <c r="G497">
        <v>19.182227122279841</v>
      </c>
      <c r="H497">
        <v>17.218414079929929</v>
      </c>
      <c r="I497">
        <v>1800.5497015376141</v>
      </c>
      <c r="J497">
        <v>20</v>
      </c>
      <c r="K497" t="s">
        <v>66</v>
      </c>
    </row>
    <row r="498" spans="1:11" x14ac:dyDescent="0.3">
      <c r="A498">
        <v>23.977784236809129</v>
      </c>
      <c r="B498">
        <v>0.98026615796926742</v>
      </c>
      <c r="C498">
        <v>0.91680450825055493</v>
      </c>
      <c r="D498">
        <v>2.8893181682905609</v>
      </c>
      <c r="E498">
        <v>6.2877753661888987</v>
      </c>
      <c r="F498">
        <v>33.40889106680423</v>
      </c>
      <c r="G498">
        <v>24.001172522429091</v>
      </c>
      <c r="H498">
        <v>25.619351361910329</v>
      </c>
      <c r="I498">
        <v>1322.223552149379</v>
      </c>
      <c r="J498">
        <v>7</v>
      </c>
      <c r="K498" t="s">
        <v>66</v>
      </c>
    </row>
    <row r="499" spans="1:11" x14ac:dyDescent="0.3">
      <c r="A499">
        <v>91.363102473674644</v>
      </c>
      <c r="B499">
        <v>3.49226780138132</v>
      </c>
      <c r="C499">
        <v>5.8612194342421802</v>
      </c>
      <c r="D499">
        <v>13.66199720938501</v>
      </c>
      <c r="E499">
        <v>6.6946750849182948</v>
      </c>
      <c r="F499">
        <v>13.9</v>
      </c>
      <c r="G499">
        <v>34.522879585800403</v>
      </c>
      <c r="H499">
        <v>29.36525769573387</v>
      </c>
      <c r="I499">
        <v>49.405633221622637</v>
      </c>
      <c r="J499">
        <v>0</v>
      </c>
      <c r="K499" t="s">
        <v>66</v>
      </c>
    </row>
    <row r="500" spans="1:11" x14ac:dyDescent="0.3">
      <c r="A500">
        <v>34.57175292163199</v>
      </c>
      <c r="B500">
        <v>0.96637452613189279</v>
      </c>
      <c r="C500">
        <v>1.8117954598667241</v>
      </c>
      <c r="D500">
        <v>4.3875079582725416</v>
      </c>
      <c r="E500">
        <v>6.2405569744848526</v>
      </c>
      <c r="F500">
        <v>24.904333458525919</v>
      </c>
      <c r="G500">
        <v>23.22894542370209</v>
      </c>
      <c r="H500">
        <v>18.432066976924229</v>
      </c>
      <c r="I500">
        <v>1860.54620153514</v>
      </c>
      <c r="J500">
        <v>40</v>
      </c>
      <c r="K500" t="s">
        <v>66</v>
      </c>
    </row>
    <row r="501" spans="1:11" x14ac:dyDescent="0.3">
      <c r="A501">
        <v>12.229161271338929</v>
      </c>
      <c r="B501">
        <v>0</v>
      </c>
      <c r="C501">
        <v>0</v>
      </c>
      <c r="D501">
        <v>0.97650757284790257</v>
      </c>
      <c r="E501">
        <v>6.5903498361348198</v>
      </c>
      <c r="F501">
        <v>33.165905426807939</v>
      </c>
      <c r="G501">
        <v>18.276009919349178</v>
      </c>
      <c r="H501">
        <v>22.815622007105318</v>
      </c>
      <c r="I501">
        <v>1476.257798957964</v>
      </c>
      <c r="J501">
        <v>30</v>
      </c>
      <c r="K501" t="s">
        <v>66</v>
      </c>
    </row>
    <row r="502" spans="1:11" x14ac:dyDescent="0.3">
      <c r="A502">
        <v>28.197749107085311</v>
      </c>
      <c r="B502">
        <v>1.085555565902071</v>
      </c>
      <c r="C502">
        <v>1.059253030731776</v>
      </c>
      <c r="D502">
        <v>3.996924401711452</v>
      </c>
      <c r="E502">
        <v>6.4695878109876279</v>
      </c>
      <c r="F502">
        <v>25.156903211486391</v>
      </c>
      <c r="G502">
        <v>24.791781878416231</v>
      </c>
      <c r="H502">
        <v>19.98437428608397</v>
      </c>
      <c r="I502">
        <v>1810.724756045538</v>
      </c>
      <c r="J502">
        <v>40</v>
      </c>
      <c r="K502" t="s">
        <v>66</v>
      </c>
    </row>
    <row r="503" spans="1:11" x14ac:dyDescent="0.3">
      <c r="A503">
        <v>54.248562378599068</v>
      </c>
      <c r="B503">
        <v>2.062261734688577</v>
      </c>
      <c r="C503">
        <v>3.2096066440551132</v>
      </c>
      <c r="D503">
        <v>6.3149881270079424</v>
      </c>
      <c r="E503">
        <v>5.3733150780062218</v>
      </c>
      <c r="F503">
        <v>20.737982708826351</v>
      </c>
      <c r="G503">
        <v>24.04928709103979</v>
      </c>
      <c r="H503">
        <v>28.297614050236859</v>
      </c>
      <c r="I503">
        <v>1571.4562121537499</v>
      </c>
      <c r="J503">
        <v>18</v>
      </c>
      <c r="K503" t="s">
        <v>66</v>
      </c>
    </row>
    <row r="504" spans="1:11" x14ac:dyDescent="0.3">
      <c r="A504">
        <v>682.96125655488333</v>
      </c>
      <c r="B504">
        <v>33.269268497018302</v>
      </c>
      <c r="C504">
        <v>34.765255687211692</v>
      </c>
      <c r="D504">
        <v>101.30706903426049</v>
      </c>
      <c r="E504">
        <v>5.9823775774493626</v>
      </c>
      <c r="F504">
        <v>79.444150925779809</v>
      </c>
      <c r="G504">
        <v>29.499473178600422</v>
      </c>
      <c r="H504">
        <v>31.368577304267308</v>
      </c>
      <c r="I504">
        <v>11.239663563954011</v>
      </c>
      <c r="J504">
        <v>0</v>
      </c>
      <c r="K504" t="s">
        <v>66</v>
      </c>
    </row>
    <row r="505" spans="1:11" x14ac:dyDescent="0.3">
      <c r="A505">
        <v>73</v>
      </c>
      <c r="B505">
        <v>3</v>
      </c>
      <c r="C505">
        <v>5</v>
      </c>
      <c r="D505">
        <v>11</v>
      </c>
      <c r="E505">
        <v>6.3</v>
      </c>
      <c r="F505">
        <v>65.099999999999994</v>
      </c>
      <c r="G505">
        <v>20.399999999999999</v>
      </c>
      <c r="H505">
        <v>20.9</v>
      </c>
      <c r="I505">
        <v>1519</v>
      </c>
      <c r="J505">
        <v>18</v>
      </c>
      <c r="K505" t="s">
        <v>67</v>
      </c>
    </row>
    <row r="506" spans="1:11" x14ac:dyDescent="0.3">
      <c r="A506">
        <v>18.48731645538431</v>
      </c>
      <c r="B506">
        <v>0</v>
      </c>
      <c r="C506">
        <v>1.0808919269392721</v>
      </c>
      <c r="D506">
        <v>1.654163422099316</v>
      </c>
      <c r="E506">
        <v>5.3982406917473504</v>
      </c>
      <c r="F506">
        <v>20.898541540914959</v>
      </c>
      <c r="G506">
        <v>20.7166162966505</v>
      </c>
      <c r="H506">
        <v>26.518288121142209</v>
      </c>
      <c r="I506">
        <v>2121.5988834688269</v>
      </c>
      <c r="J506">
        <v>10</v>
      </c>
      <c r="K506" t="s">
        <v>66</v>
      </c>
    </row>
    <row r="507" spans="1:11" x14ac:dyDescent="0.3">
      <c r="A507">
        <v>44.73072626444737</v>
      </c>
      <c r="B507">
        <v>1.8586214864025301</v>
      </c>
      <c r="C507">
        <v>2.8174947705961988</v>
      </c>
      <c r="D507">
        <v>7.8633842534468688</v>
      </c>
      <c r="E507">
        <v>6.174208594293991</v>
      </c>
      <c r="F507">
        <v>23.88615673032065</v>
      </c>
      <c r="G507">
        <v>19.456718902801281</v>
      </c>
      <c r="H507">
        <v>31.044074261158752</v>
      </c>
      <c r="I507">
        <v>2206.4451717043898</v>
      </c>
      <c r="J507">
        <v>15</v>
      </c>
      <c r="K507" t="s">
        <v>66</v>
      </c>
    </row>
    <row r="508" spans="1:11" x14ac:dyDescent="0.3">
      <c r="A508">
        <v>46.461573144873967</v>
      </c>
      <c r="B508">
        <v>2.221416133857395</v>
      </c>
      <c r="C508">
        <v>3.0588394377071721</v>
      </c>
      <c r="D508">
        <v>8.8772376945842026</v>
      </c>
      <c r="E508">
        <v>5.8324852597528984</v>
      </c>
      <c r="F508">
        <v>31.72424093353332</v>
      </c>
      <c r="G508">
        <v>18.861114980841901</v>
      </c>
      <c r="H508">
        <v>20.029617724590519</v>
      </c>
      <c r="I508">
        <v>1733.4072550194981</v>
      </c>
      <c r="J508">
        <v>10</v>
      </c>
      <c r="K508" t="s">
        <v>66</v>
      </c>
    </row>
    <row r="509" spans="1:11" x14ac:dyDescent="0.3">
      <c r="A509">
        <v>124.0188853249512</v>
      </c>
      <c r="B509">
        <v>6.4664444116587072</v>
      </c>
      <c r="C509">
        <v>9.3752324902734578</v>
      </c>
      <c r="D509">
        <v>20.264994286991289</v>
      </c>
      <c r="E509">
        <v>6.4279178323686024</v>
      </c>
      <c r="F509">
        <v>21.72942354307769</v>
      </c>
      <c r="G509">
        <v>31.19995377192846</v>
      </c>
      <c r="H509">
        <v>32.551991515609657</v>
      </c>
      <c r="I509">
        <v>48.885059137233938</v>
      </c>
      <c r="J509">
        <v>0</v>
      </c>
      <c r="K509" t="s">
        <v>66</v>
      </c>
    </row>
    <row r="510" spans="1:11" x14ac:dyDescent="0.3">
      <c r="A510">
        <v>49.97410778904765</v>
      </c>
      <c r="B510">
        <v>1.787521294370624</v>
      </c>
      <c r="C510">
        <v>3.1102859520629131</v>
      </c>
      <c r="D510">
        <v>6.9468899845204826</v>
      </c>
      <c r="E510">
        <v>7.2255477277187872</v>
      </c>
      <c r="F510">
        <v>41.625087408768593</v>
      </c>
      <c r="G510">
        <v>30.288830670826009</v>
      </c>
      <c r="H510">
        <v>21.344706654450061</v>
      </c>
      <c r="I510">
        <v>1341.4837841530441</v>
      </c>
      <c r="J510">
        <v>25</v>
      </c>
      <c r="K510" t="s">
        <v>66</v>
      </c>
    </row>
    <row r="511" spans="1:11" x14ac:dyDescent="0.3">
      <c r="A511">
        <v>222.22705131217279</v>
      </c>
      <c r="B511">
        <v>10.85722034311344</v>
      </c>
      <c r="C511">
        <v>17.52248754840355</v>
      </c>
      <c r="D511">
        <v>37.797651731997171</v>
      </c>
      <c r="E511">
        <v>5.3647257116885898</v>
      </c>
      <c r="F511">
        <v>29.08126423617345</v>
      </c>
      <c r="G511">
        <v>20.114457289242811</v>
      </c>
      <c r="H511">
        <v>18.394258519760879</v>
      </c>
      <c r="I511">
        <v>1524.410512961879</v>
      </c>
      <c r="J511">
        <v>25</v>
      </c>
      <c r="K511" t="s">
        <v>66</v>
      </c>
    </row>
    <row r="512" spans="1:11" x14ac:dyDescent="0.3">
      <c r="A512">
        <v>88.742469519446473</v>
      </c>
      <c r="B512">
        <v>3.7895860629329681</v>
      </c>
      <c r="C512">
        <v>6.3423043250127096</v>
      </c>
      <c r="D512">
        <v>16.120471260157061</v>
      </c>
      <c r="E512">
        <v>5.8700229057194457</v>
      </c>
      <c r="F512">
        <v>33.056015823360752</v>
      </c>
      <c r="G512">
        <v>24.235925301334781</v>
      </c>
      <c r="H512">
        <v>25.06863000239386</v>
      </c>
      <c r="I512">
        <v>672.17540021534057</v>
      </c>
      <c r="J512">
        <v>25</v>
      </c>
      <c r="K512" t="s">
        <v>66</v>
      </c>
    </row>
    <row r="513" spans="1:11" x14ac:dyDescent="0.3">
      <c r="A513">
        <v>24.81834356555396</v>
      </c>
      <c r="B513">
        <v>0.74697124772536694</v>
      </c>
      <c r="C513">
        <v>1.067894698776223</v>
      </c>
      <c r="D513">
        <v>2.9627142668512692</v>
      </c>
      <c r="E513">
        <v>6.142226314113322</v>
      </c>
      <c r="F513">
        <v>31.161496593259351</v>
      </c>
      <c r="G513">
        <v>26.04565744995692</v>
      </c>
      <c r="H513">
        <v>25.723691823777258</v>
      </c>
      <c r="I513">
        <v>1419.1999850878319</v>
      </c>
      <c r="J513">
        <v>7</v>
      </c>
      <c r="K513" t="s">
        <v>66</v>
      </c>
    </row>
    <row r="514" spans="1:11" x14ac:dyDescent="0.3">
      <c r="A514">
        <v>0</v>
      </c>
      <c r="B514">
        <v>0</v>
      </c>
      <c r="C514">
        <v>0</v>
      </c>
      <c r="D514">
        <v>0</v>
      </c>
      <c r="E514">
        <v>6.3600171319306673</v>
      </c>
      <c r="F514">
        <v>23.021298543431069</v>
      </c>
      <c r="G514">
        <v>28.931275249287179</v>
      </c>
      <c r="H514">
        <v>32.136848013173427</v>
      </c>
      <c r="I514">
        <v>1843.257065385483</v>
      </c>
      <c r="J514">
        <v>26</v>
      </c>
      <c r="K514" t="s">
        <v>66</v>
      </c>
    </row>
    <row r="515" spans="1:11" x14ac:dyDescent="0.3">
      <c r="A515">
        <v>25.947794664162348</v>
      </c>
      <c r="B515">
        <v>1.028063640449014</v>
      </c>
      <c r="C515">
        <v>0.95833746943845377</v>
      </c>
      <c r="D515">
        <v>4.20404974450003</v>
      </c>
      <c r="E515">
        <v>6.6412489805288732</v>
      </c>
      <c r="F515">
        <v>53.672928076016461</v>
      </c>
      <c r="G515">
        <v>21.68925171330724</v>
      </c>
      <c r="H515">
        <v>21.633106085262771</v>
      </c>
      <c r="I515">
        <v>1287.7752382071781</v>
      </c>
      <c r="J515">
        <v>18</v>
      </c>
      <c r="K515" t="s">
        <v>66</v>
      </c>
    </row>
    <row r="516" spans="1:11" x14ac:dyDescent="0.3">
      <c r="A516">
        <v>11.781277336394419</v>
      </c>
      <c r="B516">
        <v>0</v>
      </c>
      <c r="C516">
        <v>0</v>
      </c>
      <c r="D516">
        <v>0.94358038201395134</v>
      </c>
      <c r="E516">
        <v>6.4156471045820247</v>
      </c>
      <c r="F516">
        <v>15.660933169434809</v>
      </c>
      <c r="G516">
        <v>22.209720907020269</v>
      </c>
      <c r="H516">
        <v>21.566197867628599</v>
      </c>
      <c r="I516">
        <v>1599.298217145224</v>
      </c>
      <c r="J516">
        <v>30</v>
      </c>
      <c r="K516" t="s">
        <v>66</v>
      </c>
    </row>
    <row r="517" spans="1:11" x14ac:dyDescent="0.3">
      <c r="A517">
        <v>97.843168098051237</v>
      </c>
      <c r="B517">
        <v>3.5404823859365382</v>
      </c>
      <c r="C517">
        <v>5.902725614712085</v>
      </c>
      <c r="D517">
        <v>13.08765482898102</v>
      </c>
      <c r="E517">
        <v>6.1814791745394446</v>
      </c>
      <c r="F517">
        <v>35.054867564276769</v>
      </c>
      <c r="G517">
        <v>21.821282237190729</v>
      </c>
      <c r="H517">
        <v>19.656858290114041</v>
      </c>
      <c r="I517">
        <v>1590.3561089178941</v>
      </c>
      <c r="J517">
        <v>40</v>
      </c>
      <c r="K517" t="s">
        <v>66</v>
      </c>
    </row>
    <row r="518" spans="1:11" x14ac:dyDescent="0.3">
      <c r="A518">
        <v>19.94680972121963</v>
      </c>
      <c r="B518">
        <v>0.96419706202530142</v>
      </c>
      <c r="C518">
        <v>1.047340741571247</v>
      </c>
      <c r="D518">
        <v>2.9504758304990859</v>
      </c>
      <c r="E518">
        <v>6.0276672622441092</v>
      </c>
      <c r="F518">
        <v>29.626041380390689</v>
      </c>
      <c r="G518">
        <v>23.073005387377702</v>
      </c>
      <c r="H518">
        <v>21.942524947898889</v>
      </c>
      <c r="I518">
        <v>1724.7538305240209</v>
      </c>
      <c r="J518">
        <v>17</v>
      </c>
      <c r="K518" t="s">
        <v>66</v>
      </c>
    </row>
    <row r="519" spans="1:11" x14ac:dyDescent="0.3">
      <c r="A519">
        <v>92.903997380626762</v>
      </c>
      <c r="B519">
        <v>3.8801293407972852</v>
      </c>
      <c r="C519">
        <v>5.4921841680678174</v>
      </c>
      <c r="D519">
        <v>14.41644687436494</v>
      </c>
      <c r="E519">
        <v>6.8848387510119329</v>
      </c>
      <c r="F519">
        <v>13.9</v>
      </c>
      <c r="G519">
        <v>34.56774098262418</v>
      </c>
      <c r="H519">
        <v>30.199712802777452</v>
      </c>
      <c r="I519">
        <v>48.138269665900047</v>
      </c>
      <c r="J519">
        <v>0</v>
      </c>
      <c r="K519" t="s">
        <v>66</v>
      </c>
    </row>
    <row r="520" spans="1:11" x14ac:dyDescent="0.3">
      <c r="A520">
        <v>9.6170674945074524</v>
      </c>
      <c r="B520">
        <v>4.560092823248973</v>
      </c>
      <c r="C520">
        <v>7.7175764068072414</v>
      </c>
      <c r="D520">
        <v>17.29535109755502</v>
      </c>
      <c r="E520">
        <v>6.4099712142231704</v>
      </c>
      <c r="F520">
        <v>27.89618454688943</v>
      </c>
      <c r="G520">
        <v>25.09368857364835</v>
      </c>
      <c r="H520">
        <v>24.516139590656529</v>
      </c>
      <c r="I520">
        <v>693.0390007296229</v>
      </c>
      <c r="J520">
        <v>25</v>
      </c>
      <c r="K520" t="s">
        <v>66</v>
      </c>
    </row>
    <row r="521" spans="1:11" x14ac:dyDescent="0.3">
      <c r="A521">
        <v>122.92773442847481</v>
      </c>
      <c r="B521">
        <v>6.1584120488002023</v>
      </c>
      <c r="C521">
        <v>7.5091299157097646</v>
      </c>
      <c r="D521">
        <v>18.895477495774781</v>
      </c>
      <c r="E521">
        <v>6.3727110951632273</v>
      </c>
      <c r="F521">
        <v>20.495070330539981</v>
      </c>
      <c r="G521">
        <v>30.242553711728981</v>
      </c>
      <c r="H521">
        <v>29.651348254655868</v>
      </c>
      <c r="I521">
        <v>50.249142727955913</v>
      </c>
      <c r="J521">
        <v>0</v>
      </c>
      <c r="K521" t="s">
        <v>66</v>
      </c>
    </row>
    <row r="522" spans="1:11" x14ac:dyDescent="0.3">
      <c r="A522">
        <v>12.41408639502667</v>
      </c>
      <c r="B522">
        <v>0</v>
      </c>
      <c r="C522">
        <v>0</v>
      </c>
      <c r="D522">
        <v>0.81534269521955827</v>
      </c>
      <c r="E522">
        <v>5.8963224181108709</v>
      </c>
      <c r="F522">
        <v>18.256480627673429</v>
      </c>
      <c r="G522">
        <v>19.129410434344379</v>
      </c>
      <c r="H522">
        <v>19.762903701294601</v>
      </c>
      <c r="I522">
        <v>1838.892780730964</v>
      </c>
      <c r="J522">
        <v>40</v>
      </c>
      <c r="K522" t="s">
        <v>66</v>
      </c>
    </row>
    <row r="523" spans="1:11" x14ac:dyDescent="0.3">
      <c r="A523">
        <v>41.697178581640529</v>
      </c>
      <c r="B523">
        <v>2.4047212438459278</v>
      </c>
      <c r="C523">
        <v>3.0543188228313252</v>
      </c>
      <c r="D523">
        <v>5.6750664756869638</v>
      </c>
      <c r="E523">
        <v>6.2642817428384561</v>
      </c>
      <c r="F523">
        <v>40.352726919445558</v>
      </c>
      <c r="G523">
        <v>23.61635788647845</v>
      </c>
      <c r="H523">
        <v>22.18139199474453</v>
      </c>
      <c r="I523">
        <v>1632.6752847176119</v>
      </c>
      <c r="J523">
        <v>25</v>
      </c>
      <c r="K523" t="s">
        <v>66</v>
      </c>
    </row>
    <row r="524" spans="1:11" x14ac:dyDescent="0.3">
      <c r="A524">
        <v>107.8620080166462</v>
      </c>
      <c r="B524">
        <v>5.4240871063333342</v>
      </c>
      <c r="C524">
        <v>6.5810936935932673</v>
      </c>
      <c r="D524">
        <v>15.746454164053469</v>
      </c>
      <c r="E524">
        <v>5.7401304695429136</v>
      </c>
      <c r="F524">
        <v>43.386271743511642</v>
      </c>
      <c r="G524">
        <v>24.233549624265081</v>
      </c>
      <c r="H524">
        <v>18.317986422553972</v>
      </c>
      <c r="I524">
        <v>2033.9094697225621</v>
      </c>
      <c r="J524">
        <v>20</v>
      </c>
      <c r="K524" t="s">
        <v>66</v>
      </c>
    </row>
    <row r="525" spans="1:11" x14ac:dyDescent="0.3">
      <c r="A525">
        <v>128.70686164677019</v>
      </c>
      <c r="B525">
        <v>5.6239696652460207</v>
      </c>
      <c r="C525">
        <v>9.8429110016838308</v>
      </c>
      <c r="D525">
        <v>19.283966570360288</v>
      </c>
      <c r="E525">
        <v>4.3</v>
      </c>
      <c r="F525">
        <v>55.003878087549097</v>
      </c>
      <c r="G525">
        <v>20.201105944233891</v>
      </c>
      <c r="H525">
        <v>21.846471543422179</v>
      </c>
      <c r="I525">
        <v>1644.5768427216431</v>
      </c>
      <c r="J525">
        <v>12</v>
      </c>
      <c r="K525" t="s">
        <v>66</v>
      </c>
    </row>
    <row r="526" spans="1:11" x14ac:dyDescent="0.3">
      <c r="A526">
        <v>82.73657295850569</v>
      </c>
      <c r="B526">
        <v>3.8142382950762448</v>
      </c>
      <c r="C526">
        <v>5.7641683457631592</v>
      </c>
      <c r="D526">
        <v>13.32293600462239</v>
      </c>
      <c r="E526">
        <v>6.8422083386406243</v>
      </c>
      <c r="F526">
        <v>13.9</v>
      </c>
      <c r="G526">
        <v>31.487831726286281</v>
      </c>
      <c r="H526">
        <v>32.87653150625281</v>
      </c>
      <c r="I526">
        <v>46.554160406014013</v>
      </c>
      <c r="J526">
        <v>0</v>
      </c>
      <c r="K526" t="s">
        <v>66</v>
      </c>
    </row>
    <row r="527" spans="1:11" x14ac:dyDescent="0.3">
      <c r="A527">
        <v>28.200105672835988</v>
      </c>
      <c r="B527">
        <v>1.0160018225852789</v>
      </c>
      <c r="C527">
        <v>1.315205673451209</v>
      </c>
      <c r="D527">
        <v>3.6984551545236148</v>
      </c>
      <c r="E527">
        <v>6.4024733311641384</v>
      </c>
      <c r="F527">
        <v>26.00990076857763</v>
      </c>
      <c r="G527">
        <v>25.110105625497511</v>
      </c>
      <c r="H527">
        <v>19.128402659205989</v>
      </c>
      <c r="I527">
        <v>1783.3415811243769</v>
      </c>
      <c r="J527">
        <v>40</v>
      </c>
      <c r="K527" t="s">
        <v>66</v>
      </c>
    </row>
    <row r="528" spans="1:11" x14ac:dyDescent="0.3">
      <c r="A528">
        <v>77.453871211327723</v>
      </c>
      <c r="B528">
        <v>2.8924979543936331</v>
      </c>
      <c r="C528">
        <v>4.8987378864675852</v>
      </c>
      <c r="D528">
        <v>11.277666669677791</v>
      </c>
      <c r="E528">
        <v>6.727748869908452</v>
      </c>
      <c r="F528">
        <v>17.51016806998468</v>
      </c>
      <c r="G528">
        <v>26.010419156984629</v>
      </c>
      <c r="H528">
        <v>25.162759049284251</v>
      </c>
      <c r="I528">
        <v>670.73626361152856</v>
      </c>
      <c r="J528">
        <v>25</v>
      </c>
      <c r="K528" t="s">
        <v>66</v>
      </c>
    </row>
    <row r="529" spans="1:11" x14ac:dyDescent="0.3">
      <c r="A529">
        <v>64.776171084801689</v>
      </c>
      <c r="B529">
        <v>3.5107543974388822</v>
      </c>
      <c r="C529">
        <v>3.7694321694660631</v>
      </c>
      <c r="D529">
        <v>12.613460812588871</v>
      </c>
      <c r="E529">
        <v>5.3762295288095716</v>
      </c>
      <c r="F529">
        <v>32.740842699376827</v>
      </c>
      <c r="G529">
        <v>21.63538843532573</v>
      </c>
      <c r="H529">
        <v>18.308115738064721</v>
      </c>
      <c r="I529">
        <v>1945.020268150854</v>
      </c>
      <c r="J529">
        <v>20</v>
      </c>
      <c r="K529" t="s">
        <v>66</v>
      </c>
    </row>
    <row r="530" spans="1:11" x14ac:dyDescent="0.3">
      <c r="A530">
        <v>50.099581896151008</v>
      </c>
      <c r="B530">
        <v>1.84666868244333</v>
      </c>
      <c r="C530">
        <v>3.0664675420872629</v>
      </c>
      <c r="D530">
        <v>7.5169128550104363</v>
      </c>
      <c r="E530">
        <v>5.7664169656369362</v>
      </c>
      <c r="F530">
        <v>26.932125847816309</v>
      </c>
      <c r="G530">
        <v>24.997014987044391</v>
      </c>
      <c r="H530">
        <v>24.105962530552802</v>
      </c>
      <c r="I530">
        <v>1468.640019238979</v>
      </c>
      <c r="J530">
        <v>30</v>
      </c>
      <c r="K530" t="s">
        <v>66</v>
      </c>
    </row>
    <row r="531" spans="1:11" x14ac:dyDescent="0.3">
      <c r="A531">
        <v>23.56366534534337</v>
      </c>
      <c r="B531">
        <v>1.0695537757565781</v>
      </c>
      <c r="C531">
        <v>0.9650560672783044</v>
      </c>
      <c r="D531">
        <v>2.8524129285391551</v>
      </c>
      <c r="E531">
        <v>5.6025877452478623</v>
      </c>
      <c r="F531">
        <v>23.260850568791749</v>
      </c>
      <c r="G531">
        <v>19.99639829032699</v>
      </c>
      <c r="H531">
        <v>21.850547212389159</v>
      </c>
      <c r="I531">
        <v>1945.772366385984</v>
      </c>
      <c r="J531">
        <v>12</v>
      </c>
      <c r="K531" t="s">
        <v>66</v>
      </c>
    </row>
    <row r="532" spans="1:11" x14ac:dyDescent="0.3">
      <c r="A532">
        <v>25</v>
      </c>
      <c r="B532">
        <v>1</v>
      </c>
      <c r="C532">
        <v>1</v>
      </c>
      <c r="D532">
        <v>4</v>
      </c>
      <c r="E532">
        <v>6.1</v>
      </c>
      <c r="F532">
        <v>42.2</v>
      </c>
      <c r="G532">
        <v>23.5</v>
      </c>
      <c r="H532">
        <v>21</v>
      </c>
      <c r="I532">
        <v>1628</v>
      </c>
      <c r="J532">
        <v>25</v>
      </c>
      <c r="K532" t="s">
        <v>67</v>
      </c>
    </row>
    <row r="533" spans="1:11" x14ac:dyDescent="0.3">
      <c r="A533">
        <v>30.48407784050713</v>
      </c>
      <c r="B533">
        <v>0.98050917196473186</v>
      </c>
      <c r="C533">
        <v>1.8369248743367761</v>
      </c>
      <c r="D533">
        <v>3.6328095581557061</v>
      </c>
      <c r="E533">
        <v>5.9661449067679309</v>
      </c>
      <c r="F533">
        <v>20.244687998112951</v>
      </c>
      <c r="G533">
        <v>19.571115644605118</v>
      </c>
      <c r="H533">
        <v>20.644784413280579</v>
      </c>
      <c r="I533">
        <v>1987.6561247335619</v>
      </c>
      <c r="J533">
        <v>40</v>
      </c>
      <c r="K533" t="s">
        <v>66</v>
      </c>
    </row>
    <row r="534" spans="1:11" x14ac:dyDescent="0.3">
      <c r="A534">
        <v>78.647079186100243</v>
      </c>
      <c r="B534">
        <v>2.9854042945288648</v>
      </c>
      <c r="C534">
        <v>5.375549727253655</v>
      </c>
      <c r="D534">
        <v>13.16437944214594</v>
      </c>
      <c r="E534">
        <v>6.0503491273024483</v>
      </c>
      <c r="F534">
        <v>44.313793388116473</v>
      </c>
      <c r="G534">
        <v>24.86424938104339</v>
      </c>
      <c r="H534">
        <v>23.558804769560901</v>
      </c>
      <c r="I534">
        <v>1459.2355542867449</v>
      </c>
      <c r="J534">
        <v>30</v>
      </c>
      <c r="K534" t="s">
        <v>66</v>
      </c>
    </row>
    <row r="535" spans="1:11" x14ac:dyDescent="0.3">
      <c r="A535">
        <v>129.96666170411879</v>
      </c>
      <c r="B535">
        <v>6.0857658568582238</v>
      </c>
      <c r="C535">
        <v>6.2265449285167476</v>
      </c>
      <c r="D535">
        <v>20.19565434941585</v>
      </c>
      <c r="E535">
        <v>4.7992634710289481</v>
      </c>
      <c r="F535">
        <v>57.8927647708866</v>
      </c>
      <c r="G535">
        <v>20.255546580260852</v>
      </c>
      <c r="H535">
        <v>20.476113912173901</v>
      </c>
      <c r="I535">
        <v>1682.8463838555849</v>
      </c>
      <c r="J535">
        <v>12</v>
      </c>
      <c r="K535" t="s">
        <v>66</v>
      </c>
    </row>
    <row r="536" spans="1:11" x14ac:dyDescent="0.3">
      <c r="A536">
        <v>18.92031338880868</v>
      </c>
      <c r="B536">
        <v>0</v>
      </c>
      <c r="C536">
        <v>0.93925277123796924</v>
      </c>
      <c r="D536">
        <v>2.1727056485043041</v>
      </c>
      <c r="E536">
        <v>6.2379025305116818</v>
      </c>
      <c r="F536">
        <v>21.51481286536443</v>
      </c>
      <c r="G536">
        <v>22.037171369118258</v>
      </c>
      <c r="H536">
        <v>28.03112173308698</v>
      </c>
      <c r="I536">
        <v>2079.1795084709079</v>
      </c>
      <c r="J536">
        <v>25</v>
      </c>
      <c r="K536" t="s">
        <v>66</v>
      </c>
    </row>
    <row r="537" spans="1:11" x14ac:dyDescent="0.3">
      <c r="A537">
        <v>74.365306479943641</v>
      </c>
      <c r="B537">
        <v>3.204407853132885</v>
      </c>
      <c r="C537">
        <v>5.2721101761701732</v>
      </c>
      <c r="D537">
        <v>11.147354218638259</v>
      </c>
      <c r="E537">
        <v>6.2798236024106604</v>
      </c>
      <c r="F537">
        <v>59.343807789548073</v>
      </c>
      <c r="G537">
        <v>20.736678630505342</v>
      </c>
      <c r="H537">
        <v>20.55342525650941</v>
      </c>
      <c r="I537">
        <v>1488.013350323838</v>
      </c>
      <c r="J537">
        <v>18</v>
      </c>
      <c r="K537" t="s">
        <v>66</v>
      </c>
    </row>
    <row r="538" spans="1:11" x14ac:dyDescent="0.3">
      <c r="A538">
        <v>26.670388542357621</v>
      </c>
      <c r="B538">
        <v>0.74704399223056961</v>
      </c>
      <c r="C538">
        <v>1.0404212865277329</v>
      </c>
      <c r="D538">
        <v>4.5472317401954401</v>
      </c>
      <c r="E538">
        <v>5.3206404230663074</v>
      </c>
      <c r="F538">
        <v>29.743230945305399</v>
      </c>
      <c r="G538">
        <v>19.38365961173406</v>
      </c>
      <c r="H538">
        <v>24.226925682013469</v>
      </c>
      <c r="I538">
        <v>1857.237952333724</v>
      </c>
      <c r="J538">
        <v>20</v>
      </c>
      <c r="K538" t="s">
        <v>66</v>
      </c>
    </row>
    <row r="539" spans="1:11" x14ac:dyDescent="0.3">
      <c r="A539">
        <v>65.287427483955526</v>
      </c>
      <c r="B539">
        <v>3.2192292357199568</v>
      </c>
      <c r="C539">
        <v>4.3312918760738492</v>
      </c>
      <c r="D539">
        <v>11.39948642697234</v>
      </c>
      <c r="E539">
        <v>5.6910579539066006</v>
      </c>
      <c r="F539">
        <v>32.607262446077698</v>
      </c>
      <c r="G539">
        <v>20.188413561491672</v>
      </c>
      <c r="H539">
        <v>19.851697032653359</v>
      </c>
      <c r="I539">
        <v>1576.4755129058351</v>
      </c>
      <c r="J539">
        <v>25</v>
      </c>
      <c r="K539" t="s">
        <v>66</v>
      </c>
    </row>
    <row r="540" spans="1:11" x14ac:dyDescent="0.3">
      <c r="A540">
        <v>31.018555738334491</v>
      </c>
      <c r="B540">
        <v>1.0085209449633901</v>
      </c>
      <c r="C540">
        <v>1.7988797248621069</v>
      </c>
      <c r="D540">
        <v>4.4543791383775284</v>
      </c>
      <c r="E540">
        <v>6.3289671784583801</v>
      </c>
      <c r="F540">
        <v>22.565031745363282</v>
      </c>
      <c r="G540">
        <v>23.325399411367059</v>
      </c>
      <c r="H540">
        <v>19.36777939143759</v>
      </c>
      <c r="I540">
        <v>1840.2489342363749</v>
      </c>
      <c r="J540">
        <v>40</v>
      </c>
      <c r="K540" t="s">
        <v>66</v>
      </c>
    </row>
    <row r="541" spans="1:11" x14ac:dyDescent="0.3">
      <c r="A541">
        <v>9.5474157469647913</v>
      </c>
      <c r="B541">
        <v>5.3085029747883494</v>
      </c>
      <c r="C541">
        <v>8.3233084796090484</v>
      </c>
      <c r="D541">
        <v>15.14705535677467</v>
      </c>
      <c r="E541">
        <v>6.2547712434673937</v>
      </c>
      <c r="F541">
        <v>28.972626412947761</v>
      </c>
      <c r="G541">
        <v>24.442237531207951</v>
      </c>
      <c r="H541">
        <v>25.69302012321813</v>
      </c>
      <c r="I541">
        <v>686.55951735728377</v>
      </c>
      <c r="J541">
        <v>25</v>
      </c>
      <c r="K541" t="s">
        <v>66</v>
      </c>
    </row>
    <row r="542" spans="1:11" x14ac:dyDescent="0.3">
      <c r="A542">
        <v>76.184469248222527</v>
      </c>
      <c r="B542">
        <v>2.436022684458286</v>
      </c>
      <c r="C542">
        <v>5.2399135176834166</v>
      </c>
      <c r="D542">
        <v>10.819333816464759</v>
      </c>
      <c r="E542">
        <v>5.9466540943799089</v>
      </c>
      <c r="F542">
        <v>32.591271304167897</v>
      </c>
      <c r="G542">
        <v>17.934889791016289</v>
      </c>
      <c r="H542">
        <v>28.494584309902201</v>
      </c>
      <c r="I542">
        <v>1702.1787802133961</v>
      </c>
      <c r="J542">
        <v>20</v>
      </c>
      <c r="K542" t="s">
        <v>66</v>
      </c>
    </row>
    <row r="543" spans="1:11" x14ac:dyDescent="0.3">
      <c r="A543">
        <v>17.02660679674705</v>
      </c>
      <c r="B543">
        <v>0</v>
      </c>
      <c r="C543">
        <v>1.135220267886714</v>
      </c>
      <c r="D543">
        <v>1.955892354168693</v>
      </c>
      <c r="E543">
        <v>5.3755826040947152</v>
      </c>
      <c r="F543">
        <v>24.626802989970098</v>
      </c>
      <c r="G543">
        <v>20.706307752821122</v>
      </c>
      <c r="H543">
        <v>28.50513178640043</v>
      </c>
      <c r="I543">
        <v>2077.969741436616</v>
      </c>
      <c r="J543">
        <v>10</v>
      </c>
      <c r="K543" t="s">
        <v>66</v>
      </c>
    </row>
    <row r="544" spans="1:11" x14ac:dyDescent="0.3">
      <c r="A544">
        <v>29.26771909487184</v>
      </c>
      <c r="B544">
        <v>0.81693671031435433</v>
      </c>
      <c r="C544">
        <v>1.7289104993775419</v>
      </c>
      <c r="D544">
        <v>3.1656408489066652</v>
      </c>
      <c r="E544">
        <v>5.7178727887040823</v>
      </c>
      <c r="F544">
        <v>22.200692978314979</v>
      </c>
      <c r="G544">
        <v>16.385100240517168</v>
      </c>
      <c r="H544">
        <v>21.156583416224962</v>
      </c>
      <c r="I544">
        <v>1833.088763334719</v>
      </c>
      <c r="J544">
        <v>35</v>
      </c>
      <c r="K544" t="s">
        <v>66</v>
      </c>
    </row>
    <row r="545" spans="1:11" x14ac:dyDescent="0.3">
      <c r="A545">
        <v>365.77083469110988</v>
      </c>
      <c r="B545">
        <v>17.624388432782279</v>
      </c>
      <c r="C545">
        <v>25.206682624548471</v>
      </c>
      <c r="D545">
        <v>52.878800529621827</v>
      </c>
      <c r="E545">
        <v>6.3863465506735819</v>
      </c>
      <c r="F545">
        <v>32.71955357129535</v>
      </c>
      <c r="G545">
        <v>26.242809206758661</v>
      </c>
      <c r="H545">
        <v>22.399387790400912</v>
      </c>
      <c r="I545">
        <v>1381.349401228448</v>
      </c>
      <c r="J545">
        <v>20</v>
      </c>
      <c r="K545" t="s">
        <v>66</v>
      </c>
    </row>
    <row r="546" spans="1:11" x14ac:dyDescent="0.3">
      <c r="A546">
        <v>72.96671566224866</v>
      </c>
      <c r="B546">
        <v>3.200596441427372</v>
      </c>
      <c r="C546">
        <v>5.3819301758167111</v>
      </c>
      <c r="D546">
        <v>10.371697628507389</v>
      </c>
      <c r="E546">
        <v>6.3369623565766959</v>
      </c>
      <c r="F546">
        <v>67.533262639434923</v>
      </c>
      <c r="G546">
        <v>19.771939666314619</v>
      </c>
      <c r="H546">
        <v>20.869417282158111</v>
      </c>
      <c r="I546">
        <v>1513.592779002438</v>
      </c>
      <c r="J546">
        <v>18</v>
      </c>
      <c r="K546" t="s">
        <v>66</v>
      </c>
    </row>
    <row r="547" spans="1:11" x14ac:dyDescent="0.3">
      <c r="A547">
        <v>73.235458024032852</v>
      </c>
      <c r="B547">
        <v>3.1225821923105301</v>
      </c>
      <c r="C547">
        <v>4.3383211490251714</v>
      </c>
      <c r="D547">
        <v>10.89537718752916</v>
      </c>
      <c r="E547">
        <v>5.5680196622885632</v>
      </c>
      <c r="F547">
        <v>28.238500509638321</v>
      </c>
      <c r="G547">
        <v>17.6654407480872</v>
      </c>
      <c r="H547">
        <v>20.51354615286148</v>
      </c>
      <c r="I547">
        <v>1736.558660535457</v>
      </c>
      <c r="J547">
        <v>25</v>
      </c>
      <c r="K547" t="s">
        <v>66</v>
      </c>
    </row>
    <row r="548" spans="1:11" x14ac:dyDescent="0.3">
      <c r="A548">
        <v>10.536815874929889</v>
      </c>
      <c r="B548">
        <v>0</v>
      </c>
      <c r="C548">
        <v>0</v>
      </c>
      <c r="D548">
        <v>0.9954745698035663</v>
      </c>
      <c r="E548">
        <v>6.1058005457986839</v>
      </c>
      <c r="F548">
        <v>28.923238616373279</v>
      </c>
      <c r="G548">
        <v>15.9</v>
      </c>
      <c r="H548">
        <v>23.61667471994387</v>
      </c>
      <c r="I548">
        <v>1470.25871966356</v>
      </c>
      <c r="J548">
        <v>30</v>
      </c>
      <c r="K548" t="s">
        <v>66</v>
      </c>
    </row>
    <row r="549" spans="1:11" x14ac:dyDescent="0.3">
      <c r="A549">
        <v>7.1649954447352417</v>
      </c>
      <c r="B549">
        <v>0</v>
      </c>
      <c r="C549">
        <v>0</v>
      </c>
      <c r="D549">
        <v>0.95023274765709609</v>
      </c>
      <c r="E549">
        <v>6.0687087816172696</v>
      </c>
      <c r="F549">
        <v>20.770078715403749</v>
      </c>
      <c r="G549">
        <v>19.517680598598702</v>
      </c>
      <c r="H549">
        <v>16.377276550097498</v>
      </c>
      <c r="I549">
        <v>1792.1612987330629</v>
      </c>
      <c r="J549">
        <v>30</v>
      </c>
      <c r="K549" t="s">
        <v>66</v>
      </c>
    </row>
    <row r="550" spans="1:11" x14ac:dyDescent="0.3">
      <c r="A550">
        <v>84.579852376783009</v>
      </c>
      <c r="B550">
        <v>2.5338723701951809</v>
      </c>
      <c r="C550">
        <v>5.2120334307592264</v>
      </c>
      <c r="D550">
        <v>11.767553544234049</v>
      </c>
      <c r="E550">
        <v>5.4925994788595114</v>
      </c>
      <c r="F550">
        <v>27.14332875099144</v>
      </c>
      <c r="G550">
        <v>17.728070532223331</v>
      </c>
      <c r="H550">
        <v>18.223427269591589</v>
      </c>
      <c r="I550">
        <v>1887.8300652974769</v>
      </c>
      <c r="J550">
        <v>20</v>
      </c>
      <c r="K550" t="s">
        <v>66</v>
      </c>
    </row>
    <row r="551" spans="1:11" x14ac:dyDescent="0.3">
      <c r="A551">
        <v>43.029858929884298</v>
      </c>
      <c r="B551">
        <v>1.934276304850203</v>
      </c>
      <c r="C551">
        <v>2.945565279225745</v>
      </c>
      <c r="D551">
        <v>7.3329119051500076</v>
      </c>
      <c r="E551">
        <v>6.1467252626625886</v>
      </c>
      <c r="F551">
        <v>30.61910411693307</v>
      </c>
      <c r="G551">
        <v>22.63620343887785</v>
      </c>
      <c r="H551">
        <v>26.805909942635441</v>
      </c>
      <c r="I551">
        <v>1444.809066903141</v>
      </c>
      <c r="J551">
        <v>18</v>
      </c>
      <c r="K551" t="s">
        <v>66</v>
      </c>
    </row>
    <row r="552" spans="1:11" x14ac:dyDescent="0.3">
      <c r="A552">
        <v>77.060578021433287</v>
      </c>
      <c r="B552">
        <v>2.562734550160521</v>
      </c>
      <c r="C552">
        <v>4.307006028800501</v>
      </c>
      <c r="D552">
        <v>10.470921457107851</v>
      </c>
      <c r="E552">
        <v>6.1997874449450361</v>
      </c>
      <c r="F552">
        <v>33.672484903078413</v>
      </c>
      <c r="G552">
        <v>27.028931813991029</v>
      </c>
      <c r="H552">
        <v>22.391415673186799</v>
      </c>
      <c r="I552">
        <v>1348.4690132482231</v>
      </c>
      <c r="J552">
        <v>25</v>
      </c>
      <c r="K552" t="s">
        <v>66</v>
      </c>
    </row>
    <row r="553" spans="1:11" x14ac:dyDescent="0.3">
      <c r="A553">
        <v>100.127235945462</v>
      </c>
      <c r="B553">
        <v>2.8238445461342878</v>
      </c>
      <c r="C553">
        <v>6.7988034371930421</v>
      </c>
      <c r="D553">
        <v>13.9421902381898</v>
      </c>
      <c r="E553">
        <v>5.4002406837805736</v>
      </c>
      <c r="F553">
        <v>29.934135732037841</v>
      </c>
      <c r="G553">
        <v>21.686018255441208</v>
      </c>
      <c r="H553">
        <v>20.791685042702909</v>
      </c>
      <c r="I553">
        <v>1704.1080872639441</v>
      </c>
      <c r="J553">
        <v>25</v>
      </c>
      <c r="K553" t="s">
        <v>66</v>
      </c>
    </row>
    <row r="554" spans="1:11" x14ac:dyDescent="0.3">
      <c r="A554">
        <v>5.7739746388961448</v>
      </c>
      <c r="B554">
        <v>0</v>
      </c>
      <c r="C554">
        <v>0</v>
      </c>
      <c r="D554">
        <v>0</v>
      </c>
      <c r="E554">
        <v>5.7643345181981056</v>
      </c>
      <c r="F554">
        <v>21.985069803364208</v>
      </c>
      <c r="G554">
        <v>22.367851502469371</v>
      </c>
      <c r="H554">
        <v>26.48078754661368</v>
      </c>
      <c r="I554">
        <v>1834.7934968854299</v>
      </c>
      <c r="J554">
        <v>20</v>
      </c>
      <c r="K554" t="s">
        <v>66</v>
      </c>
    </row>
    <row r="555" spans="1:11" x14ac:dyDescent="0.3">
      <c r="A555">
        <v>114.0516459032622</v>
      </c>
      <c r="B555">
        <v>6.3777177505330869</v>
      </c>
      <c r="C555">
        <v>6.6062226458917799</v>
      </c>
      <c r="D555">
        <v>17.10296237953424</v>
      </c>
      <c r="E555">
        <v>4.3</v>
      </c>
      <c r="F555">
        <v>61.417984475312359</v>
      </c>
      <c r="G555">
        <v>19.47422419429342</v>
      </c>
      <c r="H555">
        <v>20.30129708584678</v>
      </c>
      <c r="I555">
        <v>1712.440686793733</v>
      </c>
      <c r="J555">
        <v>12</v>
      </c>
      <c r="K555" t="s">
        <v>66</v>
      </c>
    </row>
    <row r="556" spans="1:11" x14ac:dyDescent="0.3">
      <c r="A556">
        <v>113.8301309610119</v>
      </c>
      <c r="B556">
        <v>4.9028654340107396</v>
      </c>
      <c r="C556">
        <v>7.147420587508349</v>
      </c>
      <c r="D556">
        <v>18.174548627566729</v>
      </c>
      <c r="E556">
        <v>6.0322741087864973</v>
      </c>
      <c r="F556">
        <v>40.112353456829162</v>
      </c>
      <c r="G556">
        <v>16.06348538896351</v>
      </c>
      <c r="H556">
        <v>27.572176505022941</v>
      </c>
      <c r="I556">
        <v>1619.054806290223</v>
      </c>
      <c r="J556">
        <v>20</v>
      </c>
      <c r="K556" t="s">
        <v>66</v>
      </c>
    </row>
    <row r="557" spans="1:11" x14ac:dyDescent="0.3">
      <c r="A557">
        <v>3.6049066867292261</v>
      </c>
      <c r="B557">
        <v>0</v>
      </c>
      <c r="C557">
        <v>0</v>
      </c>
      <c r="D557">
        <v>0</v>
      </c>
      <c r="E557">
        <v>6.2961868547427793</v>
      </c>
      <c r="F557">
        <v>21.630675329728948</v>
      </c>
      <c r="G557">
        <v>18.00480201931515</v>
      </c>
      <c r="H557">
        <v>23.52404911215897</v>
      </c>
      <c r="I557">
        <v>1425.940254702123</v>
      </c>
      <c r="J557">
        <v>30</v>
      </c>
      <c r="K557" t="s">
        <v>66</v>
      </c>
    </row>
    <row r="558" spans="1:11" x14ac:dyDescent="0.3">
      <c r="A558">
        <v>71.535545277616691</v>
      </c>
      <c r="B558">
        <v>2.8834444640733339</v>
      </c>
      <c r="C558">
        <v>4.3532461873979518</v>
      </c>
      <c r="D558">
        <v>10.528480020391809</v>
      </c>
      <c r="E558">
        <v>6.2840568949518696</v>
      </c>
      <c r="F558">
        <v>66.060683887743281</v>
      </c>
      <c r="G558">
        <v>21.304364820724871</v>
      </c>
      <c r="H558">
        <v>21.01266900395359</v>
      </c>
      <c r="I558">
        <v>1494.762163950568</v>
      </c>
      <c r="J558">
        <v>18</v>
      </c>
      <c r="K558" t="s">
        <v>66</v>
      </c>
    </row>
    <row r="559" spans="1:11" x14ac:dyDescent="0.3">
      <c r="A559">
        <v>54.131008395451033</v>
      </c>
      <c r="B559">
        <v>1.4875332682409379</v>
      </c>
      <c r="C559">
        <v>2.640090741490408</v>
      </c>
      <c r="D559">
        <v>7.7222508039101898</v>
      </c>
      <c r="E559">
        <v>4.9632215473428936</v>
      </c>
      <c r="F559">
        <v>33.342711522405637</v>
      </c>
      <c r="G559">
        <v>23.354510323468251</v>
      </c>
      <c r="H559">
        <v>26.52060975903645</v>
      </c>
      <c r="I559">
        <v>2023.864633433863</v>
      </c>
      <c r="J559">
        <v>20</v>
      </c>
      <c r="K559" t="s">
        <v>66</v>
      </c>
    </row>
    <row r="560" spans="1:11" x14ac:dyDescent="0.3">
      <c r="A560">
        <v>61.279870368433279</v>
      </c>
      <c r="B560">
        <v>3.0849863614638431</v>
      </c>
      <c r="C560">
        <v>3.5386597957616162</v>
      </c>
      <c r="D560">
        <v>9.2410592740796993</v>
      </c>
      <c r="E560">
        <v>5.7701915382529023</v>
      </c>
      <c r="F560">
        <v>33.690327007441532</v>
      </c>
      <c r="G560">
        <v>18.498444206702452</v>
      </c>
      <c r="H560">
        <v>19.78916782871109</v>
      </c>
      <c r="I560">
        <v>2165.6093371683742</v>
      </c>
      <c r="J560">
        <v>20</v>
      </c>
      <c r="K560" t="s">
        <v>66</v>
      </c>
    </row>
    <row r="561" spans="1:11" x14ac:dyDescent="0.3">
      <c r="A561">
        <v>36.852428145239941</v>
      </c>
      <c r="B561">
        <v>1.055769106072513</v>
      </c>
      <c r="C561">
        <v>1.88941583252654</v>
      </c>
      <c r="D561">
        <v>5.665721656456661</v>
      </c>
      <c r="E561">
        <v>6.1928141328214226</v>
      </c>
      <c r="F561">
        <v>19.022962259837001</v>
      </c>
      <c r="G561">
        <v>17.8239728393389</v>
      </c>
      <c r="H561">
        <v>30.59607620698317</v>
      </c>
      <c r="I561">
        <v>2255.7926719650541</v>
      </c>
      <c r="J561">
        <v>15</v>
      </c>
      <c r="K561" t="s">
        <v>66</v>
      </c>
    </row>
    <row r="562" spans="1:11" x14ac:dyDescent="0.3">
      <c r="A562">
        <v>67.627949072906929</v>
      </c>
      <c r="B562">
        <v>2.8392595610843112</v>
      </c>
      <c r="C562">
        <v>4.2024963957223704</v>
      </c>
      <c r="D562">
        <v>9.3556597329780153</v>
      </c>
      <c r="E562">
        <v>6.1549189873414907</v>
      </c>
      <c r="F562">
        <v>35.109266786738843</v>
      </c>
      <c r="G562">
        <v>21.282543455432201</v>
      </c>
      <c r="H562">
        <v>27.729144191009251</v>
      </c>
      <c r="I562">
        <v>2051.7184263961331</v>
      </c>
      <c r="J562">
        <v>25</v>
      </c>
      <c r="K562" t="s">
        <v>66</v>
      </c>
    </row>
    <row r="563" spans="1:11" x14ac:dyDescent="0.3">
      <c r="A563">
        <v>0</v>
      </c>
      <c r="B563">
        <v>0</v>
      </c>
      <c r="C563">
        <v>0</v>
      </c>
      <c r="D563">
        <v>0</v>
      </c>
      <c r="E563">
        <v>7.1150892509245542</v>
      </c>
      <c r="F563">
        <v>13.9</v>
      </c>
      <c r="G563">
        <v>37.799999999999997</v>
      </c>
      <c r="H563">
        <v>31.545966431638121</v>
      </c>
      <c r="I563">
        <v>1781.2368322217651</v>
      </c>
      <c r="J563">
        <v>7</v>
      </c>
      <c r="K563" t="s">
        <v>66</v>
      </c>
    </row>
    <row r="564" spans="1:11" x14ac:dyDescent="0.3">
      <c r="A564">
        <v>11.37605644372468</v>
      </c>
      <c r="B564">
        <v>0</v>
      </c>
      <c r="C564">
        <v>0</v>
      </c>
      <c r="D564">
        <v>1.044174673637756</v>
      </c>
      <c r="E564">
        <v>6.662107299853969</v>
      </c>
      <c r="F564">
        <v>35.069172967142677</v>
      </c>
      <c r="G564">
        <v>17.886971375411171</v>
      </c>
      <c r="H564">
        <v>22.241115294522562</v>
      </c>
      <c r="I564">
        <v>1451.742699418254</v>
      </c>
      <c r="J564">
        <v>30</v>
      </c>
      <c r="K564" t="s">
        <v>66</v>
      </c>
    </row>
    <row r="565" spans="1:11" x14ac:dyDescent="0.3">
      <c r="A565">
        <v>75.716898522955347</v>
      </c>
      <c r="B565">
        <v>3.4616516306107141</v>
      </c>
      <c r="C565">
        <v>5.5963675827082069</v>
      </c>
      <c r="D565">
        <v>11.508238507447761</v>
      </c>
      <c r="E565">
        <v>6.2223565651824284</v>
      </c>
      <c r="F565">
        <v>13.97417062261616</v>
      </c>
      <c r="G565">
        <v>33.806597110925743</v>
      </c>
      <c r="H565">
        <v>31.54453502555689</v>
      </c>
      <c r="I565">
        <v>48.54263723901574</v>
      </c>
      <c r="J565">
        <v>0</v>
      </c>
      <c r="K565" t="s">
        <v>66</v>
      </c>
    </row>
    <row r="566" spans="1:11" x14ac:dyDescent="0.3">
      <c r="A566">
        <v>327.92480094343608</v>
      </c>
      <c r="B566">
        <v>17.10027317670232</v>
      </c>
      <c r="C566">
        <v>25.529579239255369</v>
      </c>
      <c r="D566">
        <v>52.875226385040527</v>
      </c>
      <c r="E566">
        <v>6.2421815175268502</v>
      </c>
      <c r="F566">
        <v>30.384383070741251</v>
      </c>
      <c r="G566">
        <v>26.61632582847227</v>
      </c>
      <c r="H566">
        <v>21.548968515896711</v>
      </c>
      <c r="I566">
        <v>1331.028074897911</v>
      </c>
      <c r="J566">
        <v>20</v>
      </c>
      <c r="K566" t="s">
        <v>66</v>
      </c>
    </row>
    <row r="567" spans="1:11" x14ac:dyDescent="0.3">
      <c r="A567">
        <v>41.947312122239708</v>
      </c>
      <c r="B567">
        <v>2.056032231763921</v>
      </c>
      <c r="C567">
        <v>2.3870308080120459</v>
      </c>
      <c r="D567">
        <v>6.1209917430775516</v>
      </c>
      <c r="E567">
        <v>6.0552989838484637</v>
      </c>
      <c r="F567">
        <v>40.076423177301201</v>
      </c>
      <c r="G567">
        <v>20.375366577297289</v>
      </c>
      <c r="H567">
        <v>18.69997862326392</v>
      </c>
      <c r="I567">
        <v>1929.8028206240231</v>
      </c>
      <c r="J567">
        <v>20</v>
      </c>
      <c r="K567" t="s">
        <v>66</v>
      </c>
    </row>
    <row r="568" spans="1:11" x14ac:dyDescent="0.3">
      <c r="A568">
        <v>44.019046336945003</v>
      </c>
      <c r="B568">
        <v>2.2250869568829539</v>
      </c>
      <c r="C568">
        <v>2.3602213121535489</v>
      </c>
      <c r="D568">
        <v>7.1472121281553971</v>
      </c>
      <c r="E568">
        <v>6.0988209405997713</v>
      </c>
      <c r="F568">
        <v>38.982139874857417</v>
      </c>
      <c r="G568">
        <v>22.986076726818631</v>
      </c>
      <c r="H568">
        <v>21.05376669197792</v>
      </c>
      <c r="I568">
        <v>1630.153554709251</v>
      </c>
      <c r="J568">
        <v>25</v>
      </c>
      <c r="K568" t="s">
        <v>66</v>
      </c>
    </row>
    <row r="569" spans="1:11" x14ac:dyDescent="0.3">
      <c r="A569">
        <v>73.676950612877079</v>
      </c>
      <c r="B569">
        <v>2.8643729001500762</v>
      </c>
      <c r="C569">
        <v>4.0730004122396846</v>
      </c>
      <c r="D569">
        <v>10.62033843074817</v>
      </c>
      <c r="E569">
        <v>5.3325432249890081</v>
      </c>
      <c r="F569">
        <v>26.714738273778242</v>
      </c>
      <c r="G569">
        <v>18.015069761615511</v>
      </c>
      <c r="H569">
        <v>20.457388495496879</v>
      </c>
      <c r="I569">
        <v>1743.200881295985</v>
      </c>
      <c r="J569">
        <v>25</v>
      </c>
      <c r="K569" t="s">
        <v>66</v>
      </c>
    </row>
    <row r="570" spans="1:11" x14ac:dyDescent="0.3">
      <c r="A570">
        <v>33</v>
      </c>
      <c r="B570">
        <v>1</v>
      </c>
      <c r="C570">
        <v>2</v>
      </c>
      <c r="D570">
        <v>5</v>
      </c>
      <c r="E570">
        <v>6.1</v>
      </c>
      <c r="F570">
        <v>32.4</v>
      </c>
      <c r="G570">
        <v>20.5</v>
      </c>
      <c r="H570">
        <v>20</v>
      </c>
      <c r="I570">
        <v>1535</v>
      </c>
      <c r="J570">
        <v>25</v>
      </c>
      <c r="K570" t="s">
        <v>67</v>
      </c>
    </row>
    <row r="571" spans="1:11" x14ac:dyDescent="0.3">
      <c r="A571">
        <v>73.164627688199815</v>
      </c>
      <c r="B571">
        <v>2.7460930035027382</v>
      </c>
      <c r="C571">
        <v>6.4342015278333839</v>
      </c>
      <c r="D571">
        <v>15.058811650461269</v>
      </c>
      <c r="E571">
        <v>6.0425863070144112</v>
      </c>
      <c r="F571">
        <v>35.663848836719872</v>
      </c>
      <c r="G571">
        <v>25.111768836731951</v>
      </c>
      <c r="H571">
        <v>22.61109675664029</v>
      </c>
      <c r="I571">
        <v>1346.3012483657631</v>
      </c>
      <c r="J571">
        <v>25</v>
      </c>
      <c r="K571" t="s">
        <v>66</v>
      </c>
    </row>
    <row r="572" spans="1:11" x14ac:dyDescent="0.3">
      <c r="A572">
        <v>641.05751632154147</v>
      </c>
      <c r="B572">
        <v>36.488360394580212</v>
      </c>
      <c r="C572">
        <v>46.02019941046008</v>
      </c>
      <c r="D572">
        <v>120.55556762351689</v>
      </c>
      <c r="E572">
        <v>5.9442279331305929</v>
      </c>
      <c r="F572">
        <v>70.049379246885934</v>
      </c>
      <c r="G572">
        <v>28.82688956266426</v>
      </c>
      <c r="H572">
        <v>31.714420539138441</v>
      </c>
      <c r="I572">
        <v>11.40250377119067</v>
      </c>
      <c r="J572">
        <v>0</v>
      </c>
      <c r="K572" t="s">
        <v>66</v>
      </c>
    </row>
    <row r="573" spans="1:11" x14ac:dyDescent="0.3">
      <c r="A573">
        <v>23.730222726276999</v>
      </c>
      <c r="B573">
        <v>1.2281651836538841</v>
      </c>
      <c r="C573">
        <v>0.86045514952449276</v>
      </c>
      <c r="D573">
        <v>3.2784998063630009</v>
      </c>
      <c r="E573">
        <v>6.071689343467181</v>
      </c>
      <c r="F573">
        <v>25.51389247857113</v>
      </c>
      <c r="G573">
        <v>24.833699626174191</v>
      </c>
      <c r="H573">
        <v>18.749464634523282</v>
      </c>
      <c r="I573">
        <v>1844.2035958889369</v>
      </c>
      <c r="J573">
        <v>40</v>
      </c>
      <c r="K573" t="s">
        <v>66</v>
      </c>
    </row>
    <row r="574" spans="1:11" x14ac:dyDescent="0.3">
      <c r="A574">
        <v>80.952255604916871</v>
      </c>
      <c r="B574">
        <v>2.6248776798090852</v>
      </c>
      <c r="C574">
        <v>4.8000504689344314</v>
      </c>
      <c r="D574">
        <v>11.176740291557779</v>
      </c>
      <c r="E574">
        <v>5.5843027324229642</v>
      </c>
      <c r="F574">
        <v>25.246594297014081</v>
      </c>
      <c r="G574">
        <v>18.72261261932427</v>
      </c>
      <c r="H574">
        <v>18.904843598676599</v>
      </c>
      <c r="I574">
        <v>1974.981986514453</v>
      </c>
      <c r="J574">
        <v>20</v>
      </c>
      <c r="K574" t="s">
        <v>66</v>
      </c>
    </row>
    <row r="575" spans="1:11" x14ac:dyDescent="0.3">
      <c r="A575">
        <v>61.693442075107463</v>
      </c>
      <c r="B575">
        <v>3.2251737502565301</v>
      </c>
      <c r="C575">
        <v>3.6348756322813949</v>
      </c>
      <c r="D575">
        <v>9.2219052141672861</v>
      </c>
      <c r="E575">
        <v>5.9927016021073074</v>
      </c>
      <c r="F575">
        <v>18.747129919298441</v>
      </c>
      <c r="G575">
        <v>22.795989923036249</v>
      </c>
      <c r="H575">
        <v>20.72606301389435</v>
      </c>
      <c r="I575">
        <v>1540.045955713204</v>
      </c>
      <c r="J575">
        <v>30</v>
      </c>
      <c r="K575" t="s">
        <v>66</v>
      </c>
    </row>
    <row r="576" spans="1:11" x14ac:dyDescent="0.3">
      <c r="A576">
        <v>70.931277045362094</v>
      </c>
      <c r="B576">
        <v>2.9749686090628922</v>
      </c>
      <c r="C576">
        <v>3.45325665468767</v>
      </c>
      <c r="D576">
        <v>10.437911912784701</v>
      </c>
      <c r="E576">
        <v>5.4986752091744071</v>
      </c>
      <c r="F576">
        <v>35.718721924619011</v>
      </c>
      <c r="G576">
        <v>21.91540849339842</v>
      </c>
      <c r="H576">
        <v>17.909097677511919</v>
      </c>
      <c r="I576">
        <v>1917.526673936954</v>
      </c>
      <c r="J576">
        <v>20</v>
      </c>
      <c r="K576" t="s">
        <v>66</v>
      </c>
    </row>
    <row r="577" spans="1:11" x14ac:dyDescent="0.3">
      <c r="A577">
        <v>50</v>
      </c>
      <c r="B577">
        <v>2</v>
      </c>
      <c r="C577">
        <v>3</v>
      </c>
      <c r="D577">
        <v>8</v>
      </c>
      <c r="E577">
        <v>5.8</v>
      </c>
      <c r="F577">
        <v>31</v>
      </c>
      <c r="G577">
        <v>19.7</v>
      </c>
      <c r="H577">
        <v>20.5</v>
      </c>
      <c r="I577">
        <v>1779</v>
      </c>
      <c r="J577">
        <v>10</v>
      </c>
      <c r="K577" t="s">
        <v>67</v>
      </c>
    </row>
    <row r="578" spans="1:11" x14ac:dyDescent="0.3">
      <c r="A578">
        <v>31.38474190876552</v>
      </c>
      <c r="B578">
        <v>0.93380178222033905</v>
      </c>
      <c r="C578">
        <v>2.1027228928462192</v>
      </c>
      <c r="D578">
        <v>5.3222977162075882</v>
      </c>
      <c r="E578">
        <v>6.1487352634574659</v>
      </c>
      <c r="F578">
        <v>26.459300830660609</v>
      </c>
      <c r="G578">
        <v>26.08673185414845</v>
      </c>
      <c r="H578">
        <v>20.465222698267809</v>
      </c>
      <c r="I578">
        <v>1244.9635402693621</v>
      </c>
      <c r="J578">
        <v>18</v>
      </c>
      <c r="K578" t="s">
        <v>66</v>
      </c>
    </row>
    <row r="579" spans="1:11" x14ac:dyDescent="0.3">
      <c r="A579">
        <v>11.98717962339094</v>
      </c>
      <c r="B579">
        <v>0</v>
      </c>
      <c r="C579">
        <v>0</v>
      </c>
      <c r="D579">
        <v>0.80581413406205937</v>
      </c>
      <c r="E579">
        <v>5.9960369683536534</v>
      </c>
      <c r="F579">
        <v>18.9202515702321</v>
      </c>
      <c r="G579">
        <v>18.182156385666961</v>
      </c>
      <c r="H579">
        <v>19.740980842557342</v>
      </c>
      <c r="I579">
        <v>1885.193364331777</v>
      </c>
      <c r="J579">
        <v>40</v>
      </c>
      <c r="K579" t="s">
        <v>66</v>
      </c>
    </row>
    <row r="580" spans="1:11" x14ac:dyDescent="0.3">
      <c r="A580">
        <v>202.54654889250261</v>
      </c>
      <c r="B580">
        <v>8.2926125706285152</v>
      </c>
      <c r="C580">
        <v>15.18227707538434</v>
      </c>
      <c r="D580">
        <v>30.99494300137729</v>
      </c>
      <c r="E580">
        <v>5.7470230766573032</v>
      </c>
      <c r="F580">
        <v>41.037221711372219</v>
      </c>
      <c r="G580">
        <v>23.769622619200831</v>
      </c>
      <c r="H580">
        <v>18.405530890769018</v>
      </c>
      <c r="I580">
        <v>2046.5985684224961</v>
      </c>
      <c r="J580">
        <v>20</v>
      </c>
      <c r="K580" t="s">
        <v>66</v>
      </c>
    </row>
    <row r="581" spans="1:11" x14ac:dyDescent="0.3">
      <c r="A581">
        <v>32.824056427533847</v>
      </c>
      <c r="B581">
        <v>0.78481845986706955</v>
      </c>
      <c r="C581">
        <v>2.0505137691993252</v>
      </c>
      <c r="D581">
        <v>6.0925474475180561</v>
      </c>
      <c r="E581">
        <v>5.8641370065175398</v>
      </c>
      <c r="F581">
        <v>30.9432745935983</v>
      </c>
      <c r="G581">
        <v>22.918999071993849</v>
      </c>
      <c r="H581">
        <v>27.948606442437431</v>
      </c>
      <c r="I581">
        <v>1635.592295216429</v>
      </c>
      <c r="J581">
        <v>18</v>
      </c>
      <c r="K581" t="s">
        <v>66</v>
      </c>
    </row>
    <row r="582" spans="1:11" x14ac:dyDescent="0.3">
      <c r="A582">
        <v>52.508832244730058</v>
      </c>
      <c r="B582">
        <v>2.30426321038449</v>
      </c>
      <c r="C582">
        <v>2.9364999054206469</v>
      </c>
      <c r="D582">
        <v>7.1039620620241024</v>
      </c>
      <c r="E582">
        <v>5.857003879737241</v>
      </c>
      <c r="F582">
        <v>31.525412635185809</v>
      </c>
      <c r="G582">
        <v>18.88732462719825</v>
      </c>
      <c r="H582">
        <v>20.054516366440868</v>
      </c>
      <c r="I582">
        <v>1744.3391229056319</v>
      </c>
      <c r="J582">
        <v>10</v>
      </c>
      <c r="K582" t="s">
        <v>66</v>
      </c>
    </row>
    <row r="583" spans="1:11" x14ac:dyDescent="0.3">
      <c r="A583">
        <v>492.70008405994139</v>
      </c>
      <c r="B583">
        <v>23.716966083821038</v>
      </c>
      <c r="C583">
        <v>37.039581541108532</v>
      </c>
      <c r="D583">
        <v>77.916712856093696</v>
      </c>
      <c r="E583">
        <v>5.5169796829673601</v>
      </c>
      <c r="F583">
        <v>65.488169062379697</v>
      </c>
      <c r="G583">
        <v>31.466013708657162</v>
      </c>
      <c r="H583">
        <v>30.38152034201735</v>
      </c>
      <c r="I583">
        <v>11.04491385183913</v>
      </c>
      <c r="J583">
        <v>0</v>
      </c>
      <c r="K583" t="s">
        <v>66</v>
      </c>
    </row>
    <row r="584" spans="1:11" x14ac:dyDescent="0.3">
      <c r="A584">
        <v>125.0012636899301</v>
      </c>
      <c r="B584">
        <v>6.0634522747628878</v>
      </c>
      <c r="C584">
        <v>8.9544903566808216</v>
      </c>
      <c r="D584">
        <v>19.70108861367002</v>
      </c>
      <c r="E584">
        <v>4.8455819619450988</v>
      </c>
      <c r="F584">
        <v>51.971656604208867</v>
      </c>
      <c r="G584">
        <v>20.958866537451051</v>
      </c>
      <c r="H584">
        <v>21.769623851201349</v>
      </c>
      <c r="I584">
        <v>1686.382731241664</v>
      </c>
      <c r="J584">
        <v>12</v>
      </c>
      <c r="K584" t="s">
        <v>66</v>
      </c>
    </row>
    <row r="585" spans="1:11" x14ac:dyDescent="0.3">
      <c r="A585">
        <v>6.4228042320556744</v>
      </c>
      <c r="B585">
        <v>0</v>
      </c>
      <c r="C585">
        <v>0</v>
      </c>
      <c r="D585">
        <v>0</v>
      </c>
      <c r="E585">
        <v>6.3014969347492418</v>
      </c>
      <c r="F585">
        <v>23.495757871399562</v>
      </c>
      <c r="G585">
        <v>28.190537233537729</v>
      </c>
      <c r="H585">
        <v>33.143481613244973</v>
      </c>
      <c r="I585">
        <v>1761.9223436595171</v>
      </c>
      <c r="J585">
        <v>26</v>
      </c>
      <c r="K585" t="s">
        <v>66</v>
      </c>
    </row>
    <row r="586" spans="1:11" x14ac:dyDescent="0.3">
      <c r="A586">
        <v>87.624431734298867</v>
      </c>
      <c r="B586">
        <v>4.1531955938963714</v>
      </c>
      <c r="C586">
        <v>5.283486359344626</v>
      </c>
      <c r="D586">
        <v>12.982561333165171</v>
      </c>
      <c r="E586">
        <v>6.5344157950453789</v>
      </c>
      <c r="F586">
        <v>14.32169969439345</v>
      </c>
      <c r="G586">
        <v>31.91959878576619</v>
      </c>
      <c r="H586">
        <v>32.07756033170741</v>
      </c>
      <c r="I586">
        <v>47.43896661629929</v>
      </c>
      <c r="J586">
        <v>0</v>
      </c>
      <c r="K586" t="s">
        <v>66</v>
      </c>
    </row>
    <row r="587" spans="1:11" x14ac:dyDescent="0.3">
      <c r="A587">
        <v>15.33319748361453</v>
      </c>
      <c r="B587">
        <v>0</v>
      </c>
      <c r="C587">
        <v>0.9263229864052378</v>
      </c>
      <c r="D587">
        <v>1.6994258782635221</v>
      </c>
      <c r="E587">
        <v>6.2598035506708909</v>
      </c>
      <c r="F587">
        <v>39.812846907959099</v>
      </c>
      <c r="G587">
        <v>20.168828532084209</v>
      </c>
      <c r="H587">
        <v>19.813995102565531</v>
      </c>
      <c r="I587">
        <v>1859.979971881557</v>
      </c>
      <c r="J587">
        <v>40</v>
      </c>
      <c r="K587" t="s">
        <v>66</v>
      </c>
    </row>
    <row r="588" spans="1:11" x14ac:dyDescent="0.3">
      <c r="A588">
        <v>91.833626473484031</v>
      </c>
      <c r="B588">
        <v>4.2206963199643681</v>
      </c>
      <c r="C588">
        <v>6.2551927849980666</v>
      </c>
      <c r="D588">
        <v>14.504618346809879</v>
      </c>
      <c r="E588">
        <v>5.4640687680492528</v>
      </c>
      <c r="F588">
        <v>28.212976642390309</v>
      </c>
      <c r="G588">
        <v>21.561102267693339</v>
      </c>
      <c r="H588">
        <v>21.126963651642981</v>
      </c>
      <c r="I588">
        <v>1775.2611578819769</v>
      </c>
      <c r="J588">
        <v>25</v>
      </c>
      <c r="K588" t="s">
        <v>66</v>
      </c>
    </row>
    <row r="589" spans="1:11" x14ac:dyDescent="0.3">
      <c r="A589">
        <v>69.454344258672194</v>
      </c>
      <c r="B589">
        <v>3.0747925786925192</v>
      </c>
      <c r="C589">
        <v>3.8362766103617121</v>
      </c>
      <c r="D589">
        <v>8.2476229048590035</v>
      </c>
      <c r="E589">
        <v>5.7386361839524369</v>
      </c>
      <c r="F589">
        <v>30.53070189297544</v>
      </c>
      <c r="G589">
        <v>19.651555345666129</v>
      </c>
      <c r="H589">
        <v>20.449963035766899</v>
      </c>
      <c r="I589">
        <v>1543.028620919483</v>
      </c>
      <c r="J589">
        <v>25</v>
      </c>
      <c r="K589" t="s">
        <v>66</v>
      </c>
    </row>
    <row r="590" spans="1:11" x14ac:dyDescent="0.3">
      <c r="A590">
        <v>43.252253874113883</v>
      </c>
      <c r="B590">
        <v>1.8914652400531959</v>
      </c>
      <c r="C590">
        <v>1.765224007118205</v>
      </c>
      <c r="D590">
        <v>6.0301366194994079</v>
      </c>
      <c r="E590">
        <v>4.7114698650785636</v>
      </c>
      <c r="F590">
        <v>36.14858935017142</v>
      </c>
      <c r="G590">
        <v>18.676623360387641</v>
      </c>
      <c r="H590">
        <v>19.389321033309969</v>
      </c>
      <c r="I590">
        <v>2055.6842194458959</v>
      </c>
      <c r="J590">
        <v>40</v>
      </c>
      <c r="K590" t="s">
        <v>66</v>
      </c>
    </row>
    <row r="591" spans="1:11" x14ac:dyDescent="0.3">
      <c r="A591">
        <v>53.623108003981031</v>
      </c>
      <c r="B591">
        <v>1.720138765039612</v>
      </c>
      <c r="C591">
        <v>2.676996261758696</v>
      </c>
      <c r="D591">
        <v>5.3801691537999261</v>
      </c>
      <c r="E591">
        <v>6.2645944828238376</v>
      </c>
      <c r="F591">
        <v>26.748230503579471</v>
      </c>
      <c r="G591">
        <v>18.445279419717352</v>
      </c>
      <c r="H591">
        <v>20.39969754443063</v>
      </c>
      <c r="I591">
        <v>1728.5606630130669</v>
      </c>
      <c r="J591">
        <v>25</v>
      </c>
      <c r="K591" t="s">
        <v>66</v>
      </c>
    </row>
    <row r="592" spans="1:11" x14ac:dyDescent="0.3">
      <c r="A592">
        <v>30.55374777365634</v>
      </c>
      <c r="B592">
        <v>0.9332220443531114</v>
      </c>
      <c r="C592">
        <v>1.884415844633458</v>
      </c>
      <c r="D592">
        <v>4.0349895014722961</v>
      </c>
      <c r="E592">
        <v>6.1940728929522866</v>
      </c>
      <c r="F592">
        <v>22.328213674387111</v>
      </c>
      <c r="G592">
        <v>22.75148361252365</v>
      </c>
      <c r="H592">
        <v>19.386834801164429</v>
      </c>
      <c r="I592">
        <v>1927.0149922015221</v>
      </c>
      <c r="J592">
        <v>40</v>
      </c>
      <c r="K592" t="s">
        <v>66</v>
      </c>
    </row>
    <row r="593" spans="1:11" x14ac:dyDescent="0.3">
      <c r="A593">
        <v>18.823976724066181</v>
      </c>
      <c r="B593">
        <v>0</v>
      </c>
      <c r="C593">
        <v>0.80632472974975355</v>
      </c>
      <c r="D593">
        <v>3.1023647527476101</v>
      </c>
      <c r="E593">
        <v>5.4964643414983838</v>
      </c>
      <c r="F593">
        <v>24.959639110675852</v>
      </c>
      <c r="G593">
        <v>20.72459883860742</v>
      </c>
      <c r="H593">
        <v>22.170613081140921</v>
      </c>
      <c r="I593">
        <v>2057.2119523938718</v>
      </c>
      <c r="J593">
        <v>13</v>
      </c>
      <c r="K593" t="s">
        <v>66</v>
      </c>
    </row>
    <row r="594" spans="1:11" x14ac:dyDescent="0.3">
      <c r="A594">
        <v>34.44180075022232</v>
      </c>
      <c r="B594">
        <v>1.051120259952498</v>
      </c>
      <c r="C594">
        <v>1.8581958084739021</v>
      </c>
      <c r="D594">
        <v>4.263981463486604</v>
      </c>
      <c r="E594">
        <v>6.500866422481705</v>
      </c>
      <c r="F594">
        <v>21.917392399526211</v>
      </c>
      <c r="G594">
        <v>25.207058815845951</v>
      </c>
      <c r="H594">
        <v>20.020636277184551</v>
      </c>
      <c r="I594">
        <v>1268.3841425235721</v>
      </c>
      <c r="J594">
        <v>45</v>
      </c>
      <c r="K594" t="s">
        <v>66</v>
      </c>
    </row>
    <row r="595" spans="1:11" x14ac:dyDescent="0.3">
      <c r="A595">
        <v>54.867664481715742</v>
      </c>
      <c r="B595">
        <v>2.0829731000723819</v>
      </c>
      <c r="C595">
        <v>2.389133849143219</v>
      </c>
      <c r="D595">
        <v>7.349963383902411</v>
      </c>
      <c r="E595">
        <v>6.261024293019962</v>
      </c>
      <c r="F595">
        <v>33.340626893845489</v>
      </c>
      <c r="G595">
        <v>21.531544367871081</v>
      </c>
      <c r="H595">
        <v>20.454233601091651</v>
      </c>
      <c r="I595">
        <v>1237.938702068159</v>
      </c>
      <c r="J595">
        <v>18</v>
      </c>
      <c r="K595" t="s">
        <v>66</v>
      </c>
    </row>
    <row r="596" spans="1:11" x14ac:dyDescent="0.3">
      <c r="A596">
        <v>131.51960842663979</v>
      </c>
      <c r="B596">
        <v>6.7078351250164259</v>
      </c>
      <c r="C596">
        <v>9.0966999369068038</v>
      </c>
      <c r="D596">
        <v>17.32686299937016</v>
      </c>
      <c r="E596">
        <v>5.1756746287528266</v>
      </c>
      <c r="F596">
        <v>19.828048252414568</v>
      </c>
      <c r="G596">
        <v>18.98559029304263</v>
      </c>
      <c r="H596">
        <v>20.841064180588361</v>
      </c>
      <c r="I596">
        <v>1904.8799066752399</v>
      </c>
      <c r="J596">
        <v>12</v>
      </c>
      <c r="K596" t="s">
        <v>66</v>
      </c>
    </row>
    <row r="597" spans="1:11" x14ac:dyDescent="0.3">
      <c r="A597">
        <v>37.955959164677687</v>
      </c>
      <c r="B597">
        <v>1.1747363197915559</v>
      </c>
      <c r="C597">
        <v>1.8858719139599771</v>
      </c>
      <c r="D597">
        <v>4.8683460965610417</v>
      </c>
      <c r="E597">
        <v>5.5065661068637706</v>
      </c>
      <c r="F597">
        <v>38.298372625005193</v>
      </c>
      <c r="G597">
        <v>25.934090497071779</v>
      </c>
      <c r="H597">
        <v>19.48165796966018</v>
      </c>
      <c r="I597">
        <v>2007.031714383749</v>
      </c>
      <c r="J597">
        <v>40</v>
      </c>
      <c r="K597" t="s">
        <v>66</v>
      </c>
    </row>
    <row r="598" spans="1:11" x14ac:dyDescent="0.3">
      <c r="A598">
        <v>124.3785278142329</v>
      </c>
      <c r="B598">
        <v>7.085583809839866</v>
      </c>
      <c r="C598">
        <v>8.8602747215655189</v>
      </c>
      <c r="D598">
        <v>22.48681159437432</v>
      </c>
      <c r="E598">
        <v>4.992918009146261</v>
      </c>
      <c r="F598">
        <v>54.107930157924677</v>
      </c>
      <c r="G598">
        <v>19.69358963708261</v>
      </c>
      <c r="H598">
        <v>21.04236853432138</v>
      </c>
      <c r="I598">
        <v>1646.2088207423569</v>
      </c>
      <c r="J598">
        <v>12</v>
      </c>
      <c r="K598" t="s">
        <v>66</v>
      </c>
    </row>
    <row r="599" spans="1:11" x14ac:dyDescent="0.3">
      <c r="A599">
        <v>48.618120937734638</v>
      </c>
      <c r="B599">
        <v>2.1418903634278079</v>
      </c>
      <c r="C599">
        <v>2.6723509101845728</v>
      </c>
      <c r="D599">
        <v>7.6878781999389592</v>
      </c>
      <c r="E599">
        <v>7.5</v>
      </c>
      <c r="F599">
        <v>45.878702428711243</v>
      </c>
      <c r="G599">
        <v>31.14347725270779</v>
      </c>
      <c r="H599">
        <v>22.386069305437051</v>
      </c>
      <c r="I599">
        <v>1336.518262117524</v>
      </c>
      <c r="J599">
        <v>25</v>
      </c>
      <c r="K599" t="s">
        <v>66</v>
      </c>
    </row>
    <row r="600" spans="1:11" x14ac:dyDescent="0.3">
      <c r="A600">
        <v>34</v>
      </c>
      <c r="B600">
        <v>1</v>
      </c>
      <c r="C600">
        <v>2</v>
      </c>
      <c r="D600">
        <v>5</v>
      </c>
      <c r="E600">
        <v>6.3</v>
      </c>
      <c r="F600">
        <v>21.8</v>
      </c>
      <c r="G600">
        <v>24.6</v>
      </c>
      <c r="H600">
        <v>20</v>
      </c>
      <c r="I600">
        <v>1265</v>
      </c>
      <c r="J600">
        <v>45</v>
      </c>
      <c r="K600" t="s">
        <v>67</v>
      </c>
    </row>
    <row r="601" spans="1:11" x14ac:dyDescent="0.3">
      <c r="A601">
        <v>89.379873608089667</v>
      </c>
      <c r="B601">
        <v>3.9327424725660838</v>
      </c>
      <c r="C601">
        <v>4.9009906516763841</v>
      </c>
      <c r="D601">
        <v>12.099943993496071</v>
      </c>
      <c r="E601">
        <v>6.2362201783032472</v>
      </c>
      <c r="F601">
        <v>36.344777975415433</v>
      </c>
      <c r="G601">
        <v>20.739361086828019</v>
      </c>
      <c r="H601">
        <v>29.746981630002779</v>
      </c>
      <c r="I601">
        <v>2109.5259530494118</v>
      </c>
      <c r="J601">
        <v>25</v>
      </c>
      <c r="K601" t="s">
        <v>66</v>
      </c>
    </row>
    <row r="602" spans="1:11" x14ac:dyDescent="0.3">
      <c r="A602">
        <v>330.70926635372041</v>
      </c>
      <c r="B602">
        <v>17.454115306719519</v>
      </c>
      <c r="C602">
        <v>26.017762757110919</v>
      </c>
      <c r="D602">
        <v>49.324185438840523</v>
      </c>
      <c r="E602">
        <v>6.3481865977772589</v>
      </c>
      <c r="F602">
        <v>34.033992326550923</v>
      </c>
      <c r="G602">
        <v>24.941260920367341</v>
      </c>
      <c r="H602">
        <v>21.78501233049947</v>
      </c>
      <c r="I602">
        <v>1350.7505054018809</v>
      </c>
      <c r="J602">
        <v>20</v>
      </c>
      <c r="K602" t="s">
        <v>66</v>
      </c>
    </row>
    <row r="603" spans="1:11" x14ac:dyDescent="0.3">
      <c r="A603">
        <v>5</v>
      </c>
      <c r="B603">
        <v>0</v>
      </c>
      <c r="C603">
        <v>0</v>
      </c>
      <c r="D603">
        <v>0</v>
      </c>
      <c r="E603">
        <v>6.3</v>
      </c>
      <c r="F603">
        <v>20</v>
      </c>
      <c r="G603">
        <v>17.7</v>
      </c>
      <c r="H603">
        <v>22.2</v>
      </c>
      <c r="I603">
        <v>1471</v>
      </c>
      <c r="J603">
        <v>30</v>
      </c>
      <c r="K603" t="s">
        <v>67</v>
      </c>
    </row>
    <row r="604" spans="1:11" x14ac:dyDescent="0.3">
      <c r="A604">
        <v>35.833757416833201</v>
      </c>
      <c r="B604">
        <v>1.051079208852759</v>
      </c>
      <c r="C604">
        <v>2.151902977497222</v>
      </c>
      <c r="D604">
        <v>5.1801843579524309</v>
      </c>
      <c r="E604">
        <v>5.438532459922655</v>
      </c>
      <c r="F604">
        <v>24.213826546068471</v>
      </c>
      <c r="G604">
        <v>20.339523507751188</v>
      </c>
      <c r="H604">
        <v>25.345907085604431</v>
      </c>
      <c r="I604">
        <v>1865.2038755175281</v>
      </c>
      <c r="J604">
        <v>20</v>
      </c>
      <c r="K604" t="s">
        <v>66</v>
      </c>
    </row>
    <row r="605" spans="1:11" x14ac:dyDescent="0.3">
      <c r="A605">
        <v>88.21181145829604</v>
      </c>
      <c r="B605">
        <v>4.1215274382419507</v>
      </c>
      <c r="C605">
        <v>6.7867004986815749</v>
      </c>
      <c r="D605">
        <v>16.3954403328671</v>
      </c>
      <c r="E605">
        <v>6.2565749365775378</v>
      </c>
      <c r="F605">
        <v>34.534032314243248</v>
      </c>
      <c r="G605">
        <v>21.64737100462823</v>
      </c>
      <c r="H605">
        <v>19.770200471309931</v>
      </c>
      <c r="I605">
        <v>1543.1259342108899</v>
      </c>
      <c r="J605">
        <v>40</v>
      </c>
      <c r="K605" t="s">
        <v>66</v>
      </c>
    </row>
    <row r="606" spans="1:11" x14ac:dyDescent="0.3">
      <c r="A606">
        <v>610.86843237151277</v>
      </c>
      <c r="B606">
        <v>30.039515492807901</v>
      </c>
      <c r="C606">
        <v>44.297332019080983</v>
      </c>
      <c r="D606">
        <v>87.909110038268082</v>
      </c>
      <c r="E606">
        <v>6.1825713677976983</v>
      </c>
      <c r="F606">
        <v>81.919758964593115</v>
      </c>
      <c r="G606">
        <v>29.91916119673121</v>
      </c>
      <c r="H606">
        <v>31.24843675570941</v>
      </c>
      <c r="I606">
        <v>11.35028951620273</v>
      </c>
      <c r="J606">
        <v>0</v>
      </c>
      <c r="K606" t="s">
        <v>66</v>
      </c>
    </row>
    <row r="607" spans="1:11" x14ac:dyDescent="0.3">
      <c r="A607">
        <v>73.066032997432472</v>
      </c>
      <c r="B607">
        <v>3.2017721103608192</v>
      </c>
      <c r="C607">
        <v>4.9730475754971302</v>
      </c>
      <c r="D607">
        <v>10.506602879819351</v>
      </c>
      <c r="E607">
        <v>6.1801798737300961</v>
      </c>
      <c r="F607">
        <v>17.224113148925181</v>
      </c>
      <c r="G607">
        <v>20.464134623724089</v>
      </c>
      <c r="H607">
        <v>18.74164207021019</v>
      </c>
      <c r="I607">
        <v>1664.6742319617661</v>
      </c>
      <c r="J607">
        <v>30</v>
      </c>
      <c r="K607" t="s">
        <v>66</v>
      </c>
    </row>
    <row r="608" spans="1:11" x14ac:dyDescent="0.3">
      <c r="A608">
        <v>114.06237107844851</v>
      </c>
      <c r="B608">
        <v>6.0085638407018607</v>
      </c>
      <c r="C608">
        <v>8.8726893364829582</v>
      </c>
      <c r="D608">
        <v>17.805556820358319</v>
      </c>
      <c r="E608">
        <v>4.3</v>
      </c>
      <c r="F608">
        <v>57.288230741910937</v>
      </c>
      <c r="G608">
        <v>19.844115413050279</v>
      </c>
      <c r="H608">
        <v>20.69231295333325</v>
      </c>
      <c r="I608">
        <v>1704.6014223905279</v>
      </c>
      <c r="J608">
        <v>12</v>
      </c>
      <c r="K608" t="s">
        <v>66</v>
      </c>
    </row>
    <row r="609" spans="1:11" x14ac:dyDescent="0.3">
      <c r="A609">
        <v>84.523032308667041</v>
      </c>
      <c r="B609">
        <v>2.7484242604658311</v>
      </c>
      <c r="C609">
        <v>4.7694151339826902</v>
      </c>
      <c r="D609">
        <v>11.62753081034692</v>
      </c>
      <c r="E609">
        <v>5.6134819152032689</v>
      </c>
      <c r="F609">
        <v>27.808265432082319</v>
      </c>
      <c r="G609">
        <v>18.680129301072061</v>
      </c>
      <c r="H609">
        <v>17.421554776750749</v>
      </c>
      <c r="I609">
        <v>1911.762474092719</v>
      </c>
      <c r="J609">
        <v>20</v>
      </c>
      <c r="K609" t="s">
        <v>66</v>
      </c>
    </row>
    <row r="610" spans="1:11" x14ac:dyDescent="0.3">
      <c r="A610">
        <v>328.16379431561512</v>
      </c>
      <c r="B610">
        <v>19.372662478342921</v>
      </c>
      <c r="C610">
        <v>22.763475854860221</v>
      </c>
      <c r="D610">
        <v>54.062851757335842</v>
      </c>
      <c r="E610">
        <v>5.0790435643704006</v>
      </c>
      <c r="F610">
        <v>78.299641887998831</v>
      </c>
      <c r="G610">
        <v>30.12182031421635</v>
      </c>
      <c r="H610">
        <v>32.29744477304714</v>
      </c>
      <c r="I610">
        <v>11.094762785476011</v>
      </c>
      <c r="J610">
        <v>0</v>
      </c>
      <c r="K610" t="s">
        <v>66</v>
      </c>
    </row>
    <row r="611" spans="1:11" x14ac:dyDescent="0.3">
      <c r="A611">
        <v>74.186249578040844</v>
      </c>
      <c r="B611">
        <v>2.8900478938895851</v>
      </c>
      <c r="C611">
        <v>4.2000572132455538</v>
      </c>
      <c r="D611">
        <v>9.138950327834424</v>
      </c>
      <c r="E611">
        <v>5.7026148032699524</v>
      </c>
      <c r="F611">
        <v>30.52297487894311</v>
      </c>
      <c r="G611">
        <v>19.46859908959615</v>
      </c>
      <c r="H611">
        <v>20.56169215647693</v>
      </c>
      <c r="I611">
        <v>1542.0776267163169</v>
      </c>
      <c r="J611">
        <v>25</v>
      </c>
      <c r="K611" t="s">
        <v>66</v>
      </c>
    </row>
    <row r="612" spans="1:11" x14ac:dyDescent="0.3">
      <c r="A612">
        <v>18.73215867240058</v>
      </c>
      <c r="B612">
        <v>0</v>
      </c>
      <c r="C612">
        <v>0.87609472974733571</v>
      </c>
      <c r="D612">
        <v>1.9185079785416801</v>
      </c>
      <c r="E612">
        <v>6.2453542382755218</v>
      </c>
      <c r="F612">
        <v>21.716149369309619</v>
      </c>
      <c r="G612">
        <v>23.21298652517422</v>
      </c>
      <c r="H612">
        <v>29.099780002871761</v>
      </c>
      <c r="I612">
        <v>1999.927451624869</v>
      </c>
      <c r="J612">
        <v>25</v>
      </c>
      <c r="K612" t="s">
        <v>66</v>
      </c>
    </row>
    <row r="613" spans="1:11" x14ac:dyDescent="0.3">
      <c r="A613">
        <v>54</v>
      </c>
      <c r="B613">
        <v>2</v>
      </c>
      <c r="C613">
        <v>3</v>
      </c>
      <c r="D613">
        <v>8</v>
      </c>
      <c r="E613">
        <v>5</v>
      </c>
      <c r="F613">
        <v>33.5</v>
      </c>
      <c r="G613">
        <v>24.1</v>
      </c>
      <c r="H613">
        <v>26.8</v>
      </c>
      <c r="I613">
        <v>1987</v>
      </c>
      <c r="J613">
        <v>20</v>
      </c>
      <c r="K613" t="s">
        <v>67</v>
      </c>
    </row>
    <row r="614" spans="1:11" x14ac:dyDescent="0.3">
      <c r="A614">
        <v>53.145465814380778</v>
      </c>
      <c r="B614">
        <v>2.0319712783994799</v>
      </c>
      <c r="C614">
        <v>2.1211653929993202</v>
      </c>
      <c r="D614">
        <v>7.5205562428781212</v>
      </c>
      <c r="E614">
        <v>7.5</v>
      </c>
      <c r="F614">
        <v>42.64584122401596</v>
      </c>
      <c r="G614">
        <v>30.375173732495981</v>
      </c>
      <c r="H614">
        <v>23.229493620124121</v>
      </c>
      <c r="I614">
        <v>1421.2963821614219</v>
      </c>
      <c r="J614">
        <v>25</v>
      </c>
      <c r="K614" t="s">
        <v>66</v>
      </c>
    </row>
    <row r="615" spans="1:11" x14ac:dyDescent="0.3">
      <c r="A615">
        <v>125.6652721289522</v>
      </c>
      <c r="B615">
        <v>6.2695312327710209</v>
      </c>
      <c r="C615">
        <v>7.0237434480448204</v>
      </c>
      <c r="D615">
        <v>21.28460247002235</v>
      </c>
      <c r="E615">
        <v>6.1883676875288796</v>
      </c>
      <c r="F615">
        <v>18.321740329044701</v>
      </c>
      <c r="G615">
        <v>29.82227269748396</v>
      </c>
      <c r="H615">
        <v>30.86963452526243</v>
      </c>
      <c r="I615">
        <v>47.157738494251298</v>
      </c>
      <c r="J615">
        <v>0</v>
      </c>
      <c r="K615" t="s">
        <v>66</v>
      </c>
    </row>
    <row r="616" spans="1:11" x14ac:dyDescent="0.3">
      <c r="A616">
        <v>27.228637112448709</v>
      </c>
      <c r="B616">
        <v>0.99689410671290979</v>
      </c>
      <c r="C616">
        <v>0.99660747740720912</v>
      </c>
      <c r="D616">
        <v>4.0288612947287046</v>
      </c>
      <c r="E616">
        <v>5.3177298799662749</v>
      </c>
      <c r="F616">
        <v>29.805490421957099</v>
      </c>
      <c r="G616">
        <v>18.920055593489259</v>
      </c>
      <c r="H616">
        <v>25.451537959440461</v>
      </c>
      <c r="I616">
        <v>1820.6621050264839</v>
      </c>
      <c r="J616">
        <v>20</v>
      </c>
      <c r="K616" t="s">
        <v>66</v>
      </c>
    </row>
    <row r="617" spans="1:11" x14ac:dyDescent="0.3">
      <c r="A617">
        <v>51.950341813805018</v>
      </c>
      <c r="B617">
        <v>2.070289641508317</v>
      </c>
      <c r="C617">
        <v>3.2346390004594379</v>
      </c>
      <c r="D617">
        <v>8.2883147160144635</v>
      </c>
      <c r="E617">
        <v>6.4959081672805699</v>
      </c>
      <c r="F617">
        <v>33.017348310442287</v>
      </c>
      <c r="G617">
        <v>21.160780762013189</v>
      </c>
      <c r="H617">
        <v>18.725583754472691</v>
      </c>
      <c r="I617">
        <v>1279.9432348018149</v>
      </c>
      <c r="J617">
        <v>18</v>
      </c>
      <c r="K617" t="s">
        <v>66</v>
      </c>
    </row>
    <row r="618" spans="1:11" x14ac:dyDescent="0.3">
      <c r="A618">
        <v>83.464808602508782</v>
      </c>
      <c r="B618">
        <v>3.8884466423396979</v>
      </c>
      <c r="C618">
        <v>4.9313049513206204</v>
      </c>
      <c r="D618">
        <v>15.335719143019279</v>
      </c>
      <c r="E618">
        <v>6.8478984818388282</v>
      </c>
      <c r="F618">
        <v>13.9</v>
      </c>
      <c r="G618">
        <v>32.519473000242833</v>
      </c>
      <c r="H618">
        <v>30.77972759431637</v>
      </c>
      <c r="I618">
        <v>47.984939551913342</v>
      </c>
      <c r="J618">
        <v>0</v>
      </c>
      <c r="K618" t="s">
        <v>66</v>
      </c>
    </row>
    <row r="619" spans="1:11" x14ac:dyDescent="0.3">
      <c r="A619">
        <v>29</v>
      </c>
      <c r="B619">
        <v>1</v>
      </c>
      <c r="C619">
        <v>2</v>
      </c>
      <c r="D619">
        <v>4</v>
      </c>
      <c r="E619">
        <v>5.9</v>
      </c>
      <c r="F619">
        <v>22.1</v>
      </c>
      <c r="G619">
        <v>16.899999999999999</v>
      </c>
      <c r="H619">
        <v>21</v>
      </c>
      <c r="I619">
        <v>1751</v>
      </c>
      <c r="J619">
        <v>35</v>
      </c>
      <c r="K619" t="s">
        <v>67</v>
      </c>
    </row>
    <row r="620" spans="1:11" x14ac:dyDescent="0.3">
      <c r="A620">
        <v>493.40113728660879</v>
      </c>
      <c r="B620">
        <v>26.06471801548259</v>
      </c>
      <c r="C620">
        <v>35.121498120633973</v>
      </c>
      <c r="D620">
        <v>78.863890339111819</v>
      </c>
      <c r="E620">
        <v>5.4335310574515212</v>
      </c>
      <c r="F620">
        <v>69.036349092209946</v>
      </c>
      <c r="G620">
        <v>29.76082170367167</v>
      </c>
      <c r="H620">
        <v>30.779299622198451</v>
      </c>
      <c r="I620">
        <v>11.12620453192088</v>
      </c>
      <c r="J620">
        <v>0</v>
      </c>
      <c r="K620" t="s">
        <v>66</v>
      </c>
    </row>
    <row r="621" spans="1:11" x14ac:dyDescent="0.3">
      <c r="A621">
        <v>62.908524667225912</v>
      </c>
      <c r="B621">
        <v>2.926181253561015</v>
      </c>
      <c r="C621">
        <v>3.326936522350926</v>
      </c>
      <c r="D621">
        <v>10.564842358600121</v>
      </c>
      <c r="E621">
        <v>5.9718069682853496</v>
      </c>
      <c r="F621">
        <v>18.523469215135052</v>
      </c>
      <c r="G621">
        <v>22.808437522637568</v>
      </c>
      <c r="H621">
        <v>20.273306005540149</v>
      </c>
      <c r="I621">
        <v>1632.163753849783</v>
      </c>
      <c r="J621">
        <v>30</v>
      </c>
      <c r="K621" t="s">
        <v>66</v>
      </c>
    </row>
    <row r="622" spans="1:11" x14ac:dyDescent="0.3">
      <c r="A622">
        <v>40</v>
      </c>
      <c r="B622">
        <v>1</v>
      </c>
      <c r="C622">
        <v>2</v>
      </c>
      <c r="D622">
        <v>6</v>
      </c>
      <c r="E622">
        <v>5.5</v>
      </c>
      <c r="F622">
        <v>29.3</v>
      </c>
      <c r="G622">
        <v>17</v>
      </c>
      <c r="H622">
        <v>21</v>
      </c>
      <c r="I622">
        <v>1751</v>
      </c>
      <c r="J622">
        <v>35</v>
      </c>
      <c r="K622" t="s">
        <v>67</v>
      </c>
    </row>
    <row r="623" spans="1:11" x14ac:dyDescent="0.3">
      <c r="A623">
        <v>3.7633482974668451</v>
      </c>
      <c r="B623">
        <v>0</v>
      </c>
      <c r="C623">
        <v>0</v>
      </c>
      <c r="D623">
        <v>0</v>
      </c>
      <c r="E623">
        <v>6.3515421822300908</v>
      </c>
      <c r="F623">
        <v>22.433201917451161</v>
      </c>
      <c r="G623">
        <v>17.664337555113221</v>
      </c>
      <c r="H623">
        <v>24.53649897070553</v>
      </c>
      <c r="I623">
        <v>1417.126407156416</v>
      </c>
      <c r="J623">
        <v>30</v>
      </c>
      <c r="K623" t="s">
        <v>66</v>
      </c>
    </row>
    <row r="624" spans="1:11" x14ac:dyDescent="0.3">
      <c r="A624">
        <v>30.277020458797359</v>
      </c>
      <c r="B624">
        <v>0.86645184309001089</v>
      </c>
      <c r="C624">
        <v>1.9380700572023879</v>
      </c>
      <c r="D624">
        <v>3.8688774160493908</v>
      </c>
      <c r="E624">
        <v>5.7043405605262798</v>
      </c>
      <c r="F624">
        <v>28.851708114112999</v>
      </c>
      <c r="G624">
        <v>27.080922644219921</v>
      </c>
      <c r="H624">
        <v>18.83406410709792</v>
      </c>
      <c r="I624">
        <v>1857.8098530797049</v>
      </c>
      <c r="J624">
        <v>40</v>
      </c>
      <c r="K624" t="s">
        <v>66</v>
      </c>
    </row>
    <row r="625" spans="1:11" x14ac:dyDescent="0.3">
      <c r="A625">
        <v>123.70161044519649</v>
      </c>
      <c r="B625">
        <v>5.1797173161238534</v>
      </c>
      <c r="C625">
        <v>7.9189754250387736</v>
      </c>
      <c r="D625">
        <v>23.34453180819505</v>
      </c>
      <c r="E625">
        <v>6.0389681559764252</v>
      </c>
      <c r="F625">
        <v>17.985979714651659</v>
      </c>
      <c r="G625">
        <v>23.57485396716795</v>
      </c>
      <c r="H625">
        <v>25.30667465673433</v>
      </c>
      <c r="I625">
        <v>676.5632045892163</v>
      </c>
      <c r="J625">
        <v>25</v>
      </c>
      <c r="K625" t="s">
        <v>66</v>
      </c>
    </row>
    <row r="626" spans="1:11" x14ac:dyDescent="0.3">
      <c r="A626">
        <v>20.744141974453139</v>
      </c>
      <c r="B626">
        <v>0.95164385161534626</v>
      </c>
      <c r="C626">
        <v>0.88110365804650381</v>
      </c>
      <c r="D626">
        <v>2.7222330288326551</v>
      </c>
      <c r="E626">
        <v>6.0244750157027003</v>
      </c>
      <c r="F626">
        <v>27.260812576885058</v>
      </c>
      <c r="G626">
        <v>23.92522673133049</v>
      </c>
      <c r="H626">
        <v>23.16668209664498</v>
      </c>
      <c r="I626">
        <v>1681.903327543208</v>
      </c>
      <c r="J626">
        <v>17</v>
      </c>
      <c r="K626" t="s">
        <v>66</v>
      </c>
    </row>
    <row r="627" spans="1:11" x14ac:dyDescent="0.3">
      <c r="A627">
        <v>26.38587947572864</v>
      </c>
      <c r="B627">
        <v>1.034005129456889</v>
      </c>
      <c r="C627">
        <v>1.0231842092134851</v>
      </c>
      <c r="D627">
        <v>3.238022218395745</v>
      </c>
      <c r="E627">
        <v>6.2403206723359501</v>
      </c>
      <c r="F627">
        <v>25.7015275833479</v>
      </c>
      <c r="G627">
        <v>25.636515844895399</v>
      </c>
      <c r="H627">
        <v>19.298199176081422</v>
      </c>
      <c r="I627">
        <v>1842.4538803954711</v>
      </c>
      <c r="J627">
        <v>40</v>
      </c>
      <c r="K627" t="s">
        <v>66</v>
      </c>
    </row>
    <row r="628" spans="1:11" x14ac:dyDescent="0.3">
      <c r="A628">
        <v>30.77224389937912</v>
      </c>
      <c r="B628">
        <v>1.051308542009729</v>
      </c>
      <c r="C628">
        <v>2.2292881740801449</v>
      </c>
      <c r="D628">
        <v>5.4136180538287118</v>
      </c>
      <c r="E628">
        <v>5.820709383687575</v>
      </c>
      <c r="F628">
        <v>29.25238179667048</v>
      </c>
      <c r="G628">
        <v>22.362758518258779</v>
      </c>
      <c r="H628">
        <v>27.58136835239377</v>
      </c>
      <c r="I628">
        <v>1589.52897894489</v>
      </c>
      <c r="J628">
        <v>18</v>
      </c>
      <c r="K628" t="s">
        <v>66</v>
      </c>
    </row>
    <row r="629" spans="1:11" x14ac:dyDescent="0.3">
      <c r="A629">
        <v>70.507779313750717</v>
      </c>
      <c r="B629">
        <v>3.270683152135994</v>
      </c>
      <c r="C629">
        <v>3.6448921953845841</v>
      </c>
      <c r="D629">
        <v>9.6134583841022394</v>
      </c>
      <c r="E629">
        <v>5.7590213602891733</v>
      </c>
      <c r="F629">
        <v>30.299046548130029</v>
      </c>
      <c r="G629">
        <v>18.74940102719432</v>
      </c>
      <c r="H629">
        <v>21.13813324872325</v>
      </c>
      <c r="I629">
        <v>1596.9894170582361</v>
      </c>
      <c r="J629">
        <v>25</v>
      </c>
      <c r="K629" t="s">
        <v>66</v>
      </c>
    </row>
    <row r="630" spans="1:11" x14ac:dyDescent="0.3">
      <c r="A630">
        <v>42.246830437964952</v>
      </c>
      <c r="B630">
        <v>1.8767277183921049</v>
      </c>
      <c r="C630">
        <v>3.0052839755800971</v>
      </c>
      <c r="D630">
        <v>7.5177728276824833</v>
      </c>
      <c r="E630">
        <v>5.8345080292177958</v>
      </c>
      <c r="F630">
        <v>22.475202168746542</v>
      </c>
      <c r="G630">
        <v>21.650285204758681</v>
      </c>
      <c r="H630">
        <v>21.34138585234998</v>
      </c>
      <c r="I630">
        <v>1545.5953424055381</v>
      </c>
      <c r="J630">
        <v>18</v>
      </c>
      <c r="K630" t="s">
        <v>66</v>
      </c>
    </row>
    <row r="631" spans="1:11" x14ac:dyDescent="0.3">
      <c r="A631">
        <v>5.5159315806369777</v>
      </c>
      <c r="B631">
        <v>0</v>
      </c>
      <c r="C631">
        <v>0</v>
      </c>
      <c r="D631">
        <v>0</v>
      </c>
      <c r="E631">
        <v>6.2498163377736384</v>
      </c>
      <c r="F631">
        <v>23.534368755624971</v>
      </c>
      <c r="G631">
        <v>29.243962936981259</v>
      </c>
      <c r="H631">
        <v>34.5</v>
      </c>
      <c r="I631">
        <v>1846.796772321864</v>
      </c>
      <c r="J631">
        <v>26</v>
      </c>
      <c r="K631" t="s">
        <v>66</v>
      </c>
    </row>
    <row r="632" spans="1:11" x14ac:dyDescent="0.3">
      <c r="A632">
        <v>44.150521745250529</v>
      </c>
      <c r="B632">
        <v>1.008382662792936</v>
      </c>
      <c r="C632">
        <v>1.8778284720389871</v>
      </c>
      <c r="D632">
        <v>5.1038941330481133</v>
      </c>
      <c r="E632">
        <v>5.8723974600203617</v>
      </c>
      <c r="F632">
        <v>26.112821297074991</v>
      </c>
      <c r="G632">
        <v>19.76847396330167</v>
      </c>
      <c r="H632">
        <v>19.57792293227152</v>
      </c>
      <c r="I632">
        <v>1956.1571820058321</v>
      </c>
      <c r="J632">
        <v>40</v>
      </c>
      <c r="K632" t="s">
        <v>66</v>
      </c>
    </row>
    <row r="633" spans="1:11" x14ac:dyDescent="0.3">
      <c r="A633">
        <v>187.02714053089139</v>
      </c>
      <c r="B633">
        <v>11.686733102343069</v>
      </c>
      <c r="C633">
        <v>12.00274552337221</v>
      </c>
      <c r="D633">
        <v>26.12152378048641</v>
      </c>
      <c r="E633">
        <v>6.2156809431635258</v>
      </c>
      <c r="F633">
        <v>25.421386185052281</v>
      </c>
      <c r="G633">
        <v>29.136671208318429</v>
      </c>
      <c r="H633">
        <v>31.28175494597382</v>
      </c>
      <c r="I633">
        <v>14.123411891242849</v>
      </c>
      <c r="J633">
        <v>0</v>
      </c>
      <c r="K633" t="s">
        <v>66</v>
      </c>
    </row>
    <row r="634" spans="1:11" x14ac:dyDescent="0.3">
      <c r="A634">
        <v>62.358890199626217</v>
      </c>
      <c r="B634">
        <v>2.913765744179893</v>
      </c>
      <c r="C634">
        <v>4.2631052704601498</v>
      </c>
      <c r="D634">
        <v>10.551964259331831</v>
      </c>
      <c r="E634">
        <v>6.1454630787505664</v>
      </c>
      <c r="F634">
        <v>36.760139624914864</v>
      </c>
      <c r="G634">
        <v>20.035391607143382</v>
      </c>
      <c r="H634">
        <v>27.734262590344919</v>
      </c>
      <c r="I634">
        <v>2055.3014592264831</v>
      </c>
      <c r="J634">
        <v>25</v>
      </c>
      <c r="K634" t="s">
        <v>66</v>
      </c>
    </row>
    <row r="635" spans="1:11" x14ac:dyDescent="0.3">
      <c r="A635">
        <v>23.892317166855332</v>
      </c>
      <c r="B635">
        <v>1.262079309102998</v>
      </c>
      <c r="C635">
        <v>0.95212414284783109</v>
      </c>
      <c r="D635">
        <v>2.914548918677339</v>
      </c>
      <c r="E635">
        <v>6.0057925286878664</v>
      </c>
      <c r="F635">
        <v>29.97590140347798</v>
      </c>
      <c r="G635">
        <v>25.691479692541758</v>
      </c>
      <c r="H635">
        <v>26.07698798945556</v>
      </c>
      <c r="I635">
        <v>1431.2551464750691</v>
      </c>
      <c r="J635">
        <v>7</v>
      </c>
      <c r="K635" t="s">
        <v>66</v>
      </c>
    </row>
    <row r="636" spans="1:11" x14ac:dyDescent="0.3">
      <c r="A636">
        <v>331.27351658929229</v>
      </c>
      <c r="B636">
        <v>17.90886944640814</v>
      </c>
      <c r="C636">
        <v>25.905164321145161</v>
      </c>
      <c r="D636">
        <v>48.704069324261432</v>
      </c>
      <c r="E636">
        <v>5.2326694676308696</v>
      </c>
      <c r="F636">
        <v>75.783145301821023</v>
      </c>
      <c r="G636">
        <v>28.898273802560851</v>
      </c>
      <c r="H636">
        <v>30.596983983771391</v>
      </c>
      <c r="I636">
        <v>11.28745575524491</v>
      </c>
      <c r="J636">
        <v>0</v>
      </c>
      <c r="K636" t="s">
        <v>66</v>
      </c>
    </row>
    <row r="637" spans="1:11" x14ac:dyDescent="0.3">
      <c r="A637">
        <v>64.229011959102053</v>
      </c>
      <c r="B637">
        <v>3.5413044329360228</v>
      </c>
      <c r="C637">
        <v>3.6024549300660591</v>
      </c>
      <c r="D637">
        <v>10.03390272368234</v>
      </c>
      <c r="E637">
        <v>5.6417637047170706</v>
      </c>
      <c r="F637">
        <v>46.476646587721618</v>
      </c>
      <c r="G637">
        <v>19.66512004420553</v>
      </c>
      <c r="H637">
        <v>20.75913655639863</v>
      </c>
      <c r="I637">
        <v>1805.8131274639061</v>
      </c>
      <c r="J637">
        <v>10</v>
      </c>
      <c r="K637" t="s">
        <v>66</v>
      </c>
    </row>
    <row r="638" spans="1:11" x14ac:dyDescent="0.3">
      <c r="A638">
        <v>69</v>
      </c>
      <c r="B638">
        <v>3</v>
      </c>
      <c r="C638">
        <v>4</v>
      </c>
      <c r="D638">
        <v>11</v>
      </c>
      <c r="E638">
        <v>5.5</v>
      </c>
      <c r="F638">
        <v>26.9</v>
      </c>
      <c r="G638">
        <v>18.100000000000001</v>
      </c>
      <c r="H638">
        <v>21</v>
      </c>
      <c r="I638">
        <v>1731</v>
      </c>
      <c r="J638">
        <v>25</v>
      </c>
      <c r="K638" t="s">
        <v>67</v>
      </c>
    </row>
    <row r="639" spans="1:11" x14ac:dyDescent="0.3">
      <c r="A639">
        <v>335.20879697996259</v>
      </c>
      <c r="B639">
        <v>15.99299487539151</v>
      </c>
      <c r="C639">
        <v>28.078646359220901</v>
      </c>
      <c r="D639">
        <v>61.845108381953906</v>
      </c>
      <c r="E639">
        <v>6.3932329504737933</v>
      </c>
      <c r="F639">
        <v>36.376335321953547</v>
      </c>
      <c r="G639">
        <v>26.21037454525845</v>
      </c>
      <c r="H639">
        <v>22.300396611426681</v>
      </c>
      <c r="I639">
        <v>1314.888212902604</v>
      </c>
      <c r="J639">
        <v>20</v>
      </c>
      <c r="K639" t="s">
        <v>66</v>
      </c>
    </row>
    <row r="640" spans="1:11" x14ac:dyDescent="0.3">
      <c r="A640">
        <v>88.991251748481957</v>
      </c>
      <c r="B640">
        <v>3.2321307375209369</v>
      </c>
      <c r="C640">
        <v>5.0361394826921444</v>
      </c>
      <c r="D640">
        <v>15.468355475761809</v>
      </c>
      <c r="E640">
        <v>5.9756508033910558</v>
      </c>
      <c r="F640">
        <v>22.340775400499808</v>
      </c>
      <c r="G640">
        <v>21.121116312843849</v>
      </c>
      <c r="H640">
        <v>18.37810337119938</v>
      </c>
      <c r="I640">
        <v>1635.5929239322611</v>
      </c>
      <c r="J640">
        <v>30</v>
      </c>
      <c r="K640" t="s">
        <v>66</v>
      </c>
    </row>
    <row r="641" spans="1:11" x14ac:dyDescent="0.3">
      <c r="A641">
        <v>11.82583527348681</v>
      </c>
      <c r="B641">
        <v>0</v>
      </c>
      <c r="C641">
        <v>0</v>
      </c>
      <c r="D641">
        <v>1.149809763348778</v>
      </c>
      <c r="E641">
        <v>6.4665434903170453</v>
      </c>
      <c r="F641">
        <v>26.870947783893492</v>
      </c>
      <c r="G641">
        <v>18.926572901647589</v>
      </c>
      <c r="H641">
        <v>29.68502692768384</v>
      </c>
      <c r="I641">
        <v>2172.2704525599879</v>
      </c>
      <c r="J641">
        <v>15</v>
      </c>
      <c r="K641" t="s">
        <v>66</v>
      </c>
    </row>
    <row r="642" spans="1:11" x14ac:dyDescent="0.3">
      <c r="A642">
        <v>53.607168053781677</v>
      </c>
      <c r="B642">
        <v>2.9391058087813029</v>
      </c>
      <c r="C642">
        <v>3.373740787357761</v>
      </c>
      <c r="D642">
        <v>8.6750916990726878</v>
      </c>
      <c r="E642">
        <v>5.9887826891372233</v>
      </c>
      <c r="F642">
        <v>35.821856635613997</v>
      </c>
      <c r="G642">
        <v>17.3569972676022</v>
      </c>
      <c r="H642">
        <v>18.622037460919529</v>
      </c>
      <c r="I642">
        <v>2104.4378985656872</v>
      </c>
      <c r="J642">
        <v>20</v>
      </c>
      <c r="K642" t="s">
        <v>66</v>
      </c>
    </row>
    <row r="643" spans="1:11" x14ac:dyDescent="0.3">
      <c r="A643">
        <v>95.834897545748049</v>
      </c>
      <c r="B643">
        <v>5.1989635249734043</v>
      </c>
      <c r="C643">
        <v>6.9597375728961746</v>
      </c>
      <c r="D643">
        <v>14.98970075602691</v>
      </c>
      <c r="E643">
        <v>6.2770469957561694</v>
      </c>
      <c r="F643">
        <v>24.635379696559099</v>
      </c>
      <c r="G643">
        <v>20.4846009411762</v>
      </c>
      <c r="H643">
        <v>28.642946730052941</v>
      </c>
      <c r="I643">
        <v>2054.95484045178</v>
      </c>
      <c r="J643">
        <v>30</v>
      </c>
      <c r="K643" t="s">
        <v>66</v>
      </c>
    </row>
    <row r="644" spans="1:11" x14ac:dyDescent="0.3">
      <c r="A644">
        <v>73.545336119326763</v>
      </c>
      <c r="B644">
        <v>3.5001672334653411</v>
      </c>
      <c r="C644">
        <v>4.5771634477529437</v>
      </c>
      <c r="D644">
        <v>10.22210307413836</v>
      </c>
      <c r="E644">
        <v>5.3413898608277011</v>
      </c>
      <c r="F644">
        <v>32.914364804334809</v>
      </c>
      <c r="G644">
        <v>17.275095372472549</v>
      </c>
      <c r="H644">
        <v>18.125103249465329</v>
      </c>
      <c r="I644">
        <v>1850.3276061049221</v>
      </c>
      <c r="J644">
        <v>20</v>
      </c>
      <c r="K644" t="s">
        <v>66</v>
      </c>
    </row>
    <row r="645" spans="1:11" x14ac:dyDescent="0.3">
      <c r="A645">
        <v>32.432730921247739</v>
      </c>
      <c r="B645">
        <v>1.241261542161292</v>
      </c>
      <c r="C645">
        <v>2.1716028390604292</v>
      </c>
      <c r="D645">
        <v>4.4730822523178269</v>
      </c>
      <c r="E645">
        <v>5.6454359916442298</v>
      </c>
      <c r="F645">
        <v>28.71222851241205</v>
      </c>
      <c r="G645">
        <v>23.905310799073462</v>
      </c>
      <c r="H645">
        <v>26.935322185674881</v>
      </c>
      <c r="I645">
        <v>1608.9070454234229</v>
      </c>
      <c r="J645">
        <v>18</v>
      </c>
      <c r="K645" t="s">
        <v>66</v>
      </c>
    </row>
    <row r="646" spans="1:11" x14ac:dyDescent="0.3">
      <c r="A646">
        <v>21.387106974316541</v>
      </c>
      <c r="B646">
        <v>1.048186606171849</v>
      </c>
      <c r="C646">
        <v>0.93923536546265274</v>
      </c>
      <c r="D646">
        <v>2.9565364314156342</v>
      </c>
      <c r="E646">
        <v>5.9280432006214552</v>
      </c>
      <c r="F646">
        <v>20.338830869581461</v>
      </c>
      <c r="G646">
        <v>20.0329977333659</v>
      </c>
      <c r="H646">
        <v>20.654117343325911</v>
      </c>
      <c r="I646">
        <v>2050.461378527229</v>
      </c>
      <c r="J646">
        <v>40</v>
      </c>
      <c r="K646" t="s">
        <v>66</v>
      </c>
    </row>
    <row r="647" spans="1:11" x14ac:dyDescent="0.3">
      <c r="A647">
        <v>6.8141959294778882</v>
      </c>
      <c r="B647">
        <v>0</v>
      </c>
      <c r="C647">
        <v>0</v>
      </c>
      <c r="D647">
        <v>0.89638564280248034</v>
      </c>
      <c r="E647">
        <v>6.5844679161105431</v>
      </c>
      <c r="F647">
        <v>27.440396460420359</v>
      </c>
      <c r="G647">
        <v>22.7248329520665</v>
      </c>
      <c r="H647">
        <v>19.842295700322559</v>
      </c>
      <c r="I647">
        <v>1622.9894746797629</v>
      </c>
      <c r="J647">
        <v>25</v>
      </c>
      <c r="K647" t="s">
        <v>66</v>
      </c>
    </row>
    <row r="648" spans="1:11" x14ac:dyDescent="0.3">
      <c r="A648">
        <v>39.030379142783858</v>
      </c>
      <c r="B648">
        <v>0.95483405238403773</v>
      </c>
      <c r="C648">
        <v>2.4195878678264862</v>
      </c>
      <c r="D648">
        <v>5.6168485049129817</v>
      </c>
      <c r="E648">
        <v>6.1963201564086772</v>
      </c>
      <c r="F648">
        <v>25.027190165969461</v>
      </c>
      <c r="G648">
        <v>17.05504089529515</v>
      </c>
      <c r="H648">
        <v>23.98873190940839</v>
      </c>
      <c r="I648">
        <v>1480.3858474427241</v>
      </c>
      <c r="J648">
        <v>30</v>
      </c>
      <c r="K648" t="s">
        <v>66</v>
      </c>
    </row>
    <row r="649" spans="1:11" x14ac:dyDescent="0.3">
      <c r="A649">
        <v>41.277175020236633</v>
      </c>
      <c r="B649">
        <v>1.049822174849679</v>
      </c>
      <c r="C649">
        <v>1.8435993014977929</v>
      </c>
      <c r="D649">
        <v>5.4547381975152156</v>
      </c>
      <c r="E649">
        <v>6.4191819077258847</v>
      </c>
      <c r="F649">
        <v>30.603996363051682</v>
      </c>
      <c r="G649">
        <v>17.749446829945171</v>
      </c>
      <c r="H649">
        <v>24.622726783733391</v>
      </c>
      <c r="I649">
        <v>1443.9631406602009</v>
      </c>
      <c r="J649">
        <v>30</v>
      </c>
      <c r="K649" t="s">
        <v>66</v>
      </c>
    </row>
    <row r="650" spans="1:11" x14ac:dyDescent="0.3">
      <c r="A650">
        <v>29.819305851453979</v>
      </c>
      <c r="B650">
        <v>1.049986412374037</v>
      </c>
      <c r="C650">
        <v>1.1220282896417719</v>
      </c>
      <c r="D650">
        <v>4.0411669562092953</v>
      </c>
      <c r="E650">
        <v>5.4858516962985604</v>
      </c>
      <c r="F650">
        <v>31.49312278567421</v>
      </c>
      <c r="G650">
        <v>18.718655106239378</v>
      </c>
      <c r="H650">
        <v>26.419621256464659</v>
      </c>
      <c r="I650">
        <v>1885.0593711136039</v>
      </c>
      <c r="J650">
        <v>20</v>
      </c>
      <c r="K650" t="s">
        <v>66</v>
      </c>
    </row>
    <row r="651" spans="1:11" x14ac:dyDescent="0.3">
      <c r="A651">
        <v>89.790769454152979</v>
      </c>
      <c r="B651">
        <v>3.2615248551047631</v>
      </c>
      <c r="C651">
        <v>5.48190383702104</v>
      </c>
      <c r="D651">
        <v>14.92334405742479</v>
      </c>
      <c r="E651">
        <v>6.8482991968545006</v>
      </c>
      <c r="F651">
        <v>13.9</v>
      </c>
      <c r="G651">
        <v>31.001115347756031</v>
      </c>
      <c r="H651">
        <v>32.000113215607257</v>
      </c>
      <c r="I651">
        <v>49.387056275769417</v>
      </c>
      <c r="J651">
        <v>0</v>
      </c>
      <c r="K651" t="s">
        <v>66</v>
      </c>
    </row>
    <row r="652" spans="1:11" x14ac:dyDescent="0.3">
      <c r="A652">
        <v>57.130190469083473</v>
      </c>
      <c r="B652">
        <v>1.8003878745371169</v>
      </c>
      <c r="C652">
        <v>3.0655602127232839</v>
      </c>
      <c r="D652">
        <v>6.5369209902392953</v>
      </c>
      <c r="E652">
        <v>6.0774847240533143</v>
      </c>
      <c r="F652">
        <v>27.976119263288432</v>
      </c>
      <c r="G652">
        <v>16.794807951603939</v>
      </c>
      <c r="H652">
        <v>21.023667120985571</v>
      </c>
      <c r="I652">
        <v>1693.339064098154</v>
      </c>
      <c r="J652">
        <v>25</v>
      </c>
      <c r="K652" t="s">
        <v>66</v>
      </c>
    </row>
    <row r="653" spans="1:11" x14ac:dyDescent="0.3">
      <c r="A653">
        <v>6.6046026008698338</v>
      </c>
      <c r="B653">
        <v>0</v>
      </c>
      <c r="C653">
        <v>0</v>
      </c>
      <c r="D653">
        <v>0.88744128859680305</v>
      </c>
      <c r="E653">
        <v>6.772846621385149</v>
      </c>
      <c r="F653">
        <v>24.974491893879179</v>
      </c>
      <c r="G653">
        <v>22.74516724599</v>
      </c>
      <c r="H653">
        <v>19.249263250773399</v>
      </c>
      <c r="I653">
        <v>1620.3637005183241</v>
      </c>
      <c r="J653">
        <v>25</v>
      </c>
      <c r="K653" t="s">
        <v>66</v>
      </c>
    </row>
    <row r="654" spans="1:11" x14ac:dyDescent="0.3">
      <c r="A654">
        <v>13.96897198895247</v>
      </c>
      <c r="B654">
        <v>0</v>
      </c>
      <c r="C654">
        <v>0</v>
      </c>
      <c r="D654">
        <v>1.693496344634067</v>
      </c>
      <c r="E654">
        <v>5.4479676784774238</v>
      </c>
      <c r="F654">
        <v>26.59255882360387</v>
      </c>
      <c r="G654">
        <v>19.64772665384433</v>
      </c>
      <c r="H654">
        <v>25.630486681382571</v>
      </c>
      <c r="I654">
        <v>2186.285889073446</v>
      </c>
      <c r="J654">
        <v>10</v>
      </c>
      <c r="K654" t="s">
        <v>66</v>
      </c>
    </row>
    <row r="655" spans="1:11" x14ac:dyDescent="0.3">
      <c r="A655">
        <v>47.239138782626647</v>
      </c>
      <c r="B655">
        <v>1.582594596279586</v>
      </c>
      <c r="C655">
        <v>2.746453812472152</v>
      </c>
      <c r="D655">
        <v>6.8861074089016361</v>
      </c>
      <c r="E655">
        <v>6.0198417010838856</v>
      </c>
      <c r="F655">
        <v>24.766797340058861</v>
      </c>
      <c r="G655">
        <v>20.49000311617635</v>
      </c>
      <c r="H655">
        <v>30.243075970212988</v>
      </c>
      <c r="I655">
        <v>2257</v>
      </c>
      <c r="J655">
        <v>15</v>
      </c>
      <c r="K655" t="s">
        <v>66</v>
      </c>
    </row>
    <row r="656" spans="1:11" x14ac:dyDescent="0.3">
      <c r="A656">
        <v>49.429016601672458</v>
      </c>
      <c r="B656">
        <v>1.846000786760509</v>
      </c>
      <c r="C656">
        <v>2.7297985852462561</v>
      </c>
      <c r="D656">
        <v>6.7751886729060082</v>
      </c>
      <c r="E656">
        <v>6.1198611874081887</v>
      </c>
      <c r="F656">
        <v>25.36099226205102</v>
      </c>
      <c r="G656">
        <v>17.236061942975539</v>
      </c>
      <c r="H656">
        <v>20.501037748319991</v>
      </c>
      <c r="I656">
        <v>1783.156021389131</v>
      </c>
      <c r="J656">
        <v>25</v>
      </c>
      <c r="K656" t="s">
        <v>66</v>
      </c>
    </row>
    <row r="657" spans="1:11" x14ac:dyDescent="0.3">
      <c r="A657">
        <v>21.690036930253441</v>
      </c>
      <c r="B657">
        <v>0.83934228992613202</v>
      </c>
      <c r="C657">
        <v>1.039330705000532</v>
      </c>
      <c r="D657">
        <v>2.7985463379058362</v>
      </c>
      <c r="E657">
        <v>6.3915447254011646</v>
      </c>
      <c r="F657">
        <v>36.57439321196383</v>
      </c>
      <c r="G657">
        <v>24.615021882358661</v>
      </c>
      <c r="H657">
        <v>20.0973339301393</v>
      </c>
      <c r="I657">
        <v>1632.281713586611</v>
      </c>
      <c r="J657">
        <v>25</v>
      </c>
      <c r="K657" t="s">
        <v>66</v>
      </c>
    </row>
    <row r="658" spans="1:11" x14ac:dyDescent="0.3">
      <c r="A658">
        <v>12.197257446182091</v>
      </c>
      <c r="B658">
        <v>0</v>
      </c>
      <c r="C658">
        <v>0</v>
      </c>
      <c r="D658">
        <v>1.20538186900866</v>
      </c>
      <c r="E658">
        <v>6.5229486783697359</v>
      </c>
      <c r="F658">
        <v>35.077644103234107</v>
      </c>
      <c r="G658">
        <v>17.16237485677923</v>
      </c>
      <c r="H658">
        <v>21.866216026789282</v>
      </c>
      <c r="I658">
        <v>1526.9542848336509</v>
      </c>
      <c r="J658">
        <v>30</v>
      </c>
      <c r="K658" t="s">
        <v>66</v>
      </c>
    </row>
    <row r="659" spans="1:11" x14ac:dyDescent="0.3">
      <c r="A659">
        <v>67.325495759989593</v>
      </c>
      <c r="B659">
        <v>2.970423560314722</v>
      </c>
      <c r="C659">
        <v>3.4846769530145849</v>
      </c>
      <c r="D659">
        <v>12.234047655273679</v>
      </c>
      <c r="E659">
        <v>5.4877549266322418</v>
      </c>
      <c r="F659">
        <v>33.205007422999898</v>
      </c>
      <c r="G659">
        <v>20.88107280007085</v>
      </c>
      <c r="H659">
        <v>17.66139254345843</v>
      </c>
      <c r="I659">
        <v>1903.766780114094</v>
      </c>
      <c r="J659">
        <v>20</v>
      </c>
      <c r="K659" t="s">
        <v>66</v>
      </c>
    </row>
    <row r="660" spans="1:11" x14ac:dyDescent="0.3">
      <c r="A660">
        <v>93.877962676286572</v>
      </c>
      <c r="B660">
        <v>4.1968075391971196</v>
      </c>
      <c r="C660">
        <v>7.3104580400282737</v>
      </c>
      <c r="D660">
        <v>13.12568536287599</v>
      </c>
      <c r="E660">
        <v>6.8767580797400152</v>
      </c>
      <c r="F660">
        <v>15.56990859039748</v>
      </c>
      <c r="G660">
        <v>35.214691001936067</v>
      </c>
      <c r="H660">
        <v>30.695150598033958</v>
      </c>
      <c r="I660">
        <v>46.987180074837902</v>
      </c>
      <c r="J660">
        <v>0</v>
      </c>
      <c r="K660" t="s">
        <v>66</v>
      </c>
    </row>
    <row r="661" spans="1:11" x14ac:dyDescent="0.3">
      <c r="A661">
        <v>85.391306411894973</v>
      </c>
      <c r="B661">
        <v>4.3362480106018211</v>
      </c>
      <c r="C661">
        <v>5.0397989311880176</v>
      </c>
      <c r="D661">
        <v>13.295744638451669</v>
      </c>
      <c r="E661">
        <v>6.1917603270616279</v>
      </c>
      <c r="F661">
        <v>23.428519715673001</v>
      </c>
      <c r="G661">
        <v>20.356912624038351</v>
      </c>
      <c r="H661">
        <v>18.54583469737857</v>
      </c>
      <c r="I661">
        <v>1572.755918648686</v>
      </c>
      <c r="J661">
        <v>30</v>
      </c>
      <c r="K661" t="s">
        <v>66</v>
      </c>
    </row>
    <row r="662" spans="1:11" x14ac:dyDescent="0.3">
      <c r="A662">
        <v>12</v>
      </c>
      <c r="B662">
        <v>0</v>
      </c>
      <c r="C662">
        <v>0</v>
      </c>
      <c r="D662">
        <v>1</v>
      </c>
      <c r="E662">
        <v>6.4</v>
      </c>
      <c r="F662">
        <v>25.9</v>
      </c>
      <c r="G662">
        <v>18.8</v>
      </c>
      <c r="H662">
        <v>30</v>
      </c>
      <c r="I662">
        <v>2257</v>
      </c>
      <c r="J662">
        <v>15</v>
      </c>
      <c r="K662" t="s">
        <v>67</v>
      </c>
    </row>
    <row r="663" spans="1:11" x14ac:dyDescent="0.3">
      <c r="A663">
        <v>27.303009955055959</v>
      </c>
      <c r="B663">
        <v>1.0015618333949601</v>
      </c>
      <c r="C663">
        <v>0.99082939758548738</v>
      </c>
      <c r="D663">
        <v>3.7386148417100769</v>
      </c>
      <c r="E663">
        <v>5.6072094840586306</v>
      </c>
      <c r="F663">
        <v>29.803332991979271</v>
      </c>
      <c r="G663">
        <v>19.195529353604009</v>
      </c>
      <c r="H663">
        <v>26.430310581159659</v>
      </c>
      <c r="I663">
        <v>1898.982610405857</v>
      </c>
      <c r="J663">
        <v>20</v>
      </c>
      <c r="K663" t="s">
        <v>66</v>
      </c>
    </row>
    <row r="664" spans="1:11" x14ac:dyDescent="0.3">
      <c r="A664">
        <v>49.759850250688373</v>
      </c>
      <c r="B664">
        <v>2.1003565472335088</v>
      </c>
      <c r="C664">
        <v>2.6629517900281212</v>
      </c>
      <c r="D664">
        <v>8.3061228411819936</v>
      </c>
      <c r="E664">
        <v>5.7021129502187113</v>
      </c>
      <c r="F664">
        <v>32.062710030038652</v>
      </c>
      <c r="G664">
        <v>19.692149694425218</v>
      </c>
      <c r="H664">
        <v>20.451566974959551</v>
      </c>
      <c r="I664">
        <v>1732.5841501527971</v>
      </c>
      <c r="J664">
        <v>10</v>
      </c>
      <c r="K664" t="s">
        <v>66</v>
      </c>
    </row>
    <row r="665" spans="1:11" x14ac:dyDescent="0.3">
      <c r="A665">
        <v>110.1435007761596</v>
      </c>
      <c r="B665">
        <v>4.3170221443997328</v>
      </c>
      <c r="C665">
        <v>7.5381877731782279</v>
      </c>
      <c r="D665">
        <v>16.363291943724569</v>
      </c>
      <c r="E665">
        <v>5.7901417980273724</v>
      </c>
      <c r="F665">
        <v>42.702806486824173</v>
      </c>
      <c r="G665">
        <v>16.707182547510051</v>
      </c>
      <c r="H665">
        <v>29.223989298202049</v>
      </c>
      <c r="I665">
        <v>1671.328365331316</v>
      </c>
      <c r="J665">
        <v>20</v>
      </c>
      <c r="K665" t="s">
        <v>66</v>
      </c>
    </row>
    <row r="666" spans="1:11" x14ac:dyDescent="0.3">
      <c r="A666">
        <v>98.964161298160633</v>
      </c>
      <c r="B666">
        <v>4.1041287355084881</v>
      </c>
      <c r="C666">
        <v>5.8688080335389783</v>
      </c>
      <c r="D666">
        <v>17.21710784753467</v>
      </c>
      <c r="E666">
        <v>5.719362674463083</v>
      </c>
      <c r="F666">
        <v>36.912313941671627</v>
      </c>
      <c r="G666">
        <v>25.53931141463806</v>
      </c>
      <c r="H666">
        <v>24.886384275641841</v>
      </c>
      <c r="I666">
        <v>694.83614776180434</v>
      </c>
      <c r="J666">
        <v>25</v>
      </c>
      <c r="K666" t="s">
        <v>66</v>
      </c>
    </row>
    <row r="667" spans="1:11" x14ac:dyDescent="0.3">
      <c r="A667">
        <v>45.185138975869712</v>
      </c>
      <c r="B667">
        <v>2.2248706719741</v>
      </c>
      <c r="C667">
        <v>2.9933099148845841</v>
      </c>
      <c r="D667">
        <v>8.0134574929205069</v>
      </c>
      <c r="E667">
        <v>6.1275342789020923</v>
      </c>
      <c r="F667">
        <v>32.672620029880981</v>
      </c>
      <c r="G667">
        <v>20.61187968940742</v>
      </c>
      <c r="H667">
        <v>18.667409329203171</v>
      </c>
      <c r="I667">
        <v>1863.453028010618</v>
      </c>
      <c r="J667">
        <v>20</v>
      </c>
      <c r="K667" t="s">
        <v>66</v>
      </c>
    </row>
    <row r="668" spans="1:11" x14ac:dyDescent="0.3">
      <c r="A668">
        <v>80.642457704177417</v>
      </c>
      <c r="B668">
        <v>4.5907737704473099</v>
      </c>
      <c r="C668">
        <v>5.5748360094393732</v>
      </c>
      <c r="D668">
        <v>11.561662970155339</v>
      </c>
      <c r="E668">
        <v>6.2414565547646346</v>
      </c>
      <c r="F668">
        <v>14.08017574120556</v>
      </c>
      <c r="G668">
        <v>34.66897426309265</v>
      </c>
      <c r="H668">
        <v>30.2946285516743</v>
      </c>
      <c r="I668">
        <v>47.773459105087731</v>
      </c>
      <c r="J668">
        <v>0</v>
      </c>
      <c r="K668" t="s">
        <v>66</v>
      </c>
    </row>
    <row r="669" spans="1:11" x14ac:dyDescent="0.3">
      <c r="A669">
        <v>69.104567764392257</v>
      </c>
      <c r="B669">
        <v>2.8105266812503999</v>
      </c>
      <c r="C669">
        <v>5.067669173946145</v>
      </c>
      <c r="D669">
        <v>12.471496212657859</v>
      </c>
      <c r="E669">
        <v>6.1873536548303836</v>
      </c>
      <c r="F669">
        <v>34.012240159839337</v>
      </c>
      <c r="G669">
        <v>26.368931808314489</v>
      </c>
      <c r="H669">
        <v>22.570498388288399</v>
      </c>
      <c r="I669">
        <v>1302.688895368658</v>
      </c>
      <c r="J669">
        <v>25</v>
      </c>
      <c r="K669" t="s">
        <v>66</v>
      </c>
    </row>
    <row r="670" spans="1:11" x14ac:dyDescent="0.3">
      <c r="A670">
        <v>52.013633619267267</v>
      </c>
      <c r="B670">
        <v>1.8461715300425401</v>
      </c>
      <c r="C670">
        <v>2.4065324251875571</v>
      </c>
      <c r="D670">
        <v>7.1551753600266661</v>
      </c>
      <c r="E670">
        <v>6.2245289378769737</v>
      </c>
      <c r="F670">
        <v>25.89985780127142</v>
      </c>
      <c r="G670">
        <v>25.048242423800769</v>
      </c>
      <c r="H670">
        <v>22.085641562913541</v>
      </c>
      <c r="I670">
        <v>1469.562468247891</v>
      </c>
      <c r="J670">
        <v>30</v>
      </c>
      <c r="K670" t="s">
        <v>66</v>
      </c>
    </row>
    <row r="671" spans="1:11" x14ac:dyDescent="0.3">
      <c r="A671">
        <v>960</v>
      </c>
      <c r="B671">
        <v>47</v>
      </c>
      <c r="C671">
        <v>67</v>
      </c>
      <c r="D671">
        <v>153</v>
      </c>
      <c r="E671">
        <v>5.348764486329209</v>
      </c>
      <c r="F671">
        <v>24.6602728113651</v>
      </c>
      <c r="G671">
        <v>19.483469061056621</v>
      </c>
      <c r="H671">
        <v>21.80744400794973</v>
      </c>
      <c r="I671">
        <v>1495.489223845334</v>
      </c>
      <c r="J671">
        <v>30</v>
      </c>
      <c r="K671" t="s">
        <v>66</v>
      </c>
    </row>
    <row r="672" spans="1:11" x14ac:dyDescent="0.3">
      <c r="A672">
        <v>93.352491195600834</v>
      </c>
      <c r="B672">
        <v>4.1076507764980432</v>
      </c>
      <c r="C672">
        <v>6.2080259865629523</v>
      </c>
      <c r="D672">
        <v>13.87126050435403</v>
      </c>
      <c r="E672">
        <v>5.8294538883182296</v>
      </c>
      <c r="F672">
        <v>32.248667278658033</v>
      </c>
      <c r="G672">
        <v>20.193328239844821</v>
      </c>
      <c r="H672">
        <v>18.369383830466049</v>
      </c>
      <c r="I672">
        <v>2127.5226933528811</v>
      </c>
      <c r="J672">
        <v>20</v>
      </c>
      <c r="K672" t="s">
        <v>66</v>
      </c>
    </row>
    <row r="673" spans="1:11" x14ac:dyDescent="0.3">
      <c r="A673">
        <v>498.19747743027489</v>
      </c>
      <c r="B673">
        <v>23.689779005163519</v>
      </c>
      <c r="C673">
        <v>36.556708327410583</v>
      </c>
      <c r="D673">
        <v>84.233855452559595</v>
      </c>
      <c r="E673">
        <v>5.2542080311109816</v>
      </c>
      <c r="F673">
        <v>71.106672995987807</v>
      </c>
      <c r="G673">
        <v>28.71390242958941</v>
      </c>
      <c r="H673">
        <v>29.455079903178952</v>
      </c>
      <c r="I673">
        <v>11.142129975554321</v>
      </c>
      <c r="J673">
        <v>0</v>
      </c>
      <c r="K673" t="s">
        <v>66</v>
      </c>
    </row>
    <row r="674" spans="1:11" x14ac:dyDescent="0.3">
      <c r="A674">
        <v>6.2926635381367078</v>
      </c>
      <c r="B674">
        <v>0</v>
      </c>
      <c r="C674">
        <v>0</v>
      </c>
      <c r="D674">
        <v>0</v>
      </c>
      <c r="E674">
        <v>5.857746625350841</v>
      </c>
      <c r="F674">
        <v>22.558336830597561</v>
      </c>
      <c r="G674">
        <v>20.61367650774012</v>
      </c>
      <c r="H674">
        <v>25.64244927669402</v>
      </c>
      <c r="I674">
        <v>1915.360097835852</v>
      </c>
      <c r="J674">
        <v>20</v>
      </c>
      <c r="K674" t="s">
        <v>66</v>
      </c>
    </row>
    <row r="675" spans="1:11" x14ac:dyDescent="0.3">
      <c r="A675">
        <v>22.705912381393041</v>
      </c>
      <c r="B675">
        <v>0.94755518637373481</v>
      </c>
      <c r="C675">
        <v>1.079799454961224</v>
      </c>
      <c r="D675">
        <v>2.915650787260633</v>
      </c>
      <c r="E675">
        <v>6.1123683607217476</v>
      </c>
      <c r="F675">
        <v>26.783169358575979</v>
      </c>
      <c r="G675">
        <v>23.046067311229582</v>
      </c>
      <c r="H675">
        <v>20.49052070590718</v>
      </c>
      <c r="I675">
        <v>1289.208852251561</v>
      </c>
      <c r="J675">
        <v>30</v>
      </c>
      <c r="K675" t="s">
        <v>66</v>
      </c>
    </row>
    <row r="676" spans="1:11" x14ac:dyDescent="0.3">
      <c r="A676">
        <v>0</v>
      </c>
      <c r="B676">
        <v>0</v>
      </c>
      <c r="C676">
        <v>0</v>
      </c>
      <c r="D676">
        <v>0</v>
      </c>
      <c r="E676">
        <v>6.3735042658088243</v>
      </c>
      <c r="F676">
        <v>19.663186259337461</v>
      </c>
      <c r="G676">
        <v>30.33776153307258</v>
      </c>
      <c r="H676">
        <v>32.611148031895247</v>
      </c>
      <c r="I676">
        <v>1847.4017196364241</v>
      </c>
      <c r="J676">
        <v>26</v>
      </c>
      <c r="K676" t="s">
        <v>66</v>
      </c>
    </row>
    <row r="677" spans="1:11" x14ac:dyDescent="0.3">
      <c r="A677">
        <v>12.371492556603121</v>
      </c>
      <c r="B677">
        <v>0</v>
      </c>
      <c r="C677">
        <v>0</v>
      </c>
      <c r="D677">
        <v>0.91856018125536765</v>
      </c>
      <c r="E677">
        <v>6.3949993433251429</v>
      </c>
      <c r="F677">
        <v>36.800910919492708</v>
      </c>
      <c r="G677">
        <v>15.975250911069811</v>
      </c>
      <c r="H677">
        <v>22.417832095223499</v>
      </c>
      <c r="I677">
        <v>1493.7534225887091</v>
      </c>
      <c r="J677">
        <v>30</v>
      </c>
      <c r="K677" t="s">
        <v>66</v>
      </c>
    </row>
    <row r="678" spans="1:11" x14ac:dyDescent="0.3">
      <c r="A678">
        <v>10</v>
      </c>
      <c r="B678">
        <v>0</v>
      </c>
      <c r="C678">
        <v>0</v>
      </c>
      <c r="D678">
        <v>1</v>
      </c>
      <c r="E678">
        <v>6.2</v>
      </c>
      <c r="F678">
        <v>29.5</v>
      </c>
      <c r="G678">
        <v>15.9</v>
      </c>
      <c r="H678">
        <v>23.3</v>
      </c>
      <c r="I678">
        <v>1467</v>
      </c>
      <c r="J678">
        <v>30</v>
      </c>
      <c r="K678" t="s">
        <v>67</v>
      </c>
    </row>
    <row r="679" spans="1:11" x14ac:dyDescent="0.3">
      <c r="A679">
        <v>75.586621051223119</v>
      </c>
      <c r="B679">
        <v>2.5394879257402918</v>
      </c>
      <c r="C679">
        <v>4.8686266261567477</v>
      </c>
      <c r="D679">
        <v>12.43747377282655</v>
      </c>
      <c r="E679">
        <v>5.8108241813869794</v>
      </c>
      <c r="F679">
        <v>34.382350635176152</v>
      </c>
      <c r="G679">
        <v>27.219675861665479</v>
      </c>
      <c r="H679">
        <v>21.228472599259749</v>
      </c>
      <c r="I679">
        <v>1398.170060993973</v>
      </c>
      <c r="J679">
        <v>25</v>
      </c>
      <c r="K679" t="s">
        <v>66</v>
      </c>
    </row>
    <row r="680" spans="1:11" x14ac:dyDescent="0.3">
      <c r="A680">
        <v>131.22138399763449</v>
      </c>
      <c r="B680">
        <v>6.5362186136334666</v>
      </c>
      <c r="C680">
        <v>6.4405025957420614</v>
      </c>
      <c r="D680">
        <v>20.61290172592668</v>
      </c>
      <c r="E680">
        <v>6.2067307361788622</v>
      </c>
      <c r="F680">
        <v>22.62559949764066</v>
      </c>
      <c r="G680">
        <v>30.836562425099491</v>
      </c>
      <c r="H680">
        <v>29.911543253762961</v>
      </c>
      <c r="I680">
        <v>48.948321044455668</v>
      </c>
      <c r="J680">
        <v>0</v>
      </c>
      <c r="K680" t="s">
        <v>66</v>
      </c>
    </row>
    <row r="681" spans="1:11" x14ac:dyDescent="0.3">
      <c r="A681">
        <v>12.14963021022645</v>
      </c>
      <c r="B681">
        <v>0</v>
      </c>
      <c r="C681">
        <v>0</v>
      </c>
      <c r="D681">
        <v>1.0020417167212921</v>
      </c>
      <c r="E681">
        <v>5.9396557495594857</v>
      </c>
      <c r="F681">
        <v>19.04137626188524</v>
      </c>
      <c r="G681">
        <v>18.022041483405051</v>
      </c>
      <c r="H681">
        <v>19.139778400184529</v>
      </c>
      <c r="I681">
        <v>1872.3353041979069</v>
      </c>
      <c r="J681">
        <v>40</v>
      </c>
      <c r="K681" t="s">
        <v>66</v>
      </c>
    </row>
    <row r="682" spans="1:11" x14ac:dyDescent="0.3">
      <c r="A682">
        <v>83.238667433041968</v>
      </c>
      <c r="B682">
        <v>4.1398600189198778</v>
      </c>
      <c r="C682">
        <v>5.7254200503974308</v>
      </c>
      <c r="D682">
        <v>11.80038670843496</v>
      </c>
      <c r="E682">
        <v>6.727531062062865</v>
      </c>
      <c r="F682">
        <v>15.021019828562171</v>
      </c>
      <c r="G682">
        <v>30.891485608378531</v>
      </c>
      <c r="H682">
        <v>30.716700937030101</v>
      </c>
      <c r="I682">
        <v>51.154294765134573</v>
      </c>
      <c r="J682">
        <v>0</v>
      </c>
      <c r="K682" t="s">
        <v>66</v>
      </c>
    </row>
    <row r="683" spans="1:11" x14ac:dyDescent="0.3">
      <c r="A683">
        <v>6.3151963188022826</v>
      </c>
      <c r="B683">
        <v>0</v>
      </c>
      <c r="C683">
        <v>0</v>
      </c>
      <c r="D683">
        <v>0</v>
      </c>
      <c r="E683">
        <v>5.8747959974198052</v>
      </c>
      <c r="F683">
        <v>22.478159265263901</v>
      </c>
      <c r="G683">
        <v>21.047179178154082</v>
      </c>
      <c r="H683">
        <v>25.923855857296221</v>
      </c>
      <c r="I683">
        <v>1869.9986637058059</v>
      </c>
      <c r="J683">
        <v>20</v>
      </c>
      <c r="K683" t="s">
        <v>66</v>
      </c>
    </row>
    <row r="684" spans="1:11" x14ac:dyDescent="0.3">
      <c r="A684">
        <v>44.425194727634938</v>
      </c>
      <c r="B684">
        <v>1.7256652605539069</v>
      </c>
      <c r="C684">
        <v>2.2963921536873069</v>
      </c>
      <c r="D684">
        <v>5.7825914654723389</v>
      </c>
      <c r="E684">
        <v>4.6732725899772189</v>
      </c>
      <c r="F684">
        <v>34.861126778902339</v>
      </c>
      <c r="G684">
        <v>18.604719021444009</v>
      </c>
      <c r="H684">
        <v>19.046205833222189</v>
      </c>
      <c r="I684">
        <v>1916.1198775139601</v>
      </c>
      <c r="J684">
        <v>40</v>
      </c>
      <c r="K684" t="s">
        <v>66</v>
      </c>
    </row>
    <row r="685" spans="1:11" x14ac:dyDescent="0.3">
      <c r="A685">
        <v>27</v>
      </c>
      <c r="B685">
        <v>1</v>
      </c>
      <c r="C685">
        <v>1</v>
      </c>
      <c r="D685">
        <v>4</v>
      </c>
      <c r="E685">
        <v>5.4</v>
      </c>
      <c r="F685">
        <v>30</v>
      </c>
      <c r="G685">
        <v>18.899999999999999</v>
      </c>
      <c r="H685">
        <v>26</v>
      </c>
      <c r="I685">
        <v>1870</v>
      </c>
      <c r="J685">
        <v>20</v>
      </c>
      <c r="K685" t="s">
        <v>67</v>
      </c>
    </row>
    <row r="686" spans="1:11" x14ac:dyDescent="0.3">
      <c r="A686">
        <v>133.91377292292421</v>
      </c>
      <c r="B686">
        <v>6.3207033890883304</v>
      </c>
      <c r="C686">
        <v>8.7596756570915915</v>
      </c>
      <c r="D686">
        <v>19.64149794928618</v>
      </c>
      <c r="E686">
        <v>6.0355847293445946</v>
      </c>
      <c r="F686">
        <v>16.5115474008978</v>
      </c>
      <c r="G686">
        <v>24.43232842705045</v>
      </c>
      <c r="H686">
        <v>25.389946541457189</v>
      </c>
      <c r="I686">
        <v>656.90733941825022</v>
      </c>
      <c r="J686">
        <v>25</v>
      </c>
      <c r="K686" t="s">
        <v>66</v>
      </c>
    </row>
    <row r="687" spans="1:11" x14ac:dyDescent="0.3">
      <c r="A687">
        <v>25.581874433417401</v>
      </c>
      <c r="B687">
        <v>0.99606927123723688</v>
      </c>
      <c r="C687">
        <v>0.90258781537836319</v>
      </c>
      <c r="D687">
        <v>4.5030476225437441</v>
      </c>
      <c r="E687">
        <v>6.9243548173454874</v>
      </c>
      <c r="F687">
        <v>54.861506781891471</v>
      </c>
      <c r="G687">
        <v>20.576910774426711</v>
      </c>
      <c r="H687">
        <v>19.50751468370381</v>
      </c>
      <c r="I687">
        <v>1294.720347925406</v>
      </c>
      <c r="J687">
        <v>18</v>
      </c>
      <c r="K687" t="s">
        <v>66</v>
      </c>
    </row>
    <row r="688" spans="1:11" x14ac:dyDescent="0.3">
      <c r="A688">
        <v>132.1484627700433</v>
      </c>
      <c r="B688">
        <v>6.3531319618624318</v>
      </c>
      <c r="C688">
        <v>7.187296938408017</v>
      </c>
      <c r="D688">
        <v>22.237099888510649</v>
      </c>
      <c r="E688">
        <v>6.2068447060737313</v>
      </c>
      <c r="F688">
        <v>29.842539578776851</v>
      </c>
      <c r="G688">
        <v>21.426645226418248</v>
      </c>
      <c r="H688">
        <v>20.766177698925869</v>
      </c>
      <c r="I688">
        <v>1679.2163920314781</v>
      </c>
      <c r="J688">
        <v>12</v>
      </c>
      <c r="K688" t="s">
        <v>66</v>
      </c>
    </row>
    <row r="689" spans="1:11" x14ac:dyDescent="0.3">
      <c r="A689">
        <v>26.49571437708061</v>
      </c>
      <c r="B689">
        <v>1.091136272217472</v>
      </c>
      <c r="C689">
        <v>0.9811738664913694</v>
      </c>
      <c r="D689">
        <v>2.9149549744758252</v>
      </c>
      <c r="E689">
        <v>6.2797694892027733</v>
      </c>
      <c r="F689">
        <v>24.31441848100145</v>
      </c>
      <c r="G689">
        <v>25.193655220092602</v>
      </c>
      <c r="H689">
        <v>19.21379311629077</v>
      </c>
      <c r="I689">
        <v>1864.32069520099</v>
      </c>
      <c r="J689">
        <v>40</v>
      </c>
      <c r="K689" t="s">
        <v>66</v>
      </c>
    </row>
    <row r="690" spans="1:11" x14ac:dyDescent="0.3">
      <c r="A690">
        <v>46.0547420761688</v>
      </c>
      <c r="B690">
        <v>1.673744836907811</v>
      </c>
      <c r="C690">
        <v>3.074864456879423</v>
      </c>
      <c r="D690">
        <v>7.7689394132362732</v>
      </c>
      <c r="E690">
        <v>6.0957442856525708</v>
      </c>
      <c r="F690">
        <v>31.86414401377036</v>
      </c>
      <c r="G690">
        <v>19.47279950004096</v>
      </c>
      <c r="H690">
        <v>17.668211296798169</v>
      </c>
      <c r="I690">
        <v>1976.111989194899</v>
      </c>
      <c r="J690">
        <v>20</v>
      </c>
      <c r="K690" t="s">
        <v>66</v>
      </c>
    </row>
    <row r="691" spans="1:11" x14ac:dyDescent="0.3">
      <c r="A691">
        <v>75.850375706318715</v>
      </c>
      <c r="B691">
        <v>2.9150583309768701</v>
      </c>
      <c r="C691">
        <v>5.2589973881957262</v>
      </c>
      <c r="D691">
        <v>10.37019009422689</v>
      </c>
      <c r="E691">
        <v>5.5316831205136037</v>
      </c>
      <c r="F691">
        <v>26.796504943411701</v>
      </c>
      <c r="G691">
        <v>18.15452006285912</v>
      </c>
      <c r="H691">
        <v>18.348884950254401</v>
      </c>
      <c r="I691">
        <v>1884.8415649402839</v>
      </c>
      <c r="J691">
        <v>20</v>
      </c>
      <c r="K691" t="s">
        <v>66</v>
      </c>
    </row>
    <row r="692" spans="1:11" x14ac:dyDescent="0.3">
      <c r="A692">
        <v>159.98892239068439</v>
      </c>
      <c r="B692">
        <v>6.7270534054083884</v>
      </c>
      <c r="C692">
        <v>9.9757671661303071</v>
      </c>
      <c r="D692">
        <v>23.941443438633229</v>
      </c>
      <c r="E692">
        <v>5.7372773745127912</v>
      </c>
      <c r="F692">
        <v>22.185534075360621</v>
      </c>
      <c r="G692">
        <v>24.795223946762981</v>
      </c>
      <c r="H692">
        <v>19.093055706986529</v>
      </c>
      <c r="I692">
        <v>2087.2332939654812</v>
      </c>
      <c r="J692">
        <v>20</v>
      </c>
      <c r="K692" t="s">
        <v>66</v>
      </c>
    </row>
    <row r="693" spans="1:11" x14ac:dyDescent="0.3">
      <c r="A693">
        <v>0</v>
      </c>
      <c r="B693">
        <v>0</v>
      </c>
      <c r="C693">
        <v>0</v>
      </c>
      <c r="D693">
        <v>0</v>
      </c>
      <c r="E693">
        <v>6.1751750444667541</v>
      </c>
      <c r="F693">
        <v>23.807884238707661</v>
      </c>
      <c r="G693">
        <v>31.04809663013102</v>
      </c>
      <c r="H693">
        <v>34.5</v>
      </c>
      <c r="I693">
        <v>1863.5862771718921</v>
      </c>
      <c r="J693">
        <v>26</v>
      </c>
      <c r="K693" t="s">
        <v>66</v>
      </c>
    </row>
    <row r="694" spans="1:11" x14ac:dyDescent="0.3">
      <c r="A694">
        <v>28.489845521882579</v>
      </c>
      <c r="B694">
        <v>0.96919657158142591</v>
      </c>
      <c r="C694">
        <v>1.9277378876065421</v>
      </c>
      <c r="D694">
        <v>4.3040208095241343</v>
      </c>
      <c r="E694">
        <v>6.0203079786210667</v>
      </c>
      <c r="F694">
        <v>22.063857030613889</v>
      </c>
      <c r="G694">
        <v>23.331429355240061</v>
      </c>
      <c r="H694">
        <v>19.62186075581214</v>
      </c>
      <c r="I694">
        <v>1262.118921824286</v>
      </c>
      <c r="J694">
        <v>45</v>
      </c>
      <c r="K694" t="s">
        <v>66</v>
      </c>
    </row>
    <row r="695" spans="1:11" x14ac:dyDescent="0.3">
      <c r="A695">
        <v>704.48767046209571</v>
      </c>
      <c r="B695">
        <v>31.93322411370222</v>
      </c>
      <c r="C695">
        <v>39.707892429423033</v>
      </c>
      <c r="D695">
        <v>118.4523427998224</v>
      </c>
      <c r="E695">
        <v>5.9158452515050142</v>
      </c>
      <c r="F695">
        <v>70.070423953533009</v>
      </c>
      <c r="G695">
        <v>28.704907175601289</v>
      </c>
      <c r="H695">
        <v>29.58117811505792</v>
      </c>
      <c r="I695">
        <v>11</v>
      </c>
      <c r="J695">
        <v>0</v>
      </c>
      <c r="K695" t="s">
        <v>66</v>
      </c>
    </row>
    <row r="696" spans="1:11" x14ac:dyDescent="0.3">
      <c r="A696">
        <v>12.882702196496171</v>
      </c>
      <c r="B696">
        <v>0</v>
      </c>
      <c r="C696">
        <v>0</v>
      </c>
      <c r="D696">
        <v>0.88379341797437172</v>
      </c>
      <c r="E696">
        <v>6.4150513446255619</v>
      </c>
      <c r="F696">
        <v>27.02509384810568</v>
      </c>
      <c r="G696">
        <v>18.304739359166529</v>
      </c>
      <c r="H696">
        <v>30.278451398213839</v>
      </c>
      <c r="I696">
        <v>2257</v>
      </c>
      <c r="J696">
        <v>15</v>
      </c>
      <c r="K696" t="s">
        <v>66</v>
      </c>
    </row>
    <row r="697" spans="1:11" x14ac:dyDescent="0.3">
      <c r="A697">
        <v>124.2486520601315</v>
      </c>
      <c r="B697">
        <v>6.4609243299790426</v>
      </c>
      <c r="C697">
        <v>6.7331292881699358</v>
      </c>
      <c r="D697">
        <v>19.91311484101265</v>
      </c>
      <c r="E697">
        <v>4.3142106443055832</v>
      </c>
      <c r="F697">
        <v>55.071330190144863</v>
      </c>
      <c r="G697">
        <v>20.310677543486761</v>
      </c>
      <c r="H697">
        <v>21.228377308914489</v>
      </c>
      <c r="I697">
        <v>1678.686166601751</v>
      </c>
      <c r="J697">
        <v>12</v>
      </c>
      <c r="K697" t="s">
        <v>66</v>
      </c>
    </row>
    <row r="698" spans="1:11" x14ac:dyDescent="0.3">
      <c r="A698">
        <v>22.143814635014699</v>
      </c>
      <c r="B698">
        <v>0.91941299335038118</v>
      </c>
      <c r="C698">
        <v>0.84024008304045683</v>
      </c>
      <c r="D698">
        <v>3.0204216807745858</v>
      </c>
      <c r="E698">
        <v>6.2634028065552982</v>
      </c>
      <c r="F698">
        <v>24.871529199439699</v>
      </c>
      <c r="G698">
        <v>26.630522837287721</v>
      </c>
      <c r="H698">
        <v>22.904113027418859</v>
      </c>
      <c r="I698">
        <v>1191.98492371166</v>
      </c>
      <c r="J698">
        <v>18</v>
      </c>
      <c r="K698" t="s">
        <v>66</v>
      </c>
    </row>
    <row r="699" spans="1:11" x14ac:dyDescent="0.3">
      <c r="A699">
        <v>62.372916458306889</v>
      </c>
      <c r="B699">
        <v>3.1906254090627679</v>
      </c>
      <c r="C699">
        <v>3.382879393916141</v>
      </c>
      <c r="D699">
        <v>10.17991436954642</v>
      </c>
      <c r="E699">
        <v>6.3035913299102342</v>
      </c>
      <c r="F699">
        <v>32.434796734455951</v>
      </c>
      <c r="G699">
        <v>19.324225212057769</v>
      </c>
      <c r="H699">
        <v>18.370637089701571</v>
      </c>
      <c r="I699">
        <v>2093.907470964305</v>
      </c>
      <c r="J699">
        <v>20</v>
      </c>
      <c r="K699" t="s">
        <v>66</v>
      </c>
    </row>
    <row r="700" spans="1:11" x14ac:dyDescent="0.3">
      <c r="A700">
        <v>7.0465393859514069</v>
      </c>
      <c r="B700">
        <v>0</v>
      </c>
      <c r="C700">
        <v>0</v>
      </c>
      <c r="D700">
        <v>1.1390972358001401</v>
      </c>
      <c r="E700">
        <v>6.7398626555862879</v>
      </c>
      <c r="F700">
        <v>26.303727595742849</v>
      </c>
      <c r="G700">
        <v>22.269700649906241</v>
      </c>
      <c r="H700">
        <v>20.15651970483319</v>
      </c>
      <c r="I700">
        <v>1690.7232639910319</v>
      </c>
      <c r="J700">
        <v>25</v>
      </c>
      <c r="K700" t="s">
        <v>66</v>
      </c>
    </row>
    <row r="701" spans="1:11" x14ac:dyDescent="0.3">
      <c r="A701">
        <v>45.362370231772459</v>
      </c>
      <c r="B701">
        <v>2.1495820512235069</v>
      </c>
      <c r="C701">
        <v>2.371540468707547</v>
      </c>
      <c r="D701">
        <v>6.3218483399348058</v>
      </c>
      <c r="E701">
        <v>4.7264330376209829</v>
      </c>
      <c r="F701">
        <v>34.943320593635548</v>
      </c>
      <c r="G701">
        <v>18.787167221382841</v>
      </c>
      <c r="H701">
        <v>19.465726490708398</v>
      </c>
      <c r="I701">
        <v>1929.884391440643</v>
      </c>
      <c r="J701">
        <v>40</v>
      </c>
      <c r="K701" t="s">
        <v>66</v>
      </c>
    </row>
    <row r="702" spans="1:11" x14ac:dyDescent="0.3">
      <c r="A702">
        <v>40.210581325146549</v>
      </c>
      <c r="B702">
        <v>1.9763862946017841</v>
      </c>
      <c r="C702">
        <v>1.82540778190926</v>
      </c>
      <c r="D702">
        <v>6.8243486311268704</v>
      </c>
      <c r="E702">
        <v>5.8912021745814851</v>
      </c>
      <c r="F702">
        <v>35.743886359043202</v>
      </c>
      <c r="G702">
        <v>20.712883712275989</v>
      </c>
      <c r="H702">
        <v>18.372978480248261</v>
      </c>
      <c r="I702">
        <v>1876.2459180136409</v>
      </c>
      <c r="J702">
        <v>20</v>
      </c>
      <c r="K702" t="s">
        <v>66</v>
      </c>
    </row>
    <row r="703" spans="1:11" x14ac:dyDescent="0.3">
      <c r="A703">
        <v>12.673664754170799</v>
      </c>
      <c r="B703">
        <v>0</v>
      </c>
      <c r="C703">
        <v>0</v>
      </c>
      <c r="D703">
        <v>1.9362307289010541</v>
      </c>
      <c r="E703">
        <v>5.613013203740878</v>
      </c>
      <c r="F703">
        <v>30.333328562918531</v>
      </c>
      <c r="G703">
        <v>20.198567359283661</v>
      </c>
      <c r="H703">
        <v>26.489624714056738</v>
      </c>
      <c r="I703">
        <v>2147.3028391415428</v>
      </c>
      <c r="J703">
        <v>10</v>
      </c>
      <c r="K703" t="s">
        <v>66</v>
      </c>
    </row>
    <row r="704" spans="1:11" x14ac:dyDescent="0.3">
      <c r="A704">
        <v>21.268831221029568</v>
      </c>
      <c r="B704">
        <v>0.95211625439915959</v>
      </c>
      <c r="C704">
        <v>0.99070557933864112</v>
      </c>
      <c r="D704">
        <v>3.3263131278473601</v>
      </c>
      <c r="E704">
        <v>6.4495717875214611</v>
      </c>
      <c r="F704">
        <v>50.748227158235068</v>
      </c>
      <c r="G704">
        <v>22.083988158669001</v>
      </c>
      <c r="H704">
        <v>21.384577086479979</v>
      </c>
      <c r="I704">
        <v>1293.2937932377499</v>
      </c>
      <c r="J704">
        <v>30</v>
      </c>
      <c r="K704" t="s">
        <v>66</v>
      </c>
    </row>
    <row r="705" spans="1:11" x14ac:dyDescent="0.3">
      <c r="A705">
        <v>23.02062414088936</v>
      </c>
      <c r="B705">
        <v>0.96114792248169911</v>
      </c>
      <c r="C705">
        <v>0.70857440101830593</v>
      </c>
      <c r="D705">
        <v>3.1493364928253329</v>
      </c>
      <c r="E705">
        <v>6.093968161173259</v>
      </c>
      <c r="F705">
        <v>25.969352596985249</v>
      </c>
      <c r="G705">
        <v>23.436282426487541</v>
      </c>
      <c r="H705">
        <v>23.466396569526239</v>
      </c>
      <c r="I705">
        <v>1734.7924652191109</v>
      </c>
      <c r="J705">
        <v>17</v>
      </c>
      <c r="K705" t="s">
        <v>66</v>
      </c>
    </row>
    <row r="706" spans="1:11" x14ac:dyDescent="0.3">
      <c r="A706">
        <v>6.6834891812134574</v>
      </c>
      <c r="B706">
        <v>0</v>
      </c>
      <c r="C706">
        <v>0</v>
      </c>
      <c r="D706">
        <v>0.97251546993302074</v>
      </c>
      <c r="E706">
        <v>6.302474011348985</v>
      </c>
      <c r="F706">
        <v>22.98488590364634</v>
      </c>
      <c r="G706">
        <v>19.993876922999611</v>
      </c>
      <c r="H706">
        <v>16</v>
      </c>
      <c r="I706">
        <v>1769.109195567454</v>
      </c>
      <c r="J706">
        <v>30</v>
      </c>
      <c r="K706" t="s">
        <v>66</v>
      </c>
    </row>
    <row r="707" spans="1:11" x14ac:dyDescent="0.3">
      <c r="A707">
        <v>64.695778352327551</v>
      </c>
      <c r="B707">
        <v>3.2646999186970231</v>
      </c>
      <c r="C707">
        <v>3.9820427879509852</v>
      </c>
      <c r="D707">
        <v>10.107057452992301</v>
      </c>
      <c r="E707">
        <v>6.0552956692339164</v>
      </c>
      <c r="F707">
        <v>34.854038344374842</v>
      </c>
      <c r="G707">
        <v>19.540468146043331</v>
      </c>
      <c r="H707">
        <v>19.232836642743489</v>
      </c>
      <c r="I707">
        <v>2183.118273495736</v>
      </c>
      <c r="J707">
        <v>20</v>
      </c>
      <c r="K707" t="s">
        <v>66</v>
      </c>
    </row>
    <row r="708" spans="1:11" x14ac:dyDescent="0.3">
      <c r="A708">
        <v>87.045385205928611</v>
      </c>
      <c r="B708">
        <v>2.8421256430447741</v>
      </c>
      <c r="C708">
        <v>4.5974141241285622</v>
      </c>
      <c r="D708">
        <v>14.80539329446596</v>
      </c>
      <c r="E708">
        <v>5.4214528370219606</v>
      </c>
      <c r="F708">
        <v>25.635420113711419</v>
      </c>
      <c r="G708">
        <v>19.085310224949041</v>
      </c>
      <c r="H708">
        <v>17.876456454283531</v>
      </c>
      <c r="I708">
        <v>1968.5319363465489</v>
      </c>
      <c r="J708">
        <v>20</v>
      </c>
      <c r="K708" t="s">
        <v>66</v>
      </c>
    </row>
    <row r="709" spans="1:11" x14ac:dyDescent="0.3">
      <c r="A709">
        <v>77.342134286800643</v>
      </c>
      <c r="B709">
        <v>3.5283840835360789</v>
      </c>
      <c r="C709">
        <v>5.2757870112856704</v>
      </c>
      <c r="D709">
        <v>14.902325888303411</v>
      </c>
      <c r="E709">
        <v>6.7194872471323723</v>
      </c>
      <c r="F709">
        <v>13.9</v>
      </c>
      <c r="G709">
        <v>32.57480483543408</v>
      </c>
      <c r="H709">
        <v>31.10414319733777</v>
      </c>
      <c r="I709">
        <v>48.983890975455303</v>
      </c>
      <c r="J709">
        <v>0</v>
      </c>
      <c r="K709" t="s">
        <v>66</v>
      </c>
    </row>
    <row r="710" spans="1:11" x14ac:dyDescent="0.3">
      <c r="A710">
        <v>71.2202372821354</v>
      </c>
      <c r="B710">
        <v>2.756742746636899</v>
      </c>
      <c r="C710">
        <v>4.0844275608308251</v>
      </c>
      <c r="D710">
        <v>12.4861173277357</v>
      </c>
      <c r="E710">
        <v>6.3968979885857262</v>
      </c>
      <c r="F710">
        <v>60.473505927988121</v>
      </c>
      <c r="G710">
        <v>20.9486577981625</v>
      </c>
      <c r="H710">
        <v>21.953840102294389</v>
      </c>
      <c r="I710">
        <v>1433.323271180328</v>
      </c>
      <c r="J710">
        <v>18</v>
      </c>
      <c r="K710" t="s">
        <v>66</v>
      </c>
    </row>
    <row r="711" spans="1:11" x14ac:dyDescent="0.3">
      <c r="A711">
        <v>37.895719427274592</v>
      </c>
      <c r="B711">
        <v>0.89321970784208071</v>
      </c>
      <c r="C711">
        <v>2.31811641452357</v>
      </c>
      <c r="D711">
        <v>6.6360538439451986</v>
      </c>
      <c r="E711">
        <v>6.2756281187987666</v>
      </c>
      <c r="F711">
        <v>29.170889268523869</v>
      </c>
      <c r="G711">
        <v>18.275109490119451</v>
      </c>
      <c r="H711">
        <v>23.519170407110401</v>
      </c>
      <c r="I711">
        <v>1423.9659388229679</v>
      </c>
      <c r="J711">
        <v>30</v>
      </c>
      <c r="K711" t="s">
        <v>66</v>
      </c>
    </row>
    <row r="712" spans="1:11" x14ac:dyDescent="0.3">
      <c r="A712">
        <v>139.38446992647621</v>
      </c>
      <c r="B712">
        <v>6.1532302534045904</v>
      </c>
      <c r="C712">
        <v>8.1303783122220707</v>
      </c>
      <c r="D712">
        <v>24.196442949093491</v>
      </c>
      <c r="E712">
        <v>5.1641091739308047</v>
      </c>
      <c r="F712">
        <v>17.786639774402651</v>
      </c>
      <c r="G712">
        <v>18.906191780229701</v>
      </c>
      <c r="H712">
        <v>20.571582196269311</v>
      </c>
      <c r="I712">
        <v>1932.91013857864</v>
      </c>
      <c r="J712">
        <v>12</v>
      </c>
      <c r="K712" t="s">
        <v>66</v>
      </c>
    </row>
    <row r="713" spans="1:11" x14ac:dyDescent="0.3">
      <c r="A713">
        <v>0</v>
      </c>
      <c r="B713">
        <v>0</v>
      </c>
      <c r="C713">
        <v>0</v>
      </c>
      <c r="D713">
        <v>0</v>
      </c>
      <c r="E713">
        <v>6.3442586308402804</v>
      </c>
      <c r="F713">
        <v>21.16716509424765</v>
      </c>
      <c r="G713">
        <v>30.051272502152521</v>
      </c>
      <c r="H713">
        <v>34.379866711525302</v>
      </c>
      <c r="I713">
        <v>1850.0889011556169</v>
      </c>
      <c r="J713">
        <v>26</v>
      </c>
      <c r="K713" t="s">
        <v>66</v>
      </c>
    </row>
    <row r="714" spans="1:11" x14ac:dyDescent="0.3">
      <c r="A714">
        <v>86.280529997814625</v>
      </c>
      <c r="B714">
        <v>3.639751706140852</v>
      </c>
      <c r="C714">
        <v>7.9458557817568396</v>
      </c>
      <c r="D714">
        <v>13.27513957388889</v>
      </c>
      <c r="E714">
        <v>6.3793738481151694</v>
      </c>
      <c r="F714">
        <v>34.941422271608459</v>
      </c>
      <c r="G714">
        <v>20.79234220399805</v>
      </c>
      <c r="H714">
        <v>19.887379036475579</v>
      </c>
      <c r="I714">
        <v>1544.6064092307131</v>
      </c>
      <c r="J714">
        <v>40</v>
      </c>
      <c r="K714" t="s">
        <v>66</v>
      </c>
    </row>
    <row r="715" spans="1:11" x14ac:dyDescent="0.3">
      <c r="A715">
        <v>24.54694882324608</v>
      </c>
      <c r="B715">
        <v>0.89914453159237917</v>
      </c>
      <c r="C715">
        <v>0.92209072606232989</v>
      </c>
      <c r="D715">
        <v>4.1803850539105909</v>
      </c>
      <c r="E715">
        <v>6.215915993966723</v>
      </c>
      <c r="F715">
        <v>25.91850193938976</v>
      </c>
      <c r="G715">
        <v>25.5811344811022</v>
      </c>
      <c r="H715">
        <v>17.842990699238982</v>
      </c>
      <c r="I715">
        <v>1807.1275350082301</v>
      </c>
      <c r="J715">
        <v>40</v>
      </c>
      <c r="K715" t="s">
        <v>66</v>
      </c>
    </row>
    <row r="716" spans="1:11" x14ac:dyDescent="0.3">
      <c r="A716">
        <v>19.379703554165008</v>
      </c>
      <c r="B716">
        <v>0</v>
      </c>
      <c r="C716">
        <v>1.071841742347164</v>
      </c>
      <c r="D716">
        <v>2.879013662426718</v>
      </c>
      <c r="E716">
        <v>5.4152923449679076</v>
      </c>
      <c r="F716">
        <v>24.60524939010666</v>
      </c>
      <c r="G716">
        <v>20.611201090700359</v>
      </c>
      <c r="H716">
        <v>22.20567769012564</v>
      </c>
      <c r="I716">
        <v>1970.4404347095319</v>
      </c>
      <c r="J716">
        <v>13</v>
      </c>
      <c r="K716" t="s">
        <v>66</v>
      </c>
    </row>
    <row r="717" spans="1:11" x14ac:dyDescent="0.3">
      <c r="A717">
        <v>29.906796317640602</v>
      </c>
      <c r="B717">
        <v>1.0953125045376091</v>
      </c>
      <c r="C717">
        <v>1.1259233239786799</v>
      </c>
      <c r="D717">
        <v>4.9526854126930182</v>
      </c>
      <c r="E717">
        <v>5.2462125238826589</v>
      </c>
      <c r="F717">
        <v>30.920190248507751</v>
      </c>
      <c r="G717">
        <v>17.779142170406711</v>
      </c>
      <c r="H717">
        <v>26.39771205337853</v>
      </c>
      <c r="I717">
        <v>1861.848636106492</v>
      </c>
      <c r="J717">
        <v>20</v>
      </c>
      <c r="K717" t="s">
        <v>66</v>
      </c>
    </row>
    <row r="718" spans="1:11" x14ac:dyDescent="0.3">
      <c r="A718">
        <v>16</v>
      </c>
      <c r="B718">
        <v>0</v>
      </c>
      <c r="C718">
        <v>1</v>
      </c>
      <c r="D718">
        <v>2</v>
      </c>
      <c r="E718">
        <v>5.5</v>
      </c>
      <c r="F718">
        <v>27.1</v>
      </c>
      <c r="G718">
        <v>23.2</v>
      </c>
      <c r="H718">
        <v>26.8</v>
      </c>
      <c r="I718">
        <v>1987</v>
      </c>
      <c r="J718">
        <v>20</v>
      </c>
      <c r="K718" t="s">
        <v>67</v>
      </c>
    </row>
    <row r="719" spans="1:11" x14ac:dyDescent="0.3">
      <c r="A719">
        <v>153</v>
      </c>
      <c r="B719">
        <v>7</v>
      </c>
      <c r="C719">
        <v>10</v>
      </c>
      <c r="D719">
        <v>24</v>
      </c>
      <c r="E719">
        <v>5.7</v>
      </c>
      <c r="F719">
        <v>25.8</v>
      </c>
      <c r="G719">
        <v>24</v>
      </c>
      <c r="H719">
        <v>19</v>
      </c>
      <c r="I719">
        <v>2077</v>
      </c>
      <c r="J719">
        <v>20</v>
      </c>
      <c r="K719" t="s">
        <v>67</v>
      </c>
    </row>
    <row r="720" spans="1:11" x14ac:dyDescent="0.3">
      <c r="A720">
        <v>174.85346480610011</v>
      </c>
      <c r="B720">
        <v>9.0368272578561495</v>
      </c>
      <c r="C720">
        <v>10.870562225333179</v>
      </c>
      <c r="D720">
        <v>30.768511817082839</v>
      </c>
      <c r="E720">
        <v>5.9507985351824084</v>
      </c>
      <c r="F720">
        <v>42.593486387079793</v>
      </c>
      <c r="G720">
        <v>25.414046901673562</v>
      </c>
      <c r="H720">
        <v>19.330065096435959</v>
      </c>
      <c r="I720">
        <v>2098.8477212631542</v>
      </c>
      <c r="J720">
        <v>20</v>
      </c>
      <c r="K720" t="s">
        <v>66</v>
      </c>
    </row>
    <row r="721" spans="1:11" x14ac:dyDescent="0.3">
      <c r="A721">
        <v>9.6405955249299904</v>
      </c>
      <c r="B721">
        <v>0</v>
      </c>
      <c r="C721">
        <v>0</v>
      </c>
      <c r="D721">
        <v>1.0431631629637601</v>
      </c>
      <c r="E721">
        <v>6.2394673936645626</v>
      </c>
      <c r="F721">
        <v>15.923199470612911</v>
      </c>
      <c r="G721">
        <v>22.099596576220321</v>
      </c>
      <c r="H721">
        <v>21.406726789744511</v>
      </c>
      <c r="I721">
        <v>1599.4021496461251</v>
      </c>
      <c r="J721">
        <v>30</v>
      </c>
      <c r="K721" t="s">
        <v>66</v>
      </c>
    </row>
    <row r="722" spans="1:11" x14ac:dyDescent="0.3">
      <c r="A722">
        <v>79.481975729424136</v>
      </c>
      <c r="B722">
        <v>4.5606394371785717</v>
      </c>
      <c r="C722">
        <v>4.2965924952512307</v>
      </c>
      <c r="D722">
        <v>12.751846036004331</v>
      </c>
      <c r="E722">
        <v>5.8724888169798692</v>
      </c>
      <c r="F722">
        <v>29.64109027927222</v>
      </c>
      <c r="G722">
        <v>26.25725389876041</v>
      </c>
      <c r="H722">
        <v>27.11888886313405</v>
      </c>
      <c r="I722">
        <v>1381.8025339786709</v>
      </c>
      <c r="J722">
        <v>18</v>
      </c>
      <c r="K722" t="s">
        <v>66</v>
      </c>
    </row>
    <row r="723" spans="1:11" x14ac:dyDescent="0.3">
      <c r="A723">
        <v>125.9276269067076</v>
      </c>
      <c r="B723">
        <v>5.9670635996302286</v>
      </c>
      <c r="C723">
        <v>7.7620142393009202</v>
      </c>
      <c r="D723">
        <v>20.437318613514599</v>
      </c>
      <c r="E723">
        <v>6.2888434289625401</v>
      </c>
      <c r="F723">
        <v>20.436203752019338</v>
      </c>
      <c r="G723">
        <v>31.651869213279038</v>
      </c>
      <c r="H723">
        <v>30.707567275023209</v>
      </c>
      <c r="I723">
        <v>46.459387861537863</v>
      </c>
      <c r="J723">
        <v>0</v>
      </c>
      <c r="K723" t="s">
        <v>66</v>
      </c>
    </row>
    <row r="724" spans="1:11" x14ac:dyDescent="0.3">
      <c r="A724">
        <v>12.790436439380599</v>
      </c>
      <c r="B724">
        <v>0</v>
      </c>
      <c r="C724">
        <v>0</v>
      </c>
      <c r="D724">
        <v>1.0358344511076001</v>
      </c>
      <c r="E724">
        <v>5.945036978038253</v>
      </c>
      <c r="F724">
        <v>18.704023124642049</v>
      </c>
      <c r="G724">
        <v>19.137409558202691</v>
      </c>
      <c r="H724">
        <v>20.38459343272757</v>
      </c>
      <c r="I724">
        <v>1864.9691424156831</v>
      </c>
      <c r="J724">
        <v>40</v>
      </c>
      <c r="K724" t="s">
        <v>66</v>
      </c>
    </row>
    <row r="725" spans="1:11" x14ac:dyDescent="0.3">
      <c r="A725">
        <v>32.603539000103233</v>
      </c>
      <c r="B725">
        <v>1.0918454443942409</v>
      </c>
      <c r="C725">
        <v>1.981035153743826</v>
      </c>
      <c r="D725">
        <v>3.8674274514873992</v>
      </c>
      <c r="E725">
        <v>6.1418010381630879</v>
      </c>
      <c r="F725">
        <v>23.439797893249679</v>
      </c>
      <c r="G725">
        <v>23.322905293096969</v>
      </c>
      <c r="H725">
        <v>19.300179942897689</v>
      </c>
      <c r="I725">
        <v>1805.086888924814</v>
      </c>
      <c r="J725">
        <v>40</v>
      </c>
      <c r="K725" t="s">
        <v>66</v>
      </c>
    </row>
    <row r="726" spans="1:11" x14ac:dyDescent="0.3">
      <c r="A726">
        <v>61.107431575060957</v>
      </c>
      <c r="B726">
        <v>2.3067455419832998</v>
      </c>
      <c r="C726">
        <v>3.057473218858227</v>
      </c>
      <c r="D726">
        <v>7.4208282156257699</v>
      </c>
      <c r="E726">
        <v>6.2369366476869574</v>
      </c>
      <c r="F726">
        <v>21.94284280542993</v>
      </c>
      <c r="G726">
        <v>18.889041693835932</v>
      </c>
      <c r="H726">
        <v>30.442146618653659</v>
      </c>
      <c r="I726">
        <v>2255.8259453634059</v>
      </c>
      <c r="J726">
        <v>15</v>
      </c>
      <c r="K726" t="s">
        <v>66</v>
      </c>
    </row>
    <row r="727" spans="1:11" x14ac:dyDescent="0.3">
      <c r="A727">
        <v>43.756919102505741</v>
      </c>
      <c r="B727">
        <v>2.0171374322806721</v>
      </c>
      <c r="C727">
        <v>1.967873776094901</v>
      </c>
      <c r="D727">
        <v>5.5893049616323216</v>
      </c>
      <c r="E727">
        <v>4.8074887121739698</v>
      </c>
      <c r="F727">
        <v>36.351636911658019</v>
      </c>
      <c r="G727">
        <v>19.019456239977941</v>
      </c>
      <c r="H727">
        <v>19.10056722066712</v>
      </c>
      <c r="I727">
        <v>1970.758838962463</v>
      </c>
      <c r="J727">
        <v>40</v>
      </c>
      <c r="K727" t="s">
        <v>66</v>
      </c>
    </row>
    <row r="728" spans="1:11" x14ac:dyDescent="0.3">
      <c r="A728">
        <v>15.35519432297639</v>
      </c>
      <c r="B728">
        <v>0</v>
      </c>
      <c r="C728">
        <v>1.0077156496217721</v>
      </c>
      <c r="D728">
        <v>2.061809488606531</v>
      </c>
      <c r="E728">
        <v>6.0426887353508691</v>
      </c>
      <c r="F728">
        <v>43.300961507090911</v>
      </c>
      <c r="G728">
        <v>19.717713356898251</v>
      </c>
      <c r="H728">
        <v>18.577766173566321</v>
      </c>
      <c r="I728">
        <v>2015.780728650094</v>
      </c>
      <c r="J728">
        <v>40</v>
      </c>
      <c r="K728" t="s">
        <v>66</v>
      </c>
    </row>
    <row r="729" spans="1:11" x14ac:dyDescent="0.3">
      <c r="A729">
        <v>79.60984561505235</v>
      </c>
      <c r="B729">
        <v>2.6039932466337881</v>
      </c>
      <c r="C729">
        <v>4.7180262559708783</v>
      </c>
      <c r="D729">
        <v>11.94124196296986</v>
      </c>
      <c r="E729">
        <v>5.3128167555883854</v>
      </c>
      <c r="F729">
        <v>27.02023012430011</v>
      </c>
      <c r="G729">
        <v>17.83935604697519</v>
      </c>
      <c r="H729">
        <v>17.34751610154396</v>
      </c>
      <c r="I729">
        <v>1952.910501640938</v>
      </c>
      <c r="J729">
        <v>20</v>
      </c>
      <c r="K729" t="s">
        <v>66</v>
      </c>
    </row>
    <row r="730" spans="1:11" x14ac:dyDescent="0.3">
      <c r="A730">
        <v>329.72847342144212</v>
      </c>
      <c r="B730">
        <v>15.21100348416036</v>
      </c>
      <c r="C730">
        <v>26.10746765255022</v>
      </c>
      <c r="D730">
        <v>58.626382075940477</v>
      </c>
      <c r="E730">
        <v>4.3</v>
      </c>
      <c r="F730">
        <v>57.263922587203808</v>
      </c>
      <c r="G730">
        <v>29.661347651139149</v>
      </c>
      <c r="H730">
        <v>32.095621252762832</v>
      </c>
      <c r="I730">
        <v>13.89922644958869</v>
      </c>
      <c r="J730">
        <v>0</v>
      </c>
      <c r="K730" t="s">
        <v>66</v>
      </c>
    </row>
    <row r="731" spans="1:11" x14ac:dyDescent="0.3">
      <c r="A731">
        <v>43.215034457828509</v>
      </c>
      <c r="B731">
        <v>1.7795415700327151</v>
      </c>
      <c r="C731">
        <v>3.3884956754450868</v>
      </c>
      <c r="D731">
        <v>7.8549064619796036</v>
      </c>
      <c r="E731">
        <v>7.5</v>
      </c>
      <c r="F731">
        <v>46.099609494203747</v>
      </c>
      <c r="G731">
        <v>29.185737501809172</v>
      </c>
      <c r="H731">
        <v>21.373002835676999</v>
      </c>
      <c r="I731">
        <v>1385.673682628599</v>
      </c>
      <c r="J731">
        <v>25</v>
      </c>
      <c r="K731" t="s">
        <v>66</v>
      </c>
    </row>
    <row r="732" spans="1:11" x14ac:dyDescent="0.3">
      <c r="A732">
        <v>42.182997860720107</v>
      </c>
      <c r="B732">
        <v>0.96248036196760633</v>
      </c>
      <c r="C732">
        <v>1.8049267945443499</v>
      </c>
      <c r="D732">
        <v>6.2859976587474842</v>
      </c>
      <c r="E732">
        <v>5.3457393788233789</v>
      </c>
      <c r="F732">
        <v>36.192913390466948</v>
      </c>
      <c r="G732">
        <v>27.287118969218</v>
      </c>
      <c r="H732">
        <v>19.71255760422844</v>
      </c>
      <c r="I732">
        <v>1902.294118091758</v>
      </c>
      <c r="J732">
        <v>40</v>
      </c>
      <c r="K732" t="s">
        <v>66</v>
      </c>
    </row>
    <row r="733" spans="1:11" x14ac:dyDescent="0.3">
      <c r="A733">
        <v>5.5441890102137963</v>
      </c>
      <c r="B733">
        <v>0</v>
      </c>
      <c r="C733">
        <v>0</v>
      </c>
      <c r="D733">
        <v>0</v>
      </c>
      <c r="E733">
        <v>5.9614413605778749</v>
      </c>
      <c r="F733">
        <v>23.018806247959489</v>
      </c>
      <c r="G733">
        <v>21.41226452445828</v>
      </c>
      <c r="H733">
        <v>25.36062228216344</v>
      </c>
      <c r="I733">
        <v>1860.30011845334</v>
      </c>
      <c r="J733">
        <v>20</v>
      </c>
      <c r="K733" t="s">
        <v>66</v>
      </c>
    </row>
    <row r="734" spans="1:11" x14ac:dyDescent="0.3">
      <c r="A734">
        <v>41.748170055055759</v>
      </c>
      <c r="B734">
        <v>1.000369567184785</v>
      </c>
      <c r="C734">
        <v>1.870885585592921</v>
      </c>
      <c r="D734">
        <v>5.4168016024186736</v>
      </c>
      <c r="E734">
        <v>5.5290719231168577</v>
      </c>
      <c r="F734">
        <v>36.881826009262006</v>
      </c>
      <c r="G734">
        <v>26.26956236015014</v>
      </c>
      <c r="H734">
        <v>19.15611593589637</v>
      </c>
      <c r="I734">
        <v>1965.001990754522</v>
      </c>
      <c r="J734">
        <v>40</v>
      </c>
      <c r="K734" t="s">
        <v>66</v>
      </c>
    </row>
    <row r="735" spans="1:11" x14ac:dyDescent="0.3">
      <c r="A735">
        <v>78.107647343538915</v>
      </c>
      <c r="B735">
        <v>3.1954565974018521</v>
      </c>
      <c r="C735">
        <v>3.8040218978434881</v>
      </c>
      <c r="D735">
        <v>10.739906279590549</v>
      </c>
      <c r="E735">
        <v>6.1082598290549912</v>
      </c>
      <c r="F735">
        <v>31.8588266840218</v>
      </c>
      <c r="G735">
        <v>19.070969638815232</v>
      </c>
      <c r="H735">
        <v>26.772043015650809</v>
      </c>
      <c r="I735">
        <v>1608.9662589037371</v>
      </c>
      <c r="J735">
        <v>20</v>
      </c>
      <c r="K735" t="s">
        <v>66</v>
      </c>
    </row>
    <row r="736" spans="1:11" x14ac:dyDescent="0.3">
      <c r="A736">
        <v>768</v>
      </c>
      <c r="B736">
        <v>44</v>
      </c>
      <c r="C736">
        <v>62</v>
      </c>
      <c r="D736">
        <v>143</v>
      </c>
      <c r="E736">
        <v>5.5</v>
      </c>
      <c r="F736">
        <v>47.6</v>
      </c>
      <c r="G736">
        <v>19.2</v>
      </c>
      <c r="H736">
        <v>22.2</v>
      </c>
      <c r="I736">
        <v>1471</v>
      </c>
      <c r="J736">
        <v>30</v>
      </c>
      <c r="K736" t="s">
        <v>67</v>
      </c>
    </row>
    <row r="737" spans="1:11" x14ac:dyDescent="0.3">
      <c r="A737">
        <v>27.935692569805241</v>
      </c>
      <c r="B737">
        <v>0.81199899660922359</v>
      </c>
      <c r="C737">
        <v>0.84041060314258864</v>
      </c>
      <c r="D737">
        <v>3.7279306094608202</v>
      </c>
      <c r="E737">
        <v>5.9835612506767273</v>
      </c>
      <c r="F737">
        <v>18.221414956091639</v>
      </c>
      <c r="G737">
        <v>30.626894575041291</v>
      </c>
      <c r="H737">
        <v>24.58692091924766</v>
      </c>
      <c r="I737">
        <v>713.23352663060348</v>
      </c>
      <c r="J737">
        <v>0</v>
      </c>
      <c r="K737" t="s">
        <v>66</v>
      </c>
    </row>
    <row r="738" spans="1:11" x14ac:dyDescent="0.3">
      <c r="A738">
        <v>6.1784263024995862</v>
      </c>
      <c r="B738">
        <v>0</v>
      </c>
      <c r="C738">
        <v>0</v>
      </c>
      <c r="D738">
        <v>0</v>
      </c>
      <c r="E738">
        <v>6.2526986617430209</v>
      </c>
      <c r="F738">
        <v>22.346812533387808</v>
      </c>
      <c r="G738">
        <v>27.929022138251501</v>
      </c>
      <c r="H738">
        <v>34.5</v>
      </c>
      <c r="I738">
        <v>1787.566288345995</v>
      </c>
      <c r="J738">
        <v>26</v>
      </c>
      <c r="K738" t="s">
        <v>66</v>
      </c>
    </row>
    <row r="739" spans="1:11" x14ac:dyDescent="0.3">
      <c r="A739">
        <v>20.794097404415279</v>
      </c>
      <c r="B739">
        <v>1.0195024984028129</v>
      </c>
      <c r="C739">
        <v>0.94743690660146151</v>
      </c>
      <c r="D739">
        <v>3.4959928911535592</v>
      </c>
      <c r="E739">
        <v>6.0711366996651446</v>
      </c>
      <c r="F739">
        <v>29.829294471997741</v>
      </c>
      <c r="G739">
        <v>22.897944671699179</v>
      </c>
      <c r="H739">
        <v>22.037503178580899</v>
      </c>
      <c r="I739">
        <v>1708.2009986392829</v>
      </c>
      <c r="J739">
        <v>17</v>
      </c>
      <c r="K739" t="s">
        <v>66</v>
      </c>
    </row>
    <row r="740" spans="1:11" x14ac:dyDescent="0.3">
      <c r="A740">
        <v>24</v>
      </c>
      <c r="B740">
        <v>1</v>
      </c>
      <c r="C740">
        <v>1</v>
      </c>
      <c r="D740">
        <v>3</v>
      </c>
      <c r="E740">
        <v>6</v>
      </c>
      <c r="F740">
        <v>37.4</v>
      </c>
      <c r="G740">
        <v>23</v>
      </c>
      <c r="H740">
        <v>21</v>
      </c>
      <c r="I740">
        <v>1628</v>
      </c>
      <c r="J740">
        <v>25</v>
      </c>
      <c r="K740" t="s">
        <v>67</v>
      </c>
    </row>
    <row r="741" spans="1:11" x14ac:dyDescent="0.3">
      <c r="A741">
        <v>363.20553454287187</v>
      </c>
      <c r="B741">
        <v>17.21382437297121</v>
      </c>
      <c r="C741">
        <v>25.728708738234079</v>
      </c>
      <c r="D741">
        <v>68.270804132722844</v>
      </c>
      <c r="E741">
        <v>4.6168354893673644</v>
      </c>
      <c r="F741">
        <v>49.976694598608432</v>
      </c>
      <c r="G741">
        <v>19.311517379043799</v>
      </c>
      <c r="H741">
        <v>21.038232692793368</v>
      </c>
      <c r="I741">
        <v>1579.922046708454</v>
      </c>
      <c r="J741">
        <v>8</v>
      </c>
      <c r="K741" t="s">
        <v>66</v>
      </c>
    </row>
    <row r="742" spans="1:11" x14ac:dyDescent="0.3">
      <c r="A742">
        <v>69.725020886819166</v>
      </c>
      <c r="B742">
        <v>3.1225958434442012</v>
      </c>
      <c r="C742">
        <v>5.6453222304612733</v>
      </c>
      <c r="D742">
        <v>12.01881868376595</v>
      </c>
      <c r="E742">
        <v>6.3326947313947448</v>
      </c>
      <c r="F742">
        <v>16.632355006548689</v>
      </c>
      <c r="G742">
        <v>26.452799132203751</v>
      </c>
      <c r="H742">
        <v>25.260182769257419</v>
      </c>
      <c r="I742">
        <v>657.5974240960802</v>
      </c>
      <c r="J742">
        <v>25</v>
      </c>
      <c r="K742" t="s">
        <v>66</v>
      </c>
    </row>
    <row r="743" spans="1:11" x14ac:dyDescent="0.3">
      <c r="A743">
        <v>75.506681341012978</v>
      </c>
      <c r="B743">
        <v>2.9100485411175359</v>
      </c>
      <c r="C743">
        <v>4.6193223650955293</v>
      </c>
      <c r="D743">
        <v>13.800329530801189</v>
      </c>
      <c r="E743">
        <v>5.5706083535144506</v>
      </c>
      <c r="F743">
        <v>29.55727804350958</v>
      </c>
      <c r="G743">
        <v>17.861203501081871</v>
      </c>
      <c r="H743">
        <v>17.70694368809259</v>
      </c>
      <c r="I743">
        <v>1981.3244102965721</v>
      </c>
      <c r="J743">
        <v>20</v>
      </c>
      <c r="K743" t="s">
        <v>66</v>
      </c>
    </row>
    <row r="744" spans="1:11" x14ac:dyDescent="0.3">
      <c r="A744">
        <v>46.429200983259634</v>
      </c>
      <c r="B744">
        <v>2.1213701186431342</v>
      </c>
      <c r="C744">
        <v>3.1013872584696349</v>
      </c>
      <c r="D744">
        <v>7.1415962853348534</v>
      </c>
      <c r="E744">
        <v>6.0718107365054097</v>
      </c>
      <c r="F744">
        <v>39.578316719553897</v>
      </c>
      <c r="G744">
        <v>23.654865161287621</v>
      </c>
      <c r="H744">
        <v>20.731667502429929</v>
      </c>
      <c r="I744">
        <v>1652.2632848744629</v>
      </c>
      <c r="J744">
        <v>25</v>
      </c>
      <c r="K744" t="s">
        <v>66</v>
      </c>
    </row>
    <row r="745" spans="1:11" x14ac:dyDescent="0.3">
      <c r="A745">
        <v>29.92595906522719</v>
      </c>
      <c r="B745">
        <v>1.016476084123652</v>
      </c>
      <c r="C745">
        <v>1.8828144653364489</v>
      </c>
      <c r="D745">
        <v>3.9814955130934631</v>
      </c>
      <c r="E745">
        <v>5.7742082037479339</v>
      </c>
      <c r="F745">
        <v>22.292211665296161</v>
      </c>
      <c r="G745">
        <v>16.476049210692981</v>
      </c>
      <c r="H745">
        <v>20.99969840761684</v>
      </c>
      <c r="I745">
        <v>1724.8553514035079</v>
      </c>
      <c r="J745">
        <v>35</v>
      </c>
      <c r="K745" t="s">
        <v>66</v>
      </c>
    </row>
    <row r="746" spans="1:11" x14ac:dyDescent="0.3">
      <c r="A746">
        <v>10.969428430999249</v>
      </c>
      <c r="B746">
        <v>0</v>
      </c>
      <c r="C746">
        <v>0</v>
      </c>
      <c r="D746">
        <v>0.93667686032850228</v>
      </c>
      <c r="E746">
        <v>6.4510709961602171</v>
      </c>
      <c r="F746">
        <v>14.880526267320979</v>
      </c>
      <c r="G746">
        <v>21.84115870940246</v>
      </c>
      <c r="H746">
        <v>20.78997056496717</v>
      </c>
      <c r="I746">
        <v>1591.0851706037729</v>
      </c>
      <c r="J746">
        <v>30</v>
      </c>
      <c r="K746" t="s">
        <v>66</v>
      </c>
    </row>
    <row r="747" spans="1:11" x14ac:dyDescent="0.3">
      <c r="A747">
        <v>6.3743226218021203</v>
      </c>
      <c r="B747">
        <v>0</v>
      </c>
      <c r="C747">
        <v>0</v>
      </c>
      <c r="D747">
        <v>0</v>
      </c>
      <c r="E747">
        <v>5.8606516382045513</v>
      </c>
      <c r="F747">
        <v>22.844187439754851</v>
      </c>
      <c r="G747">
        <v>19.771758191182599</v>
      </c>
      <c r="H747">
        <v>25.89401902227624</v>
      </c>
      <c r="I747">
        <v>1842.559388794823</v>
      </c>
      <c r="J747">
        <v>20</v>
      </c>
      <c r="K747" t="s">
        <v>66</v>
      </c>
    </row>
    <row r="748" spans="1:11" x14ac:dyDescent="0.3">
      <c r="A748">
        <v>25.636968515968611</v>
      </c>
      <c r="B748">
        <v>0.94504597254044653</v>
      </c>
      <c r="C748">
        <v>0.77816522399489185</v>
      </c>
      <c r="D748">
        <v>2.823865418813956</v>
      </c>
      <c r="E748">
        <v>5.7805912942989641</v>
      </c>
      <c r="F748">
        <v>34.266664559202937</v>
      </c>
      <c r="G748">
        <v>22.631647195767709</v>
      </c>
      <c r="H748">
        <v>21.483530721544899</v>
      </c>
      <c r="I748">
        <v>1649.7814835247441</v>
      </c>
      <c r="J748">
        <v>25</v>
      </c>
      <c r="K748" t="s">
        <v>66</v>
      </c>
    </row>
    <row r="749" spans="1:11" x14ac:dyDescent="0.3">
      <c r="A749">
        <v>611.24638860907271</v>
      </c>
      <c r="B749">
        <v>31.265326417156029</v>
      </c>
      <c r="C749">
        <v>44.433603545561411</v>
      </c>
      <c r="D749">
        <v>126.6934979267558</v>
      </c>
      <c r="E749">
        <v>6.0729537080406901</v>
      </c>
      <c r="F749">
        <v>68.333781047777464</v>
      </c>
      <c r="G749">
        <v>29.498921398607969</v>
      </c>
      <c r="H749">
        <v>29.56709523826671</v>
      </c>
      <c r="I749">
        <v>11.11040745085918</v>
      </c>
      <c r="J749">
        <v>0</v>
      </c>
      <c r="K749" t="s">
        <v>66</v>
      </c>
    </row>
    <row r="750" spans="1:11" x14ac:dyDescent="0.3">
      <c r="A750">
        <v>54.515967483653739</v>
      </c>
      <c r="B750">
        <v>1.9749091479994201</v>
      </c>
      <c r="C750">
        <v>3.0923029960203339</v>
      </c>
      <c r="D750">
        <v>7.5407339383301846</v>
      </c>
      <c r="E750">
        <v>6.342233233364011</v>
      </c>
      <c r="F750">
        <v>33.02724700852859</v>
      </c>
      <c r="G750">
        <v>23.197279899975591</v>
      </c>
      <c r="H750">
        <v>18.84057674750251</v>
      </c>
      <c r="I750">
        <v>1233.802392052356</v>
      </c>
      <c r="J750">
        <v>18</v>
      </c>
      <c r="K750" t="s">
        <v>66</v>
      </c>
    </row>
    <row r="751" spans="1:11" x14ac:dyDescent="0.3">
      <c r="A751">
        <v>11.9114384482208</v>
      </c>
      <c r="B751">
        <v>0</v>
      </c>
      <c r="C751">
        <v>0</v>
      </c>
      <c r="D751">
        <v>1.068321240400107</v>
      </c>
      <c r="E751">
        <v>6.5325996780927191</v>
      </c>
      <c r="F751">
        <v>36.383404610264392</v>
      </c>
      <c r="G751">
        <v>17.078433622179229</v>
      </c>
      <c r="H751">
        <v>22.263674624378979</v>
      </c>
      <c r="I751">
        <v>1455.8371144594439</v>
      </c>
      <c r="J751">
        <v>30</v>
      </c>
      <c r="K751" t="s">
        <v>66</v>
      </c>
    </row>
    <row r="752" spans="1:11" x14ac:dyDescent="0.3">
      <c r="A752">
        <v>0</v>
      </c>
      <c r="B752">
        <v>0</v>
      </c>
      <c r="C752">
        <v>0</v>
      </c>
      <c r="D752">
        <v>0</v>
      </c>
      <c r="E752">
        <v>7.2422450540800032</v>
      </c>
      <c r="F752">
        <v>13.9</v>
      </c>
      <c r="G752">
        <v>36.578733550644408</v>
      </c>
      <c r="H752">
        <v>31.934071165105291</v>
      </c>
      <c r="I752">
        <v>1748.9067017331231</v>
      </c>
      <c r="J752">
        <v>7</v>
      </c>
      <c r="K752" t="s">
        <v>66</v>
      </c>
    </row>
    <row r="753" spans="1:11" x14ac:dyDescent="0.3">
      <c r="A753">
        <v>21.462498474858421</v>
      </c>
      <c r="B753">
        <v>0.82237536665335487</v>
      </c>
      <c r="C753">
        <v>1.060890535625463</v>
      </c>
      <c r="D753">
        <v>3.0349735536037392</v>
      </c>
      <c r="E753">
        <v>6.2473593404232837</v>
      </c>
      <c r="F753">
        <v>47.321875353859589</v>
      </c>
      <c r="G753">
        <v>21.882784173144341</v>
      </c>
      <c r="H753">
        <v>20.818145358772089</v>
      </c>
      <c r="I753">
        <v>1271.038906940073</v>
      </c>
      <c r="J753">
        <v>30</v>
      </c>
      <c r="K753" t="s">
        <v>66</v>
      </c>
    </row>
    <row r="754" spans="1:11" x14ac:dyDescent="0.3">
      <c r="A754">
        <v>121.7151923443494</v>
      </c>
      <c r="B754">
        <v>5.8614801756931394</v>
      </c>
      <c r="C754">
        <v>8.6876678978748458</v>
      </c>
      <c r="D754">
        <v>18.240190018792301</v>
      </c>
      <c r="E754">
        <v>4.3878606283891743</v>
      </c>
      <c r="F754">
        <v>61.69804731494353</v>
      </c>
      <c r="G754">
        <v>19.563840596999729</v>
      </c>
      <c r="H754">
        <v>20.873129132716969</v>
      </c>
      <c r="I754">
        <v>1595.3514106974419</v>
      </c>
      <c r="J754">
        <v>12</v>
      </c>
      <c r="K754" t="s">
        <v>66</v>
      </c>
    </row>
    <row r="755" spans="1:11" x14ac:dyDescent="0.3">
      <c r="A755">
        <v>47.941071197135457</v>
      </c>
      <c r="B755">
        <v>2.135575063906181</v>
      </c>
      <c r="C755">
        <v>2.493796695866787</v>
      </c>
      <c r="D755">
        <v>6.9432678246947797</v>
      </c>
      <c r="E755">
        <v>6.2303847943751114</v>
      </c>
      <c r="F755">
        <v>30.65830397094161</v>
      </c>
      <c r="G755">
        <v>22.63666246525224</v>
      </c>
      <c r="H755">
        <v>25.170631467614051</v>
      </c>
      <c r="I755">
        <v>1434.4839539169141</v>
      </c>
      <c r="J755">
        <v>18</v>
      </c>
      <c r="K755" t="s">
        <v>66</v>
      </c>
    </row>
    <row r="756" spans="1:11" x14ac:dyDescent="0.3">
      <c r="A756">
        <v>40.549672629933099</v>
      </c>
      <c r="B756">
        <v>1.058669380147528</v>
      </c>
      <c r="C756">
        <v>2.0677105752571832</v>
      </c>
      <c r="D756">
        <v>4.7408736805693987</v>
      </c>
      <c r="E756">
        <v>5.4617026863500957</v>
      </c>
      <c r="F756">
        <v>36.494937516158217</v>
      </c>
      <c r="G756">
        <v>25.462518000084081</v>
      </c>
      <c r="H756">
        <v>18.427434397111639</v>
      </c>
      <c r="I756">
        <v>1983.332129602793</v>
      </c>
      <c r="J756">
        <v>40</v>
      </c>
      <c r="K756" t="s">
        <v>66</v>
      </c>
    </row>
    <row r="757" spans="1:11" x14ac:dyDescent="0.3">
      <c r="A757">
        <v>104.6745291953667</v>
      </c>
      <c r="B757">
        <v>6.0061352228503821</v>
      </c>
      <c r="C757">
        <v>7.3462939576425228</v>
      </c>
      <c r="D757">
        <v>17.030598028560171</v>
      </c>
      <c r="E757">
        <v>6.2109087198440172</v>
      </c>
      <c r="F757">
        <v>27.234762388484231</v>
      </c>
      <c r="G757">
        <v>19.396938162472221</v>
      </c>
      <c r="H757">
        <v>28.539029599698988</v>
      </c>
      <c r="I757">
        <v>2007.9282188521879</v>
      </c>
      <c r="J757">
        <v>30</v>
      </c>
      <c r="K757" t="s">
        <v>66</v>
      </c>
    </row>
    <row r="758" spans="1:11" x14ac:dyDescent="0.3">
      <c r="A758">
        <v>73</v>
      </c>
      <c r="B758">
        <v>3</v>
      </c>
      <c r="C758">
        <v>5</v>
      </c>
      <c r="D758">
        <v>11</v>
      </c>
      <c r="E758">
        <v>5.9</v>
      </c>
      <c r="F758">
        <v>31.2</v>
      </c>
      <c r="G758">
        <v>18.3</v>
      </c>
      <c r="H758">
        <v>28.5</v>
      </c>
      <c r="I758">
        <v>1647</v>
      </c>
      <c r="J758">
        <v>20</v>
      </c>
      <c r="K758" t="s">
        <v>67</v>
      </c>
    </row>
    <row r="759" spans="1:11" x14ac:dyDescent="0.3">
      <c r="A759">
        <v>71.098148580984002</v>
      </c>
      <c r="B759">
        <v>2.9432638827668902</v>
      </c>
      <c r="C759">
        <v>4.6380048341286946</v>
      </c>
      <c r="D759">
        <v>11.607992102989151</v>
      </c>
      <c r="E759">
        <v>5.561459622063893</v>
      </c>
      <c r="F759">
        <v>35.920653342740927</v>
      </c>
      <c r="G759">
        <v>17.863883183780111</v>
      </c>
      <c r="H759">
        <v>17.627586027353491</v>
      </c>
      <c r="I759">
        <v>1996.962938776242</v>
      </c>
      <c r="J759">
        <v>20</v>
      </c>
      <c r="K759" t="s">
        <v>66</v>
      </c>
    </row>
    <row r="760" spans="1:11" x14ac:dyDescent="0.3">
      <c r="A760">
        <v>31.314530682319511</v>
      </c>
      <c r="B760">
        <v>1.1072978047766009</v>
      </c>
      <c r="C760">
        <v>2.1267322049548119</v>
      </c>
      <c r="D760">
        <v>5.0341857829838297</v>
      </c>
      <c r="E760">
        <v>6.0193549433354452</v>
      </c>
      <c r="F760">
        <v>26.864100635850509</v>
      </c>
      <c r="G760">
        <v>26.173047957765629</v>
      </c>
      <c r="H760">
        <v>23.293391428090882</v>
      </c>
      <c r="I760">
        <v>1211.246180075326</v>
      </c>
      <c r="J760">
        <v>18</v>
      </c>
      <c r="K760" t="s">
        <v>66</v>
      </c>
    </row>
    <row r="761" spans="1:11" x14ac:dyDescent="0.3">
      <c r="A761">
        <v>22.318085508298601</v>
      </c>
      <c r="B761">
        <v>0.94199467586299568</v>
      </c>
      <c r="C761">
        <v>1.0189328307292369</v>
      </c>
      <c r="D761">
        <v>3.0538866817895771</v>
      </c>
      <c r="E761">
        <v>6.6397788003536489</v>
      </c>
      <c r="F761">
        <v>38.802348084157387</v>
      </c>
      <c r="G761">
        <v>24.903897019214948</v>
      </c>
      <c r="H761">
        <v>20.101815894782771</v>
      </c>
      <c r="I761">
        <v>1630.121854529543</v>
      </c>
      <c r="J761">
        <v>25</v>
      </c>
      <c r="K761" t="s">
        <v>66</v>
      </c>
    </row>
    <row r="762" spans="1:11" x14ac:dyDescent="0.3">
      <c r="A762">
        <v>125.1859758718484</v>
      </c>
      <c r="B762">
        <v>5.3110420267484288</v>
      </c>
      <c r="C762">
        <v>7.929527004776741</v>
      </c>
      <c r="D762">
        <v>20.733628086570889</v>
      </c>
      <c r="E762">
        <v>6.0763804783261364</v>
      </c>
      <c r="F762">
        <v>31.93373664986332</v>
      </c>
      <c r="G762">
        <v>21.951871152231899</v>
      </c>
      <c r="H762">
        <v>21.829736207223959</v>
      </c>
      <c r="I762">
        <v>1681.646137811545</v>
      </c>
      <c r="J762">
        <v>12</v>
      </c>
      <c r="K762" t="s">
        <v>66</v>
      </c>
    </row>
    <row r="763" spans="1:11" x14ac:dyDescent="0.3">
      <c r="A763">
        <v>93.463378847657538</v>
      </c>
      <c r="B763">
        <v>4.3801230367894304</v>
      </c>
      <c r="C763">
        <v>6.4073587740355666</v>
      </c>
      <c r="D763">
        <v>13.9278679000655</v>
      </c>
      <c r="E763">
        <v>6.1266434564803891</v>
      </c>
      <c r="F763">
        <v>33.315036464411627</v>
      </c>
      <c r="G763">
        <v>18.87040550729558</v>
      </c>
      <c r="H763">
        <v>18.97826329576996</v>
      </c>
      <c r="I763">
        <v>2149.568231715064</v>
      </c>
      <c r="J763">
        <v>20</v>
      </c>
      <c r="K763" t="s">
        <v>66</v>
      </c>
    </row>
    <row r="764" spans="1:11" x14ac:dyDescent="0.3">
      <c r="A764">
        <v>256</v>
      </c>
      <c r="B764">
        <v>12</v>
      </c>
      <c r="C764">
        <v>18</v>
      </c>
      <c r="D764">
        <v>41</v>
      </c>
      <c r="E764">
        <v>5.2</v>
      </c>
      <c r="F764">
        <v>28.6</v>
      </c>
      <c r="G764">
        <v>20.2</v>
      </c>
      <c r="H764">
        <v>18.5</v>
      </c>
      <c r="I764">
        <v>1551</v>
      </c>
      <c r="J764">
        <v>25</v>
      </c>
      <c r="K764" t="s">
        <v>67</v>
      </c>
    </row>
    <row r="765" spans="1:11" x14ac:dyDescent="0.3">
      <c r="A765">
        <v>0</v>
      </c>
      <c r="B765">
        <v>0</v>
      </c>
      <c r="C765">
        <v>0</v>
      </c>
      <c r="D765">
        <v>0</v>
      </c>
      <c r="E765">
        <v>6.3379666538452097</v>
      </c>
      <c r="F765">
        <v>22.53140965880095</v>
      </c>
      <c r="G765">
        <v>31.264267265271609</v>
      </c>
      <c r="H765">
        <v>34.081326887395853</v>
      </c>
      <c r="I765">
        <v>1771.8371384511149</v>
      </c>
      <c r="J765">
        <v>26</v>
      </c>
      <c r="K765" t="s">
        <v>66</v>
      </c>
    </row>
    <row r="766" spans="1:11" x14ac:dyDescent="0.3">
      <c r="A766">
        <v>21.805806465610559</v>
      </c>
      <c r="B766">
        <v>0.92482089499048159</v>
      </c>
      <c r="C766">
        <v>1.124961890529667</v>
      </c>
      <c r="D766">
        <v>2.772370422619387</v>
      </c>
      <c r="E766">
        <v>6.2418803516372128</v>
      </c>
      <c r="F766">
        <v>48.491136164942652</v>
      </c>
      <c r="G766">
        <v>22.142903657690521</v>
      </c>
      <c r="H766">
        <v>21.007163042543048</v>
      </c>
      <c r="I766">
        <v>1284.2992158533571</v>
      </c>
      <c r="J766">
        <v>30</v>
      </c>
      <c r="K766" t="s">
        <v>66</v>
      </c>
    </row>
    <row r="767" spans="1:11" x14ac:dyDescent="0.3">
      <c r="A767">
        <v>27.696635266581879</v>
      </c>
      <c r="B767">
        <v>1.007203686128374</v>
      </c>
      <c r="C767">
        <v>1.163506639452752</v>
      </c>
      <c r="D767">
        <v>3.809379430712303</v>
      </c>
      <c r="E767">
        <v>6.0397088171858364</v>
      </c>
      <c r="F767">
        <v>41.60530736777212</v>
      </c>
      <c r="G767">
        <v>23.341600669350939</v>
      </c>
      <c r="H767">
        <v>21.950821212491331</v>
      </c>
      <c r="I767">
        <v>1642.9320307782559</v>
      </c>
      <c r="J767">
        <v>25</v>
      </c>
      <c r="K767" t="s">
        <v>66</v>
      </c>
    </row>
    <row r="768" spans="1:11" x14ac:dyDescent="0.3">
      <c r="A768">
        <v>346</v>
      </c>
      <c r="B768">
        <v>17</v>
      </c>
      <c r="C768">
        <v>24</v>
      </c>
      <c r="D768">
        <v>55</v>
      </c>
      <c r="E768">
        <v>6.3</v>
      </c>
      <c r="F768">
        <v>34</v>
      </c>
      <c r="G768">
        <v>25.6</v>
      </c>
      <c r="H768">
        <v>22</v>
      </c>
      <c r="I768">
        <v>1340</v>
      </c>
      <c r="J768">
        <v>20</v>
      </c>
      <c r="K768" t="s">
        <v>67</v>
      </c>
    </row>
    <row r="769" spans="1:11" x14ac:dyDescent="0.3">
      <c r="A769">
        <v>30.123219377472541</v>
      </c>
      <c r="B769">
        <v>0.95891857120454149</v>
      </c>
      <c r="C769">
        <v>2.277269879452569</v>
      </c>
      <c r="D769">
        <v>3.7145661320371302</v>
      </c>
      <c r="E769">
        <v>6.1961965544252147</v>
      </c>
      <c r="F769">
        <v>22.59650057856258</v>
      </c>
      <c r="G769">
        <v>17.44983118558903</v>
      </c>
      <c r="H769">
        <v>25.938966240114329</v>
      </c>
      <c r="I769">
        <v>1630.2752475847669</v>
      </c>
      <c r="J769">
        <v>20</v>
      </c>
      <c r="K769" t="s">
        <v>66</v>
      </c>
    </row>
    <row r="770" spans="1:11" x14ac:dyDescent="0.3">
      <c r="A770">
        <v>19.132343738650508</v>
      </c>
      <c r="B770">
        <v>1.209972178916652</v>
      </c>
      <c r="C770">
        <v>1.1181891092959959</v>
      </c>
      <c r="D770">
        <v>3.1025475641864899</v>
      </c>
      <c r="E770">
        <v>6.1397848863675719</v>
      </c>
      <c r="F770">
        <v>49.368072439651947</v>
      </c>
      <c r="G770">
        <v>22.30039421869742</v>
      </c>
      <c r="H770">
        <v>21.188495852636009</v>
      </c>
      <c r="I770">
        <v>1290.8384647533951</v>
      </c>
      <c r="J770">
        <v>30</v>
      </c>
      <c r="K770" t="s">
        <v>66</v>
      </c>
    </row>
    <row r="771" spans="1:11" x14ac:dyDescent="0.3">
      <c r="A771">
        <v>31.197188730264742</v>
      </c>
      <c r="B771">
        <v>1.193892899905828</v>
      </c>
      <c r="C771">
        <v>2.2122741929746268</v>
      </c>
      <c r="D771">
        <v>5.1056982837353297</v>
      </c>
      <c r="E771">
        <v>6.2350985921200737</v>
      </c>
      <c r="F771">
        <v>20.17572747040639</v>
      </c>
      <c r="G771">
        <v>25.080412670939229</v>
      </c>
      <c r="H771">
        <v>20.853453773171491</v>
      </c>
      <c r="I771">
        <v>1249.193253655726</v>
      </c>
      <c r="J771">
        <v>45</v>
      </c>
      <c r="K771" t="s">
        <v>66</v>
      </c>
    </row>
    <row r="772" spans="1:11" x14ac:dyDescent="0.3">
      <c r="A772">
        <v>545.3082769288502</v>
      </c>
      <c r="B772">
        <v>28.610504649735411</v>
      </c>
      <c r="C772">
        <v>39.634401769963539</v>
      </c>
      <c r="D772">
        <v>83.759617504975466</v>
      </c>
      <c r="E772">
        <v>6.2586700362052046</v>
      </c>
      <c r="F772">
        <v>85.815360948487537</v>
      </c>
      <c r="G772">
        <v>31.30371005416254</v>
      </c>
      <c r="H772">
        <v>32.224200698893164</v>
      </c>
      <c r="I772">
        <v>11</v>
      </c>
      <c r="J772">
        <v>0</v>
      </c>
      <c r="K772" t="s">
        <v>66</v>
      </c>
    </row>
    <row r="773" spans="1:11" x14ac:dyDescent="0.3">
      <c r="A773">
        <v>58.881346117350922</v>
      </c>
      <c r="B773">
        <v>3.7933030041051108</v>
      </c>
      <c r="C773">
        <v>4.550598580007815</v>
      </c>
      <c r="D773">
        <v>9.1307130130113556</v>
      </c>
      <c r="E773">
        <v>5.9366248905524213</v>
      </c>
      <c r="F773">
        <v>18.725846893268081</v>
      </c>
      <c r="G773">
        <v>22.08042729410985</v>
      </c>
      <c r="H773">
        <v>21.007922734848201</v>
      </c>
      <c r="I773">
        <v>1590.6970071934441</v>
      </c>
      <c r="J773">
        <v>30</v>
      </c>
      <c r="K773" t="s">
        <v>66</v>
      </c>
    </row>
    <row r="774" spans="1:11" x14ac:dyDescent="0.3">
      <c r="A774">
        <v>74.17029891155336</v>
      </c>
      <c r="B774">
        <v>2.711180230414616</v>
      </c>
      <c r="C774">
        <v>4.1916433125259926</v>
      </c>
      <c r="D774">
        <v>10.79587331580059</v>
      </c>
      <c r="E774">
        <v>6.4474803632160684</v>
      </c>
      <c r="F774">
        <v>15.79469828730136</v>
      </c>
      <c r="G774">
        <v>23.97489257098491</v>
      </c>
      <c r="H774">
        <v>24.055973466219491</v>
      </c>
      <c r="I774">
        <v>670.21269284006712</v>
      </c>
      <c r="J774">
        <v>25</v>
      </c>
      <c r="K774" t="s">
        <v>66</v>
      </c>
    </row>
    <row r="775" spans="1:11" x14ac:dyDescent="0.3">
      <c r="A775">
        <v>11.503471164736141</v>
      </c>
      <c r="B775">
        <v>0</v>
      </c>
      <c r="C775">
        <v>0</v>
      </c>
      <c r="D775">
        <v>1.106265729078753</v>
      </c>
      <c r="E775">
        <v>6.3565681680463157</v>
      </c>
      <c r="F775">
        <v>15.27319799079025</v>
      </c>
      <c r="G775">
        <v>22.02177853427531</v>
      </c>
      <c r="H775">
        <v>21.033632091661779</v>
      </c>
      <c r="I775">
        <v>1582.2946246537381</v>
      </c>
      <c r="J775">
        <v>30</v>
      </c>
      <c r="K775" t="s">
        <v>66</v>
      </c>
    </row>
    <row r="776" spans="1:11" x14ac:dyDescent="0.3">
      <c r="A776">
        <v>11</v>
      </c>
      <c r="B776">
        <v>0</v>
      </c>
      <c r="C776">
        <v>0</v>
      </c>
      <c r="D776">
        <v>1</v>
      </c>
      <c r="E776">
        <v>6.4</v>
      </c>
      <c r="F776">
        <v>16</v>
      </c>
      <c r="G776">
        <v>22.1</v>
      </c>
      <c r="H776">
        <v>21</v>
      </c>
      <c r="I776">
        <v>1567.28</v>
      </c>
      <c r="J776">
        <v>30</v>
      </c>
      <c r="K776" t="s">
        <v>67</v>
      </c>
    </row>
    <row r="777" spans="1:11" x14ac:dyDescent="0.3">
      <c r="A777">
        <v>25.54056450774014</v>
      </c>
      <c r="B777">
        <v>0.96160287280476486</v>
      </c>
      <c r="C777">
        <v>1.100947178859597</v>
      </c>
      <c r="D777">
        <v>5.3767097317512151</v>
      </c>
      <c r="E777">
        <v>5.9698948865475749</v>
      </c>
      <c r="F777">
        <v>20.533741711168648</v>
      </c>
      <c r="G777">
        <v>20.716521671546751</v>
      </c>
      <c r="H777">
        <v>26.122228064181371</v>
      </c>
      <c r="I777">
        <v>2179.4469114565732</v>
      </c>
      <c r="J777">
        <v>10</v>
      </c>
      <c r="K777" t="s">
        <v>66</v>
      </c>
    </row>
    <row r="778" spans="1:11" x14ac:dyDescent="0.3">
      <c r="A778">
        <v>72.9086861903195</v>
      </c>
      <c r="B778">
        <v>2.9842786648267592</v>
      </c>
      <c r="C778">
        <v>4.7234550915429336</v>
      </c>
      <c r="D778">
        <v>12.13148589609343</v>
      </c>
      <c r="E778">
        <v>6.3343643047856393</v>
      </c>
      <c r="F778">
        <v>32.890369572016397</v>
      </c>
      <c r="G778">
        <v>27.315384628899011</v>
      </c>
      <c r="H778">
        <v>21.298921390553431</v>
      </c>
      <c r="I778">
        <v>1346.31412256767</v>
      </c>
      <c r="J778">
        <v>25</v>
      </c>
      <c r="K778" t="s">
        <v>66</v>
      </c>
    </row>
    <row r="779" spans="1:11" x14ac:dyDescent="0.3">
      <c r="A779">
        <v>109.7268224443697</v>
      </c>
      <c r="B779">
        <v>4.4979727015789948</v>
      </c>
      <c r="C779">
        <v>5.2513572877549421</v>
      </c>
      <c r="D779">
        <v>16.53229357196642</v>
      </c>
      <c r="E779">
        <v>5.881703000343073</v>
      </c>
      <c r="F779">
        <v>39.486928055645443</v>
      </c>
      <c r="G779">
        <v>23.919404709625649</v>
      </c>
      <c r="H779">
        <v>18.907737083746088</v>
      </c>
      <c r="I779">
        <v>2088.1993374513868</v>
      </c>
      <c r="J779">
        <v>20</v>
      </c>
      <c r="K779" t="s">
        <v>66</v>
      </c>
    </row>
    <row r="780" spans="1:11" x14ac:dyDescent="0.3">
      <c r="A780">
        <v>177.4316603283437</v>
      </c>
      <c r="B780">
        <v>8.7292262275732568</v>
      </c>
      <c r="C780">
        <v>12.03144570332884</v>
      </c>
      <c r="D780">
        <v>27.714535952028079</v>
      </c>
      <c r="E780">
        <v>6.0209532321628547</v>
      </c>
      <c r="F780">
        <v>26.31145731529616</v>
      </c>
      <c r="G780">
        <v>27.874997332563581</v>
      </c>
      <c r="H780">
        <v>31.65216774468233</v>
      </c>
      <c r="I780">
        <v>14.465651832686911</v>
      </c>
      <c r="J780">
        <v>0</v>
      </c>
      <c r="K780" t="s">
        <v>66</v>
      </c>
    </row>
    <row r="781" spans="1:11" x14ac:dyDescent="0.3">
      <c r="A781">
        <v>57.107443118636297</v>
      </c>
      <c r="B781">
        <v>2.0350422837817019</v>
      </c>
      <c r="C781">
        <v>2.9270816403357398</v>
      </c>
      <c r="D781">
        <v>8.2706859535487673</v>
      </c>
      <c r="E781">
        <v>5.6938046646255263</v>
      </c>
      <c r="F781">
        <v>58.312184602052049</v>
      </c>
      <c r="G781">
        <v>20.874702995486398</v>
      </c>
      <c r="H781">
        <v>19.200310672874231</v>
      </c>
      <c r="I781">
        <v>1909.1350316174321</v>
      </c>
      <c r="J781">
        <v>40</v>
      </c>
      <c r="K781" t="s">
        <v>66</v>
      </c>
    </row>
    <row r="782" spans="1:11" x14ac:dyDescent="0.3">
      <c r="A782">
        <v>36.775099216683778</v>
      </c>
      <c r="B782">
        <v>0.94378319734216976</v>
      </c>
      <c r="C782">
        <v>2.3060390397726702</v>
      </c>
      <c r="D782">
        <v>5.4445769123939032</v>
      </c>
      <c r="E782">
        <v>6.2479086048998083</v>
      </c>
      <c r="F782">
        <v>21.595377544297929</v>
      </c>
      <c r="G782">
        <v>23.9842322741262</v>
      </c>
      <c r="H782">
        <v>20.9342965338192</v>
      </c>
      <c r="I782">
        <v>1273.8506461908059</v>
      </c>
      <c r="J782">
        <v>45</v>
      </c>
      <c r="K782" t="s">
        <v>66</v>
      </c>
    </row>
    <row r="783" spans="1:11" x14ac:dyDescent="0.3">
      <c r="A783">
        <v>97.282312284463103</v>
      </c>
      <c r="B783">
        <v>3.367523719187147</v>
      </c>
      <c r="C783">
        <v>5.2244247917086426</v>
      </c>
      <c r="D783">
        <v>16.932113587278561</v>
      </c>
      <c r="E783">
        <v>5.7539346215381286</v>
      </c>
      <c r="F783">
        <v>41.027307022990037</v>
      </c>
      <c r="G783">
        <v>24.908470500861529</v>
      </c>
      <c r="H783">
        <v>24.917225372248801</v>
      </c>
      <c r="I783">
        <v>695.91182617803463</v>
      </c>
      <c r="J783">
        <v>25</v>
      </c>
      <c r="K783" t="s">
        <v>66</v>
      </c>
    </row>
    <row r="784" spans="1:11" x14ac:dyDescent="0.3">
      <c r="A784">
        <v>88.384448481663426</v>
      </c>
      <c r="B784">
        <v>4.2033074558698358</v>
      </c>
      <c r="C784">
        <v>5.8715593813632836</v>
      </c>
      <c r="D784">
        <v>13.710221575262279</v>
      </c>
      <c r="E784">
        <v>7.022660783679588</v>
      </c>
      <c r="F784">
        <v>34.661077923041169</v>
      </c>
      <c r="G784">
        <v>18.701103594201118</v>
      </c>
      <c r="H784">
        <v>17.76524311721294</v>
      </c>
      <c r="I784">
        <v>1855.4788253489321</v>
      </c>
      <c r="J784">
        <v>20</v>
      </c>
      <c r="K784" t="s">
        <v>66</v>
      </c>
    </row>
    <row r="785" spans="1:11" x14ac:dyDescent="0.3">
      <c r="A785">
        <v>45</v>
      </c>
      <c r="B785">
        <v>2</v>
      </c>
      <c r="C785">
        <v>3</v>
      </c>
      <c r="D785">
        <v>7</v>
      </c>
      <c r="E785">
        <v>6.2</v>
      </c>
      <c r="F785">
        <v>31.3</v>
      </c>
      <c r="G785">
        <v>22.3</v>
      </c>
      <c r="H785">
        <v>26.8</v>
      </c>
      <c r="I785">
        <v>1406</v>
      </c>
      <c r="J785">
        <v>18</v>
      </c>
      <c r="K785" t="s">
        <v>67</v>
      </c>
    </row>
    <row r="786" spans="1:11" x14ac:dyDescent="0.3">
      <c r="A786">
        <v>123.9240700083491</v>
      </c>
      <c r="B786">
        <v>6.1848303237024611</v>
      </c>
      <c r="C786">
        <v>7.574836358912628</v>
      </c>
      <c r="D786">
        <v>20.54602143498877</v>
      </c>
      <c r="E786">
        <v>6.2959620157353724</v>
      </c>
      <c r="F786">
        <v>20.302806217044399</v>
      </c>
      <c r="G786">
        <v>32.124669518314548</v>
      </c>
      <c r="H786">
        <v>29.273982042914749</v>
      </c>
      <c r="I786">
        <v>48.878357119689817</v>
      </c>
      <c r="J786">
        <v>0</v>
      </c>
      <c r="K786" t="s">
        <v>66</v>
      </c>
    </row>
    <row r="787" spans="1:11" x14ac:dyDescent="0.3">
      <c r="A787">
        <v>573.68427145638793</v>
      </c>
      <c r="B787">
        <v>28.351126115057859</v>
      </c>
      <c r="C787">
        <v>33.584609018856128</v>
      </c>
      <c r="D787">
        <v>80.839456973829655</v>
      </c>
      <c r="E787">
        <v>5.3756716346109341</v>
      </c>
      <c r="F787">
        <v>67.285503706860538</v>
      </c>
      <c r="G787">
        <v>29.86320090806187</v>
      </c>
      <c r="H787">
        <v>29.44403186836966</v>
      </c>
      <c r="I787">
        <v>11.091812446365299</v>
      </c>
      <c r="J787">
        <v>0</v>
      </c>
      <c r="K787" t="s">
        <v>66</v>
      </c>
    </row>
    <row r="788" spans="1:11" x14ac:dyDescent="0.3">
      <c r="A788">
        <v>27.711515528144862</v>
      </c>
      <c r="B788">
        <v>0.98704827531365591</v>
      </c>
      <c r="C788">
        <v>2.1910538474414412</v>
      </c>
      <c r="D788">
        <v>4.3829219290374128</v>
      </c>
      <c r="E788">
        <v>6.0376467819476289</v>
      </c>
      <c r="F788">
        <v>19.55247242713844</v>
      </c>
      <c r="G788">
        <v>19.233577319869632</v>
      </c>
      <c r="H788">
        <v>19.537997866023741</v>
      </c>
      <c r="I788">
        <v>2016.8533381433549</v>
      </c>
      <c r="J788">
        <v>40</v>
      </c>
      <c r="K788" t="s">
        <v>66</v>
      </c>
    </row>
    <row r="789" spans="1:11" x14ac:dyDescent="0.3">
      <c r="A789">
        <v>960</v>
      </c>
      <c r="B789">
        <v>46.764038299903802</v>
      </c>
      <c r="C789">
        <v>63.081118722100939</v>
      </c>
      <c r="D789">
        <v>153</v>
      </c>
      <c r="E789">
        <v>5.2804867920963128</v>
      </c>
      <c r="F789">
        <v>25.790475214949879</v>
      </c>
      <c r="G789">
        <v>20.187305755817789</v>
      </c>
      <c r="H789">
        <v>22.15172983875037</v>
      </c>
      <c r="I789">
        <v>1471.5330456117531</v>
      </c>
      <c r="J789">
        <v>30</v>
      </c>
      <c r="K789" t="s">
        <v>66</v>
      </c>
    </row>
    <row r="790" spans="1:11" x14ac:dyDescent="0.3">
      <c r="A790">
        <v>123.83969228615879</v>
      </c>
      <c r="B790">
        <v>7.1326125944041143</v>
      </c>
      <c r="C790">
        <v>7.5901006074586448</v>
      </c>
      <c r="D790">
        <v>23.759749098842011</v>
      </c>
      <c r="E790">
        <v>6.0670273522676048</v>
      </c>
      <c r="F790">
        <v>29.115390342507009</v>
      </c>
      <c r="G790">
        <v>24.00040319448458</v>
      </c>
      <c r="H790">
        <v>18.810167327828811</v>
      </c>
      <c r="I790">
        <v>1990.049384949871</v>
      </c>
      <c r="J790">
        <v>20</v>
      </c>
      <c r="K790" t="s">
        <v>66</v>
      </c>
    </row>
    <row r="791" spans="1:11" x14ac:dyDescent="0.3">
      <c r="A791">
        <v>90.523579860256007</v>
      </c>
      <c r="B791">
        <v>2.721146741942277</v>
      </c>
      <c r="C791">
        <v>3.9875186044243658</v>
      </c>
      <c r="D791">
        <v>11.766511800327629</v>
      </c>
      <c r="E791">
        <v>5.7270454762552561</v>
      </c>
      <c r="F791">
        <v>31.030265868448549</v>
      </c>
      <c r="G791">
        <v>16.62539827300224</v>
      </c>
      <c r="H791">
        <v>19.632984923419009</v>
      </c>
      <c r="I791">
        <v>2146.597283831512</v>
      </c>
      <c r="J791">
        <v>20</v>
      </c>
      <c r="K791" t="s">
        <v>66</v>
      </c>
    </row>
    <row r="792" spans="1:11" x14ac:dyDescent="0.3">
      <c r="A792">
        <v>51.081147340897687</v>
      </c>
      <c r="B792">
        <v>2.334690418059707</v>
      </c>
      <c r="C792">
        <v>2.976279797440633</v>
      </c>
      <c r="D792">
        <v>9.372726104906155</v>
      </c>
      <c r="E792">
        <v>4.9371850600244356</v>
      </c>
      <c r="F792">
        <v>34.228979309885077</v>
      </c>
      <c r="G792">
        <v>23.38504529265947</v>
      </c>
      <c r="H792">
        <v>27.34143676545397</v>
      </c>
      <c r="I792">
        <v>1978.4749374336509</v>
      </c>
      <c r="J792">
        <v>20</v>
      </c>
      <c r="K792" t="s">
        <v>66</v>
      </c>
    </row>
    <row r="793" spans="1:11" x14ac:dyDescent="0.3">
      <c r="A793">
        <v>134.0446476895375</v>
      </c>
      <c r="B793">
        <v>5.1713732381077353</v>
      </c>
      <c r="C793">
        <v>6.470687559478594</v>
      </c>
      <c r="D793">
        <v>17.90568486261947</v>
      </c>
      <c r="E793">
        <v>6.1413572086847488</v>
      </c>
      <c r="F793">
        <v>29.40895250517022</v>
      </c>
      <c r="G793">
        <v>23.955262032142102</v>
      </c>
      <c r="H793">
        <v>19.210359667696281</v>
      </c>
      <c r="I793">
        <v>2025.389886749002</v>
      </c>
      <c r="J793">
        <v>20</v>
      </c>
      <c r="K793" t="s">
        <v>66</v>
      </c>
    </row>
    <row r="794" spans="1:11" x14ac:dyDescent="0.3">
      <c r="A794">
        <v>25.087330977959439</v>
      </c>
      <c r="B794">
        <v>1.063472146856177</v>
      </c>
      <c r="C794">
        <v>1.208604704953711</v>
      </c>
      <c r="D794">
        <v>4.234956679922405</v>
      </c>
      <c r="E794">
        <v>7.1125808910891806</v>
      </c>
      <c r="F794">
        <v>50.279989868404741</v>
      </c>
      <c r="G794">
        <v>20.419113243897101</v>
      </c>
      <c r="H794">
        <v>20.457290639437499</v>
      </c>
      <c r="I794">
        <v>1278.1356948445521</v>
      </c>
      <c r="J794">
        <v>18</v>
      </c>
      <c r="K794" t="s">
        <v>66</v>
      </c>
    </row>
    <row r="795" spans="1:11" x14ac:dyDescent="0.3">
      <c r="A795">
        <v>28.672795928959651</v>
      </c>
      <c r="B795">
        <v>1.019981043371871</v>
      </c>
      <c r="C795">
        <v>1.784031510443703</v>
      </c>
      <c r="D795">
        <v>3.8567022488369971</v>
      </c>
      <c r="E795">
        <v>5.1923406486172681</v>
      </c>
      <c r="F795">
        <v>32.98267746119388</v>
      </c>
      <c r="G795">
        <v>17.527836391494041</v>
      </c>
      <c r="H795">
        <v>20.77411820763556</v>
      </c>
      <c r="I795">
        <v>1778.7617609742281</v>
      </c>
      <c r="J795">
        <v>35</v>
      </c>
      <c r="K795" t="s">
        <v>66</v>
      </c>
    </row>
    <row r="796" spans="1:11" x14ac:dyDescent="0.3">
      <c r="A796">
        <v>69.461840583266891</v>
      </c>
      <c r="B796">
        <v>3.3591740770935679</v>
      </c>
      <c r="C796">
        <v>3.679087989144183</v>
      </c>
      <c r="D796">
        <v>10.493977382205641</v>
      </c>
      <c r="E796">
        <v>5.8462891203149967</v>
      </c>
      <c r="F796">
        <v>31.619407226785551</v>
      </c>
      <c r="G796">
        <v>19.880798519706261</v>
      </c>
      <c r="H796">
        <v>20.469982542253231</v>
      </c>
      <c r="I796">
        <v>1577.606871289621</v>
      </c>
      <c r="J796">
        <v>25</v>
      </c>
      <c r="K796" t="s">
        <v>66</v>
      </c>
    </row>
    <row r="797" spans="1:11" x14ac:dyDescent="0.3">
      <c r="A797">
        <v>800.00751212578268</v>
      </c>
      <c r="B797">
        <v>46.129057265227367</v>
      </c>
      <c r="C797">
        <v>67</v>
      </c>
      <c r="D797">
        <v>147.57909706466819</v>
      </c>
      <c r="E797">
        <v>5.4343307052736973</v>
      </c>
      <c r="F797">
        <v>49.615479070216622</v>
      </c>
      <c r="G797">
        <v>19.397912180262651</v>
      </c>
      <c r="H797">
        <v>21.850443599423929</v>
      </c>
      <c r="I797">
        <v>1492.3126769448461</v>
      </c>
      <c r="J797">
        <v>30</v>
      </c>
      <c r="K797" t="s">
        <v>66</v>
      </c>
    </row>
    <row r="798" spans="1:11" x14ac:dyDescent="0.3">
      <c r="A798">
        <v>191.0640339408329</v>
      </c>
      <c r="B798">
        <v>8.4747606062885961</v>
      </c>
      <c r="C798">
        <v>12.427503346447301</v>
      </c>
      <c r="D798">
        <v>28.35683392922321</v>
      </c>
      <c r="E798">
        <v>6.3975275479073952</v>
      </c>
      <c r="F798">
        <v>38.438925617123772</v>
      </c>
      <c r="G798">
        <v>25.330394032783591</v>
      </c>
      <c r="H798">
        <v>20.953737632918291</v>
      </c>
      <c r="I798">
        <v>1329.869874807596</v>
      </c>
      <c r="J798">
        <v>20</v>
      </c>
      <c r="K798" t="s">
        <v>66</v>
      </c>
    </row>
    <row r="799" spans="1:11" x14ac:dyDescent="0.3">
      <c r="A799">
        <v>77.566218360740066</v>
      </c>
      <c r="B799">
        <v>2.7190480875631211</v>
      </c>
      <c r="C799">
        <v>5.2103498155092396</v>
      </c>
      <c r="D799">
        <v>10.627993210699371</v>
      </c>
      <c r="E799">
        <v>5.6733463390452163</v>
      </c>
      <c r="F799">
        <v>26.319806138296951</v>
      </c>
      <c r="G799">
        <v>18.267317857243931</v>
      </c>
      <c r="H799">
        <v>18.37973785762264</v>
      </c>
      <c r="I799">
        <v>1852.2122922514529</v>
      </c>
      <c r="J799">
        <v>20</v>
      </c>
      <c r="K799" t="s">
        <v>66</v>
      </c>
    </row>
    <row r="800" spans="1:11" x14ac:dyDescent="0.3">
      <c r="A800">
        <v>6</v>
      </c>
      <c r="B800">
        <v>0</v>
      </c>
      <c r="C800">
        <v>0</v>
      </c>
      <c r="D800">
        <v>0</v>
      </c>
      <c r="E800">
        <v>6.3</v>
      </c>
      <c r="F800">
        <v>23.4</v>
      </c>
      <c r="G800">
        <v>28.4</v>
      </c>
      <c r="H800">
        <v>34.5</v>
      </c>
      <c r="I800">
        <v>1816</v>
      </c>
      <c r="J800">
        <v>26</v>
      </c>
      <c r="K800" t="s">
        <v>67</v>
      </c>
    </row>
    <row r="801" spans="1:11" x14ac:dyDescent="0.3">
      <c r="A801">
        <v>11.1568471280001</v>
      </c>
      <c r="B801">
        <v>4.5590626743861407</v>
      </c>
      <c r="C801">
        <v>7.7573893664749596</v>
      </c>
      <c r="D801">
        <v>15.18878614516791</v>
      </c>
      <c r="E801">
        <v>6.2984503953871842</v>
      </c>
      <c r="F801">
        <v>29.888533536770041</v>
      </c>
      <c r="G801">
        <v>24.654119256727249</v>
      </c>
      <c r="H801">
        <v>25.92268098870705</v>
      </c>
      <c r="I801">
        <v>692.47338799527301</v>
      </c>
      <c r="J801">
        <v>25</v>
      </c>
      <c r="K801" t="s">
        <v>66</v>
      </c>
    </row>
    <row r="802" spans="1:11" x14ac:dyDescent="0.3">
      <c r="A802">
        <v>92</v>
      </c>
      <c r="B802">
        <v>4</v>
      </c>
      <c r="C802">
        <v>6</v>
      </c>
      <c r="D802">
        <v>14</v>
      </c>
      <c r="E802">
        <v>6.8</v>
      </c>
      <c r="F802">
        <v>33.799999999999997</v>
      </c>
      <c r="G802">
        <v>18.2</v>
      </c>
      <c r="H802">
        <v>18</v>
      </c>
      <c r="I802">
        <v>1895</v>
      </c>
      <c r="J802">
        <v>20</v>
      </c>
      <c r="K802" t="s">
        <v>67</v>
      </c>
    </row>
    <row r="803" spans="1:11" x14ac:dyDescent="0.3">
      <c r="A803">
        <v>3.6811144682411272</v>
      </c>
      <c r="B803">
        <v>0</v>
      </c>
      <c r="C803">
        <v>0</v>
      </c>
      <c r="D803">
        <v>0</v>
      </c>
      <c r="E803">
        <v>6.219835812205857</v>
      </c>
      <c r="F803">
        <v>20.798723628876729</v>
      </c>
      <c r="G803">
        <v>17.975084069524279</v>
      </c>
      <c r="H803">
        <v>22.933534765223829</v>
      </c>
      <c r="I803">
        <v>1421.6910519162709</v>
      </c>
      <c r="J803">
        <v>30</v>
      </c>
      <c r="K803" t="s">
        <v>66</v>
      </c>
    </row>
    <row r="804" spans="1:11" x14ac:dyDescent="0.3">
      <c r="A804">
        <v>41.787334170325579</v>
      </c>
      <c r="B804">
        <v>2.1650196529335268</v>
      </c>
      <c r="C804">
        <v>1.9279921462486029</v>
      </c>
      <c r="D804">
        <v>6.7744550544734574</v>
      </c>
      <c r="E804">
        <v>6.3235607664253077</v>
      </c>
      <c r="F804">
        <v>28.0719928542219</v>
      </c>
      <c r="G804">
        <v>20.739171615712252</v>
      </c>
      <c r="H804">
        <v>29.787620633146371</v>
      </c>
      <c r="I804">
        <v>1972.2004955870991</v>
      </c>
      <c r="J804">
        <v>30</v>
      </c>
      <c r="K804" t="s">
        <v>66</v>
      </c>
    </row>
    <row r="805" spans="1:11" x14ac:dyDescent="0.3">
      <c r="A805">
        <v>82.986808557003414</v>
      </c>
      <c r="B805">
        <v>3.5944416190829851</v>
      </c>
      <c r="C805">
        <v>4.2285983908785498</v>
      </c>
      <c r="D805">
        <v>11.397697595413639</v>
      </c>
      <c r="E805">
        <v>6.3590665761360334</v>
      </c>
      <c r="F805">
        <v>23.04959639317482</v>
      </c>
      <c r="G805">
        <v>19.878009028749499</v>
      </c>
      <c r="H805">
        <v>19.318192300920629</v>
      </c>
      <c r="I805">
        <v>1655.2635160176919</v>
      </c>
      <c r="J805">
        <v>30</v>
      </c>
      <c r="K805" t="s">
        <v>66</v>
      </c>
    </row>
    <row r="806" spans="1:11" x14ac:dyDescent="0.3">
      <c r="A806">
        <v>13.15817064205975</v>
      </c>
      <c r="B806">
        <v>0</v>
      </c>
      <c r="C806">
        <v>0</v>
      </c>
      <c r="D806">
        <v>2.139594806026019</v>
      </c>
      <c r="E806">
        <v>5.4899833785771799</v>
      </c>
      <c r="F806">
        <v>29.121654469583451</v>
      </c>
      <c r="G806">
        <v>19.498865365652399</v>
      </c>
      <c r="H806">
        <v>25.998814135213959</v>
      </c>
      <c r="I806">
        <v>2135.180401831567</v>
      </c>
      <c r="J806">
        <v>10</v>
      </c>
      <c r="K806" t="s">
        <v>66</v>
      </c>
    </row>
    <row r="807" spans="1:11" x14ac:dyDescent="0.3">
      <c r="A807">
        <v>111.8232252021766</v>
      </c>
      <c r="B807">
        <v>4.9531819056304149</v>
      </c>
      <c r="C807">
        <v>7.6370908899266539</v>
      </c>
      <c r="D807">
        <v>18.524164959248459</v>
      </c>
      <c r="E807">
        <v>5.4930816746410152</v>
      </c>
      <c r="F807">
        <v>44.510392782574677</v>
      </c>
      <c r="G807">
        <v>21.02749443276063</v>
      </c>
      <c r="H807">
        <v>26.90818261677309</v>
      </c>
      <c r="I807">
        <v>1765.2354165116469</v>
      </c>
      <c r="J807">
        <v>25</v>
      </c>
      <c r="K807" t="s">
        <v>66</v>
      </c>
    </row>
    <row r="808" spans="1:11" x14ac:dyDescent="0.3">
      <c r="A808">
        <v>348.36845373914412</v>
      </c>
      <c r="B808">
        <v>14.347961754355939</v>
      </c>
      <c r="C808">
        <v>24.133868854583259</v>
      </c>
      <c r="D808">
        <v>52.374706313076601</v>
      </c>
      <c r="E808">
        <v>4.3</v>
      </c>
      <c r="F808">
        <v>54.152147484236039</v>
      </c>
      <c r="G808">
        <v>30.6757476232256</v>
      </c>
      <c r="H808">
        <v>30.275914046465111</v>
      </c>
      <c r="I808">
        <v>13.81073745385493</v>
      </c>
      <c r="J808">
        <v>0</v>
      </c>
      <c r="K808" t="s">
        <v>66</v>
      </c>
    </row>
    <row r="809" spans="1:11" x14ac:dyDescent="0.3">
      <c r="A809">
        <v>90.632739560505954</v>
      </c>
      <c r="B809">
        <v>4.4180353896339017</v>
      </c>
      <c r="C809">
        <v>6.6035547070778504</v>
      </c>
      <c r="D809">
        <v>12.79497917124653</v>
      </c>
      <c r="E809">
        <v>6.0666086555932406</v>
      </c>
      <c r="F809">
        <v>31.833672523925198</v>
      </c>
      <c r="G809">
        <v>21.49775485267028</v>
      </c>
      <c r="H809">
        <v>18.98787382917617</v>
      </c>
      <c r="I809">
        <v>1547.6919442116859</v>
      </c>
      <c r="J809">
        <v>40</v>
      </c>
      <c r="K809" t="s">
        <v>66</v>
      </c>
    </row>
    <row r="810" spans="1:11" x14ac:dyDescent="0.3">
      <c r="A810">
        <v>455.70978306205677</v>
      </c>
      <c r="B810">
        <v>24.074972425294678</v>
      </c>
      <c r="C810">
        <v>30.196370582405649</v>
      </c>
      <c r="D810">
        <v>86.25874171423068</v>
      </c>
      <c r="E810">
        <v>5.5292941469427683</v>
      </c>
      <c r="F810">
        <v>66.159662906899612</v>
      </c>
      <c r="G810">
        <v>29.34263297375411</v>
      </c>
      <c r="H810">
        <v>31.472937845393229</v>
      </c>
      <c r="I810">
        <v>11</v>
      </c>
      <c r="J810">
        <v>0</v>
      </c>
      <c r="K810" t="s">
        <v>66</v>
      </c>
    </row>
    <row r="811" spans="1:11" x14ac:dyDescent="0.3">
      <c r="A811">
        <v>30.051125202388839</v>
      </c>
      <c r="B811">
        <v>0.9282081109252398</v>
      </c>
      <c r="C811">
        <v>2.170015866483511</v>
      </c>
      <c r="D811">
        <v>3.48865894847907</v>
      </c>
      <c r="E811">
        <v>5.7420147980723408</v>
      </c>
      <c r="F811">
        <v>30.39951263145932</v>
      </c>
      <c r="G811">
        <v>27.006256344335711</v>
      </c>
      <c r="H811">
        <v>19.479790356934341</v>
      </c>
      <c r="I811">
        <v>1844.4063762161329</v>
      </c>
      <c r="J811">
        <v>40</v>
      </c>
      <c r="K811" t="s">
        <v>66</v>
      </c>
    </row>
    <row r="812" spans="1:11" x14ac:dyDescent="0.3">
      <c r="A812">
        <v>92.552241485415735</v>
      </c>
      <c r="B812">
        <v>4.3040223854758413</v>
      </c>
      <c r="C812">
        <v>5.9546006374045017</v>
      </c>
      <c r="D812">
        <v>13.53787373161799</v>
      </c>
      <c r="E812">
        <v>6.4723841108173907</v>
      </c>
      <c r="F812">
        <v>35.582014317748232</v>
      </c>
      <c r="G812">
        <v>21.271760968981031</v>
      </c>
      <c r="H812">
        <v>20.256425627282479</v>
      </c>
      <c r="I812">
        <v>1625.522450767415</v>
      </c>
      <c r="J812">
        <v>40</v>
      </c>
      <c r="K812" t="s">
        <v>66</v>
      </c>
    </row>
    <row r="813" spans="1:11" x14ac:dyDescent="0.3">
      <c r="A813">
        <v>269.43427475608752</v>
      </c>
      <c r="B813">
        <v>12.54873648553829</v>
      </c>
      <c r="C813">
        <v>18.497846710063889</v>
      </c>
      <c r="D813">
        <v>35.966512145730157</v>
      </c>
      <c r="E813">
        <v>5.3286668032300568</v>
      </c>
      <c r="F813">
        <v>26.480409064141451</v>
      </c>
      <c r="G813">
        <v>20.239865521821699</v>
      </c>
      <c r="H813">
        <v>18.651687743519769</v>
      </c>
      <c r="I813">
        <v>1532.9380757209781</v>
      </c>
      <c r="J813">
        <v>25</v>
      </c>
      <c r="K813" t="s">
        <v>66</v>
      </c>
    </row>
    <row r="814" spans="1:11" x14ac:dyDescent="0.3">
      <c r="A814">
        <v>111.4476025117516</v>
      </c>
      <c r="B814">
        <v>5.3916952546412977</v>
      </c>
      <c r="C814">
        <v>9.1147636220195452</v>
      </c>
      <c r="D814">
        <v>16.107803946391499</v>
      </c>
      <c r="E814">
        <v>5.6928514282272147</v>
      </c>
      <c r="F814">
        <v>51.989196530434448</v>
      </c>
      <c r="G814">
        <v>21.262620739596521</v>
      </c>
      <c r="H814">
        <v>27.467582517432749</v>
      </c>
      <c r="I814">
        <v>1758.427268986786</v>
      </c>
      <c r="J814">
        <v>25</v>
      </c>
      <c r="K814" t="s">
        <v>66</v>
      </c>
    </row>
    <row r="815" spans="1:11" x14ac:dyDescent="0.3">
      <c r="A815">
        <v>23.706267173074771</v>
      </c>
      <c r="B815">
        <v>1.1800511181510851</v>
      </c>
      <c r="C815">
        <v>0.96608777207299612</v>
      </c>
      <c r="D815">
        <v>2.820053393004045</v>
      </c>
      <c r="E815">
        <v>6.218774516437473</v>
      </c>
      <c r="F815">
        <v>28.536142838153712</v>
      </c>
      <c r="G815">
        <v>22.84087200738259</v>
      </c>
      <c r="H815">
        <v>23.148515531444051</v>
      </c>
      <c r="I815">
        <v>1739.4965571104469</v>
      </c>
      <c r="J815">
        <v>17</v>
      </c>
      <c r="K815" t="s">
        <v>66</v>
      </c>
    </row>
    <row r="816" spans="1:11" x14ac:dyDescent="0.3">
      <c r="A816">
        <v>57.721685479533839</v>
      </c>
      <c r="B816">
        <v>2.9972099036584159</v>
      </c>
      <c r="C816">
        <v>3.1654089366515659</v>
      </c>
      <c r="D816">
        <v>9.4520946957930647</v>
      </c>
      <c r="E816">
        <v>5.9119821519986067</v>
      </c>
      <c r="F816">
        <v>32.231045900504562</v>
      </c>
      <c r="G816">
        <v>19.375729193111091</v>
      </c>
      <c r="H816">
        <v>19.35475609752968</v>
      </c>
      <c r="I816">
        <v>2139.1432312579391</v>
      </c>
      <c r="J816">
        <v>20</v>
      </c>
      <c r="K816" t="s">
        <v>66</v>
      </c>
    </row>
    <row r="817" spans="1:11" x14ac:dyDescent="0.3">
      <c r="A817">
        <v>47.654755041537328</v>
      </c>
      <c r="B817">
        <v>2.2307801468511488</v>
      </c>
      <c r="C817">
        <v>2.1675528443093182</v>
      </c>
      <c r="D817">
        <v>6.5573592081193288</v>
      </c>
      <c r="E817">
        <v>4.851966844224795</v>
      </c>
      <c r="F817">
        <v>34.946654988689318</v>
      </c>
      <c r="G817">
        <v>18.440417136572481</v>
      </c>
      <c r="H817">
        <v>18.2915157295879</v>
      </c>
      <c r="I817">
        <v>1949.071236792955</v>
      </c>
      <c r="J817">
        <v>40</v>
      </c>
      <c r="K817" t="s">
        <v>66</v>
      </c>
    </row>
    <row r="818" spans="1:11" x14ac:dyDescent="0.3">
      <c r="A818">
        <v>5.9190375194119884</v>
      </c>
      <c r="B818">
        <v>0</v>
      </c>
      <c r="C818">
        <v>0</v>
      </c>
      <c r="D818">
        <v>0</v>
      </c>
      <c r="E818">
        <v>5.7145724401960809</v>
      </c>
      <c r="F818">
        <v>19.665780744707678</v>
      </c>
      <c r="G818">
        <v>21.432110987555891</v>
      </c>
      <c r="H818">
        <v>25.948051198922862</v>
      </c>
      <c r="I818">
        <v>1852.8615068368749</v>
      </c>
      <c r="J818">
        <v>20</v>
      </c>
      <c r="K818" t="s">
        <v>66</v>
      </c>
    </row>
    <row r="819" spans="1:11" x14ac:dyDescent="0.3">
      <c r="A819">
        <v>18.276666028028188</v>
      </c>
      <c r="B819">
        <v>0</v>
      </c>
      <c r="C819">
        <v>0.97513841462333228</v>
      </c>
      <c r="D819">
        <v>2.2832823583400579</v>
      </c>
      <c r="E819">
        <v>5.6679493929934992</v>
      </c>
      <c r="F819">
        <v>23.36265508754683</v>
      </c>
      <c r="G819">
        <v>21.106386462277641</v>
      </c>
      <c r="H819">
        <v>26.950417219336291</v>
      </c>
      <c r="I819">
        <v>2177.182750337106</v>
      </c>
      <c r="J819">
        <v>10</v>
      </c>
      <c r="K819" t="s">
        <v>66</v>
      </c>
    </row>
    <row r="820" spans="1:11" x14ac:dyDescent="0.3">
      <c r="A820">
        <v>84.205212295367957</v>
      </c>
      <c r="B820">
        <v>4.7330228173916806</v>
      </c>
      <c r="C820">
        <v>4.5497048237319691</v>
      </c>
      <c r="D820">
        <v>11.145125450184249</v>
      </c>
      <c r="E820">
        <v>6.3172186596332471</v>
      </c>
      <c r="F820">
        <v>22.443169434416809</v>
      </c>
      <c r="G820">
        <v>19.969951640686119</v>
      </c>
      <c r="H820">
        <v>19.200122036255738</v>
      </c>
      <c r="I820">
        <v>1619.6137457364559</v>
      </c>
      <c r="J820">
        <v>30</v>
      </c>
      <c r="K820" t="s">
        <v>66</v>
      </c>
    </row>
    <row r="821" spans="1:11" x14ac:dyDescent="0.3">
      <c r="A821">
        <v>55.179733058315144</v>
      </c>
      <c r="B821">
        <v>2.0933341963932159</v>
      </c>
      <c r="C821">
        <v>2.7311002024223821</v>
      </c>
      <c r="D821">
        <v>6.7329574096231353</v>
      </c>
      <c r="E821">
        <v>6.1131740383284772</v>
      </c>
      <c r="F821">
        <v>25.71659267954254</v>
      </c>
      <c r="G821">
        <v>18.186477675034929</v>
      </c>
      <c r="H821">
        <v>20.036989571173891</v>
      </c>
      <c r="I821">
        <v>1762.9554175971009</v>
      </c>
      <c r="J821">
        <v>25</v>
      </c>
      <c r="K821" t="s">
        <v>66</v>
      </c>
    </row>
    <row r="822" spans="1:11" x14ac:dyDescent="0.3">
      <c r="A822">
        <v>35.05373948097435</v>
      </c>
      <c r="B822">
        <v>0.98955507814625288</v>
      </c>
      <c r="C822">
        <v>1.896120725634775</v>
      </c>
      <c r="D822">
        <v>5.8087510108523199</v>
      </c>
      <c r="E822">
        <v>6.1835076076726727</v>
      </c>
      <c r="F822">
        <v>15.669184573317271</v>
      </c>
      <c r="G822">
        <v>18.649184604909479</v>
      </c>
      <c r="H822">
        <v>29.85676547561604</v>
      </c>
      <c r="I822">
        <v>2257</v>
      </c>
      <c r="J822">
        <v>15</v>
      </c>
      <c r="K822" t="s">
        <v>66</v>
      </c>
    </row>
    <row r="823" spans="1:11" x14ac:dyDescent="0.3">
      <c r="A823">
        <v>32.787070674410408</v>
      </c>
      <c r="B823">
        <v>0.98554813292844823</v>
      </c>
      <c r="C823">
        <v>2.0222745203680099</v>
      </c>
      <c r="D823">
        <v>4.0053801458477176</v>
      </c>
      <c r="E823">
        <v>6.1069095287313058</v>
      </c>
      <c r="F823">
        <v>25.144316063818309</v>
      </c>
      <c r="G823">
        <v>23.541351019768019</v>
      </c>
      <c r="H823">
        <v>18.85945980331639</v>
      </c>
      <c r="I823">
        <v>1832.319091791029</v>
      </c>
      <c r="J823">
        <v>40</v>
      </c>
      <c r="K823" t="s">
        <v>66</v>
      </c>
    </row>
    <row r="824" spans="1:11" x14ac:dyDescent="0.3">
      <c r="A824">
        <v>20.592414340531711</v>
      </c>
      <c r="B824">
        <v>0.98131038418380157</v>
      </c>
      <c r="C824">
        <v>0.94623542422201834</v>
      </c>
      <c r="D824">
        <v>2.9514135549176022</v>
      </c>
      <c r="E824">
        <v>6.1717563985886699</v>
      </c>
      <c r="F824">
        <v>31.015047777942399</v>
      </c>
      <c r="G824">
        <v>23.034019502940222</v>
      </c>
      <c r="H824">
        <v>18.769368555287691</v>
      </c>
      <c r="I824">
        <v>1270.17672811544</v>
      </c>
      <c r="J824">
        <v>30</v>
      </c>
      <c r="K824" t="s">
        <v>66</v>
      </c>
    </row>
    <row r="825" spans="1:11" x14ac:dyDescent="0.3">
      <c r="A825">
        <v>12</v>
      </c>
      <c r="B825">
        <v>0</v>
      </c>
      <c r="C825">
        <v>0</v>
      </c>
      <c r="D825">
        <v>1</v>
      </c>
      <c r="E825">
        <v>6.6</v>
      </c>
      <c r="F825">
        <v>35.9</v>
      </c>
      <c r="G825">
        <v>17.399999999999999</v>
      </c>
      <c r="H825">
        <v>22.2</v>
      </c>
      <c r="I825">
        <v>1471</v>
      </c>
      <c r="J825">
        <v>30</v>
      </c>
      <c r="K825" t="s">
        <v>67</v>
      </c>
    </row>
    <row r="826" spans="1:11" x14ac:dyDescent="0.3">
      <c r="A826">
        <v>66.526962993920321</v>
      </c>
      <c r="B826">
        <v>3.147362299623599</v>
      </c>
      <c r="C826">
        <v>3.5815515659749981</v>
      </c>
      <c r="D826">
        <v>10.841974517113171</v>
      </c>
      <c r="E826">
        <v>5.4702591460950627</v>
      </c>
      <c r="F826">
        <v>35.485361762657512</v>
      </c>
      <c r="G826">
        <v>20.831591937662321</v>
      </c>
      <c r="H826">
        <v>18.215881155513099</v>
      </c>
      <c r="I826">
        <v>1879.294937308706</v>
      </c>
      <c r="J826">
        <v>20</v>
      </c>
      <c r="K826" t="s">
        <v>66</v>
      </c>
    </row>
    <row r="827" spans="1:11" x14ac:dyDescent="0.3">
      <c r="A827">
        <v>27</v>
      </c>
      <c r="B827">
        <v>1</v>
      </c>
      <c r="C827">
        <v>1</v>
      </c>
      <c r="D827">
        <v>5</v>
      </c>
      <c r="E827">
        <v>5.9</v>
      </c>
      <c r="F827">
        <v>20.399999999999999</v>
      </c>
      <c r="G827">
        <v>20.8</v>
      </c>
      <c r="H827">
        <v>27.1</v>
      </c>
      <c r="I827">
        <v>2176</v>
      </c>
      <c r="J827">
        <v>10</v>
      </c>
      <c r="K827" t="s">
        <v>67</v>
      </c>
    </row>
    <row r="828" spans="1:11" x14ac:dyDescent="0.3">
      <c r="A828">
        <v>83.40307045992661</v>
      </c>
      <c r="B828">
        <v>3.7221598523347419</v>
      </c>
      <c r="C828">
        <v>6.0116287426188153</v>
      </c>
      <c r="D828">
        <v>12.835525433959861</v>
      </c>
      <c r="E828">
        <v>6.4144108554795602</v>
      </c>
      <c r="F828">
        <v>36.690102191214322</v>
      </c>
      <c r="G828">
        <v>21.058638028811082</v>
      </c>
      <c r="H828">
        <v>29.253001578993761</v>
      </c>
      <c r="I828">
        <v>2084.120547078142</v>
      </c>
      <c r="J828">
        <v>25</v>
      </c>
      <c r="K828" t="s">
        <v>66</v>
      </c>
    </row>
    <row r="829" spans="1:11" x14ac:dyDescent="0.3">
      <c r="A829">
        <v>75.262232417553648</v>
      </c>
      <c r="B829">
        <v>3.1446200182006159</v>
      </c>
      <c r="C829">
        <v>5.175185108193169</v>
      </c>
      <c r="D829">
        <v>13.035052181538211</v>
      </c>
      <c r="E829">
        <v>5.2939693585976322</v>
      </c>
      <c r="F829">
        <v>25.58411320874956</v>
      </c>
      <c r="G829">
        <v>18.79968860368832</v>
      </c>
      <c r="H829">
        <v>17.880773859112288</v>
      </c>
      <c r="I829">
        <v>1947.0272123508321</v>
      </c>
      <c r="J829">
        <v>20</v>
      </c>
      <c r="K829" t="s">
        <v>66</v>
      </c>
    </row>
    <row r="830" spans="1:11" x14ac:dyDescent="0.3">
      <c r="A830">
        <v>16.417553252493519</v>
      </c>
      <c r="B830">
        <v>0</v>
      </c>
      <c r="C830">
        <v>1.0400481386506331</v>
      </c>
      <c r="D830">
        <v>2.0779209048183982</v>
      </c>
      <c r="E830">
        <v>5.4031986820140157</v>
      </c>
      <c r="F830">
        <v>30.089765467743732</v>
      </c>
      <c r="G830">
        <v>21.757793959196849</v>
      </c>
      <c r="H830">
        <v>26.55691094866927</v>
      </c>
      <c r="I830">
        <v>1963.6737730155471</v>
      </c>
      <c r="J830">
        <v>20</v>
      </c>
      <c r="K830" t="s">
        <v>66</v>
      </c>
    </row>
    <row r="831" spans="1:11" x14ac:dyDescent="0.3">
      <c r="A831">
        <v>49.872626223592967</v>
      </c>
      <c r="B831">
        <v>1.906937908643989</v>
      </c>
      <c r="C831">
        <v>3.263825112341221</v>
      </c>
      <c r="D831">
        <v>8.4144813616239809</v>
      </c>
      <c r="E831">
        <v>6.6392339932492312</v>
      </c>
      <c r="F831">
        <v>21.262089931120201</v>
      </c>
      <c r="G831">
        <v>23.261318911534939</v>
      </c>
      <c r="H831">
        <v>22.469800343499191</v>
      </c>
      <c r="I831">
        <v>1709.855396858567</v>
      </c>
      <c r="J831">
        <v>25</v>
      </c>
      <c r="K831" t="s">
        <v>66</v>
      </c>
    </row>
    <row r="832" spans="1:11" x14ac:dyDescent="0.3">
      <c r="A832">
        <v>56.323278418571313</v>
      </c>
      <c r="B832">
        <v>1.8826937460872131</v>
      </c>
      <c r="C832">
        <v>3.013669164342569</v>
      </c>
      <c r="D832">
        <v>7.8737299921277923</v>
      </c>
      <c r="E832">
        <v>5.2865212023085961</v>
      </c>
      <c r="F832">
        <v>31.139990749123331</v>
      </c>
      <c r="G832">
        <v>24.055335906978389</v>
      </c>
      <c r="H832">
        <v>25.989557368570779</v>
      </c>
      <c r="I832">
        <v>1972.2757992089601</v>
      </c>
      <c r="J832">
        <v>20</v>
      </c>
      <c r="K832" t="s">
        <v>66</v>
      </c>
    </row>
    <row r="833" spans="1:11" x14ac:dyDescent="0.3">
      <c r="A833">
        <v>122.75983285763471</v>
      </c>
      <c r="B833">
        <v>4.8553154652735664</v>
      </c>
      <c r="C833">
        <v>8.0542708111335504</v>
      </c>
      <c r="D833">
        <v>21.27866918855101</v>
      </c>
      <c r="E833">
        <v>4.3</v>
      </c>
      <c r="F833">
        <v>51.715477834681842</v>
      </c>
      <c r="G833">
        <v>20.76227301695203</v>
      </c>
      <c r="H833">
        <v>20.64916398895566</v>
      </c>
      <c r="I833">
        <v>1668.922897836974</v>
      </c>
      <c r="J833">
        <v>12</v>
      </c>
      <c r="K833" t="s">
        <v>66</v>
      </c>
    </row>
    <row r="834" spans="1:11" x14ac:dyDescent="0.3">
      <c r="A834">
        <v>13.056580594354809</v>
      </c>
      <c r="B834">
        <v>0</v>
      </c>
      <c r="C834">
        <v>0</v>
      </c>
      <c r="D834">
        <v>1.900693652903606</v>
      </c>
      <c r="E834">
        <v>5.2726193503912464</v>
      </c>
      <c r="F834">
        <v>28.08227403787917</v>
      </c>
      <c r="G834">
        <v>20.959897541236529</v>
      </c>
      <c r="H834">
        <v>21.918900060557309</v>
      </c>
      <c r="I834">
        <v>2062.1510275930809</v>
      </c>
      <c r="J834">
        <v>13</v>
      </c>
      <c r="K834" t="s">
        <v>66</v>
      </c>
    </row>
    <row r="835" spans="1:11" x14ac:dyDescent="0.3">
      <c r="A835">
        <v>88.094067397544492</v>
      </c>
      <c r="B835">
        <v>4.3333335647121229</v>
      </c>
      <c r="C835">
        <v>7.1096172848318293</v>
      </c>
      <c r="D835">
        <v>11.888021644502</v>
      </c>
      <c r="E835">
        <v>6.5920594245435904</v>
      </c>
      <c r="F835">
        <v>14.13386735323053</v>
      </c>
      <c r="G835">
        <v>30.79900253535213</v>
      </c>
      <c r="H835">
        <v>31.109291385817031</v>
      </c>
      <c r="I835">
        <v>47.718175836872753</v>
      </c>
      <c r="J835">
        <v>0</v>
      </c>
      <c r="K835" t="s">
        <v>66</v>
      </c>
    </row>
    <row r="836" spans="1:11" x14ac:dyDescent="0.3">
      <c r="A836">
        <v>91.081534555995589</v>
      </c>
      <c r="B836">
        <v>4.327511057501944</v>
      </c>
      <c r="C836">
        <v>7.3019619528483259</v>
      </c>
      <c r="D836">
        <v>12.037362861768189</v>
      </c>
      <c r="E836">
        <v>6.3867138686130627</v>
      </c>
      <c r="F836">
        <v>40.895154361878348</v>
      </c>
      <c r="G836">
        <v>19.913421531038789</v>
      </c>
      <c r="H836">
        <v>29.30682370993997</v>
      </c>
      <c r="I836">
        <v>2003.6906619473839</v>
      </c>
      <c r="J836">
        <v>25</v>
      </c>
      <c r="K836" t="s">
        <v>66</v>
      </c>
    </row>
    <row r="837" spans="1:11" x14ac:dyDescent="0.3">
      <c r="A837">
        <v>9.870478927089648</v>
      </c>
      <c r="B837">
        <v>0</v>
      </c>
      <c r="C837">
        <v>0</v>
      </c>
      <c r="D837">
        <v>1.064589042027589</v>
      </c>
      <c r="E837">
        <v>6.0158369158252087</v>
      </c>
      <c r="F837">
        <v>28.598773341967799</v>
      </c>
      <c r="G837">
        <v>15.9</v>
      </c>
      <c r="H837">
        <v>22.91124096597402</v>
      </c>
      <c r="I837">
        <v>1438.1557536627911</v>
      </c>
      <c r="J837">
        <v>30</v>
      </c>
      <c r="K837" t="s">
        <v>66</v>
      </c>
    </row>
    <row r="838" spans="1:11" x14ac:dyDescent="0.3">
      <c r="A838">
        <v>40.807998685008883</v>
      </c>
      <c r="B838">
        <v>1.0871297297457241</v>
      </c>
      <c r="C838">
        <v>2.043324995080924</v>
      </c>
      <c r="D838">
        <v>6.4962692571394607</v>
      </c>
      <c r="E838">
        <v>6.1542911986425732</v>
      </c>
      <c r="F838">
        <v>18.962914536746108</v>
      </c>
      <c r="G838">
        <v>17.402674870375769</v>
      </c>
      <c r="H838">
        <v>31.398854197449921</v>
      </c>
      <c r="I838">
        <v>2214.660783124742</v>
      </c>
      <c r="J838">
        <v>15</v>
      </c>
      <c r="K838" t="s">
        <v>66</v>
      </c>
    </row>
    <row r="839" spans="1:11" x14ac:dyDescent="0.3">
      <c r="A839">
        <v>31.695458115066231</v>
      </c>
      <c r="B839">
        <v>1.0638391925608379</v>
      </c>
      <c r="C839">
        <v>2.4615832501232222</v>
      </c>
      <c r="D839">
        <v>4.08712093589949</v>
      </c>
      <c r="E839">
        <v>6.1429774514729232</v>
      </c>
      <c r="F839">
        <v>24.88514104673013</v>
      </c>
      <c r="G839">
        <v>22.668488465779198</v>
      </c>
      <c r="H839">
        <v>18.6016889659223</v>
      </c>
      <c r="I839">
        <v>1821.10337906841</v>
      </c>
      <c r="J839">
        <v>40</v>
      </c>
      <c r="K839" t="s">
        <v>66</v>
      </c>
    </row>
    <row r="840" spans="1:11" x14ac:dyDescent="0.3">
      <c r="A840">
        <v>34.622586888710508</v>
      </c>
      <c r="B840">
        <v>0.89026974723671559</v>
      </c>
      <c r="C840">
        <v>2.057745600601967</v>
      </c>
      <c r="D840">
        <v>4.863533339887244</v>
      </c>
      <c r="E840">
        <v>5.3198114280008832</v>
      </c>
      <c r="F840">
        <v>22.547129806113961</v>
      </c>
      <c r="G840">
        <v>19.254025227433679</v>
      </c>
      <c r="H840">
        <v>26.912750020575039</v>
      </c>
      <c r="I840">
        <v>1884.4373207397</v>
      </c>
      <c r="J840">
        <v>20</v>
      </c>
      <c r="K840" t="s">
        <v>66</v>
      </c>
    </row>
    <row r="841" spans="1:11" x14ac:dyDescent="0.3">
      <c r="A841">
        <v>6.3556940190339244</v>
      </c>
      <c r="B841">
        <v>0</v>
      </c>
      <c r="C841">
        <v>0</v>
      </c>
      <c r="D841">
        <v>0.99972138893330986</v>
      </c>
      <c r="E841">
        <v>6.6415066859954814</v>
      </c>
      <c r="F841">
        <v>24.324016705259719</v>
      </c>
      <c r="G841">
        <v>22.55708041495426</v>
      </c>
      <c r="H841">
        <v>19.633090518776989</v>
      </c>
      <c r="I841">
        <v>1658.36742566713</v>
      </c>
      <c r="J841">
        <v>25</v>
      </c>
      <c r="K841" t="s">
        <v>66</v>
      </c>
    </row>
    <row r="842" spans="1:11" x14ac:dyDescent="0.3">
      <c r="A842">
        <v>12.603641112192401</v>
      </c>
      <c r="B842">
        <v>0</v>
      </c>
      <c r="C842">
        <v>0</v>
      </c>
      <c r="D842">
        <v>1.7118036730950159</v>
      </c>
      <c r="E842">
        <v>5.4609972234380262</v>
      </c>
      <c r="F842">
        <v>30.7754586302365</v>
      </c>
      <c r="G842">
        <v>20.135670161297469</v>
      </c>
      <c r="H842">
        <v>27.068773423832418</v>
      </c>
      <c r="I842">
        <v>2231.6733971373342</v>
      </c>
      <c r="J842">
        <v>10</v>
      </c>
      <c r="K842" t="s">
        <v>66</v>
      </c>
    </row>
    <row r="843" spans="1:11" x14ac:dyDescent="0.3">
      <c r="A843">
        <v>13.362576699128709</v>
      </c>
      <c r="B843">
        <v>0</v>
      </c>
      <c r="C843">
        <v>0</v>
      </c>
      <c r="D843">
        <v>2.136664902303218</v>
      </c>
      <c r="E843">
        <v>5.3217150029495954</v>
      </c>
      <c r="F843">
        <v>28.19504748302138</v>
      </c>
      <c r="G843">
        <v>20.194437826028459</v>
      </c>
      <c r="H843">
        <v>27.153130240805599</v>
      </c>
      <c r="I843">
        <v>2242.042872531682</v>
      </c>
      <c r="J843">
        <v>10</v>
      </c>
      <c r="K843" t="s">
        <v>66</v>
      </c>
    </row>
    <row r="844" spans="1:11" x14ac:dyDescent="0.3">
      <c r="A844">
        <v>121.583909826444</v>
      </c>
      <c r="B844">
        <v>5.8446570157775533</v>
      </c>
      <c r="C844">
        <v>10.023583088128261</v>
      </c>
      <c r="D844">
        <v>19.270576561685711</v>
      </c>
      <c r="E844">
        <v>6.1414014091562583</v>
      </c>
      <c r="F844">
        <v>27.98807212196601</v>
      </c>
      <c r="G844">
        <v>21.761930642157392</v>
      </c>
      <c r="H844">
        <v>21.058025305419172</v>
      </c>
      <c r="I844">
        <v>1638.2594235447841</v>
      </c>
      <c r="J844">
        <v>12</v>
      </c>
      <c r="K844" t="s">
        <v>66</v>
      </c>
    </row>
    <row r="845" spans="1:11" x14ac:dyDescent="0.3">
      <c r="A845">
        <v>118.0821828222864</v>
      </c>
      <c r="B845">
        <v>4.110706207996742</v>
      </c>
      <c r="C845">
        <v>8.7600126629357167</v>
      </c>
      <c r="D845">
        <v>18.241499548792518</v>
      </c>
      <c r="E845">
        <v>5.7981873728944588</v>
      </c>
      <c r="F845">
        <v>45.359771234497913</v>
      </c>
      <c r="G845">
        <v>22.599653512512081</v>
      </c>
      <c r="H845">
        <v>28.976298318258259</v>
      </c>
      <c r="I845">
        <v>1790.698812617542</v>
      </c>
      <c r="J845">
        <v>25</v>
      </c>
      <c r="K845" t="s">
        <v>66</v>
      </c>
    </row>
    <row r="846" spans="1:11" x14ac:dyDescent="0.3">
      <c r="A846">
        <v>336.10719067865421</v>
      </c>
      <c r="B846">
        <v>19.582782670191008</v>
      </c>
      <c r="C846">
        <v>23.311693834228151</v>
      </c>
      <c r="D846">
        <v>56.145773797440746</v>
      </c>
      <c r="E846">
        <v>4.6271870756263107</v>
      </c>
      <c r="F846">
        <v>53.061682655199093</v>
      </c>
      <c r="G846">
        <v>30.958896693362419</v>
      </c>
      <c r="H846">
        <v>31.410163326411212</v>
      </c>
      <c r="I846">
        <v>14.09061709230363</v>
      </c>
      <c r="J846">
        <v>0</v>
      </c>
      <c r="K846" t="s">
        <v>66</v>
      </c>
    </row>
    <row r="847" spans="1:11" x14ac:dyDescent="0.3">
      <c r="A847">
        <v>7.0784323686336457</v>
      </c>
      <c r="B847">
        <v>0</v>
      </c>
      <c r="C847">
        <v>0</v>
      </c>
      <c r="D847">
        <v>1.1029440555927039</v>
      </c>
      <c r="E847">
        <v>6.4798371868654661</v>
      </c>
      <c r="F847">
        <v>27.111909726674892</v>
      </c>
      <c r="G847">
        <v>22.766448106256551</v>
      </c>
      <c r="H847">
        <v>19.970320057206049</v>
      </c>
      <c r="I847">
        <v>1696.63985190787</v>
      </c>
      <c r="J847">
        <v>25</v>
      </c>
      <c r="K847" t="s">
        <v>66</v>
      </c>
    </row>
    <row r="848" spans="1:11" x14ac:dyDescent="0.3">
      <c r="A848">
        <v>0</v>
      </c>
      <c r="B848">
        <v>0</v>
      </c>
      <c r="C848">
        <v>0</v>
      </c>
      <c r="D848">
        <v>0</v>
      </c>
      <c r="E848">
        <v>7.0397382394223831</v>
      </c>
      <c r="F848">
        <v>13.9</v>
      </c>
      <c r="G848">
        <v>37.799999999999997</v>
      </c>
      <c r="H848">
        <v>32.973710592839481</v>
      </c>
      <c r="I848">
        <v>1795.0239261994741</v>
      </c>
      <c r="J848">
        <v>7</v>
      </c>
      <c r="K848" t="s">
        <v>66</v>
      </c>
    </row>
    <row r="849" spans="1:11" x14ac:dyDescent="0.3">
      <c r="A849">
        <v>29.097915896797488</v>
      </c>
      <c r="B849">
        <v>0.93564501676825385</v>
      </c>
      <c r="C849">
        <v>1.666280148224361</v>
      </c>
      <c r="D849">
        <v>4.2124104379576837</v>
      </c>
      <c r="E849">
        <v>6.2787941466803732</v>
      </c>
      <c r="F849">
        <v>22.191972052049469</v>
      </c>
      <c r="G849">
        <v>17.91559428531264</v>
      </c>
      <c r="H849">
        <v>27.642944238720951</v>
      </c>
      <c r="I849">
        <v>1683.401986614037</v>
      </c>
      <c r="J849">
        <v>20</v>
      </c>
      <c r="K849" t="s">
        <v>66</v>
      </c>
    </row>
    <row r="850" spans="1:11" x14ac:dyDescent="0.3">
      <c r="A850">
        <v>121.4740342269141</v>
      </c>
      <c r="B850">
        <v>5.9706616899155369</v>
      </c>
      <c r="C850">
        <v>8.181347398795678</v>
      </c>
      <c r="D850">
        <v>24.404027849319231</v>
      </c>
      <c r="E850">
        <v>4.8937877945005894</v>
      </c>
      <c r="F850">
        <v>56.062112861900751</v>
      </c>
      <c r="G850">
        <v>20.41322764673286</v>
      </c>
      <c r="H850">
        <v>20.32293514757556</v>
      </c>
      <c r="I850">
        <v>1625.04386764842</v>
      </c>
      <c r="J850">
        <v>12</v>
      </c>
      <c r="K850" t="s">
        <v>66</v>
      </c>
    </row>
    <row r="851" spans="1:11" x14ac:dyDescent="0.3">
      <c r="A851">
        <v>21.793160787117049</v>
      </c>
      <c r="B851">
        <v>1.054711911517521</v>
      </c>
      <c r="C851">
        <v>0.98779428678787229</v>
      </c>
      <c r="D851">
        <v>3.502457901874219</v>
      </c>
      <c r="E851">
        <v>5.7894858176613004</v>
      </c>
      <c r="F851">
        <v>20.11834372316039</v>
      </c>
      <c r="G851">
        <v>20.177852150980641</v>
      </c>
      <c r="H851">
        <v>19.333429289247889</v>
      </c>
      <c r="I851">
        <v>1951.056467107901</v>
      </c>
      <c r="J851">
        <v>40</v>
      </c>
      <c r="K851" t="s">
        <v>66</v>
      </c>
    </row>
    <row r="852" spans="1:11" x14ac:dyDescent="0.3">
      <c r="A852">
        <v>63.148830460056608</v>
      </c>
      <c r="B852">
        <v>2.701695187617446</v>
      </c>
      <c r="C852">
        <v>4.42790858199354</v>
      </c>
      <c r="D852">
        <v>9.1984724098954587</v>
      </c>
      <c r="E852">
        <v>5.9041816095981918</v>
      </c>
      <c r="F852">
        <v>38.870260995946111</v>
      </c>
      <c r="G852">
        <v>20.571746976969241</v>
      </c>
      <c r="H852">
        <v>17.96218392052366</v>
      </c>
      <c r="I852">
        <v>1963.7519954541931</v>
      </c>
      <c r="J852">
        <v>20</v>
      </c>
      <c r="K852" t="s">
        <v>66</v>
      </c>
    </row>
    <row r="853" spans="1:11" x14ac:dyDescent="0.3">
      <c r="A853">
        <v>45.87512180700903</v>
      </c>
      <c r="B853">
        <v>1.915847641263789</v>
      </c>
      <c r="C853">
        <v>3.496085180547686</v>
      </c>
      <c r="D853">
        <v>6.9861439588355054</v>
      </c>
      <c r="E853">
        <v>5.8698922981179749</v>
      </c>
      <c r="F853">
        <v>36.269861092916607</v>
      </c>
      <c r="G853">
        <v>24.27803987855884</v>
      </c>
      <c r="H853">
        <v>21.529856004485818</v>
      </c>
      <c r="I853">
        <v>1648.3535993858659</v>
      </c>
      <c r="J853">
        <v>25</v>
      </c>
      <c r="K853" t="s">
        <v>66</v>
      </c>
    </row>
    <row r="854" spans="1:11" x14ac:dyDescent="0.3">
      <c r="A854">
        <v>30.509566902973059</v>
      </c>
      <c r="B854">
        <v>1.045768658605355</v>
      </c>
      <c r="C854">
        <v>1.908272272779783</v>
      </c>
      <c r="D854">
        <v>5.1749618576246963</v>
      </c>
      <c r="E854">
        <v>6.1406541252687834</v>
      </c>
      <c r="F854">
        <v>25.831276443480679</v>
      </c>
      <c r="G854">
        <v>26.58163896081513</v>
      </c>
      <c r="H854">
        <v>21.824078779174709</v>
      </c>
      <c r="I854">
        <v>1201.0981473014231</v>
      </c>
      <c r="J854">
        <v>18</v>
      </c>
      <c r="K854" t="s">
        <v>66</v>
      </c>
    </row>
    <row r="855" spans="1:11" x14ac:dyDescent="0.3">
      <c r="A855">
        <v>5.1471446011051523</v>
      </c>
      <c r="B855">
        <v>0</v>
      </c>
      <c r="C855">
        <v>0</v>
      </c>
      <c r="D855">
        <v>0</v>
      </c>
      <c r="E855">
        <v>6.2910388433553779</v>
      </c>
      <c r="F855">
        <v>18.65321433788457</v>
      </c>
      <c r="G855">
        <v>18.17766709104804</v>
      </c>
      <c r="H855">
        <v>22.0768731319884</v>
      </c>
      <c r="I855">
        <v>1463.768001292161</v>
      </c>
      <c r="J855">
        <v>30</v>
      </c>
      <c r="K855" t="s">
        <v>66</v>
      </c>
    </row>
    <row r="856" spans="1:11" x14ac:dyDescent="0.3">
      <c r="A856">
        <v>21.27270862680756</v>
      </c>
      <c r="B856">
        <v>0.87608929243460987</v>
      </c>
      <c r="C856">
        <v>1.1428857707813569</v>
      </c>
      <c r="D856">
        <v>2.4578875815204548</v>
      </c>
      <c r="E856">
        <v>6.2926378050063159</v>
      </c>
      <c r="F856">
        <v>43.650753325506933</v>
      </c>
      <c r="G856">
        <v>22.556975894607781</v>
      </c>
      <c r="H856">
        <v>22.0894595456082</v>
      </c>
      <c r="I856">
        <v>1336.749174569479</v>
      </c>
      <c r="J856">
        <v>30</v>
      </c>
      <c r="K856" t="s">
        <v>66</v>
      </c>
    </row>
    <row r="857" spans="1:11" x14ac:dyDescent="0.3">
      <c r="A857">
        <v>13.215072150939401</v>
      </c>
      <c r="B857">
        <v>0</v>
      </c>
      <c r="C857">
        <v>0</v>
      </c>
      <c r="D857">
        <v>2.3097278590048069</v>
      </c>
      <c r="E857">
        <v>5.4442460171246276</v>
      </c>
      <c r="F857">
        <v>28.589746330167369</v>
      </c>
      <c r="G857">
        <v>19.855468171826178</v>
      </c>
      <c r="H857">
        <v>25.90248483870808</v>
      </c>
      <c r="I857">
        <v>2223.4255923068772</v>
      </c>
      <c r="J857">
        <v>10</v>
      </c>
      <c r="K857" t="s">
        <v>66</v>
      </c>
    </row>
    <row r="858" spans="1:11" x14ac:dyDescent="0.3">
      <c r="A858">
        <v>5.1307088720088752</v>
      </c>
      <c r="B858">
        <v>0</v>
      </c>
      <c r="C858">
        <v>0</v>
      </c>
      <c r="D858">
        <v>0</v>
      </c>
      <c r="E858">
        <v>6.2236843200080889</v>
      </c>
      <c r="F858">
        <v>20.922977565140432</v>
      </c>
      <c r="G858">
        <v>17.257954913864879</v>
      </c>
      <c r="H858">
        <v>21.892477802463478</v>
      </c>
      <c r="I858">
        <v>1469.5012781499549</v>
      </c>
      <c r="J858">
        <v>30</v>
      </c>
      <c r="K858" t="s">
        <v>66</v>
      </c>
    </row>
    <row r="859" spans="1:11" x14ac:dyDescent="0.3">
      <c r="A859">
        <v>68.802431330029791</v>
      </c>
      <c r="B859">
        <v>3.227036603996094</v>
      </c>
      <c r="C859">
        <v>3.6061380860610952</v>
      </c>
      <c r="D859">
        <v>11.67134757543748</v>
      </c>
      <c r="E859">
        <v>5.5240364592726259</v>
      </c>
      <c r="F859">
        <v>44.226545085071344</v>
      </c>
      <c r="G859">
        <v>19.752547958090059</v>
      </c>
      <c r="H859">
        <v>20.096123104137469</v>
      </c>
      <c r="I859">
        <v>1834.2683601924091</v>
      </c>
      <c r="J859">
        <v>10</v>
      </c>
      <c r="K859" t="s">
        <v>66</v>
      </c>
    </row>
    <row r="860" spans="1:11" x14ac:dyDescent="0.3">
      <c r="A860">
        <v>28.9113842802698</v>
      </c>
      <c r="B860">
        <v>1.0261250531233861</v>
      </c>
      <c r="C860">
        <v>2.0726231255489052</v>
      </c>
      <c r="D860">
        <v>3.217064564346404</v>
      </c>
      <c r="E860">
        <v>6.0824229493214714</v>
      </c>
      <c r="F860">
        <v>19.002646820206639</v>
      </c>
      <c r="G860">
        <v>20.62703368713872</v>
      </c>
      <c r="H860">
        <v>18.89975723125087</v>
      </c>
      <c r="I860">
        <v>2014.4082508917561</v>
      </c>
      <c r="J860">
        <v>40</v>
      </c>
      <c r="K860" t="s">
        <v>66</v>
      </c>
    </row>
    <row r="861" spans="1:11" x14ac:dyDescent="0.3">
      <c r="A861">
        <v>50.961179572294377</v>
      </c>
      <c r="B861">
        <v>1.963755165356379</v>
      </c>
      <c r="C861">
        <v>2.5731075224214979</v>
      </c>
      <c r="D861">
        <v>7.5671945073736806</v>
      </c>
      <c r="E861">
        <v>5.0324658235502522</v>
      </c>
      <c r="F861">
        <v>36.28717701867857</v>
      </c>
      <c r="G861">
        <v>24.779428753303161</v>
      </c>
      <c r="H861">
        <v>26.864611310074281</v>
      </c>
      <c r="I861">
        <v>1983.8175016495809</v>
      </c>
      <c r="J861">
        <v>20</v>
      </c>
      <c r="K861" t="s">
        <v>66</v>
      </c>
    </row>
    <row r="862" spans="1:11" x14ac:dyDescent="0.3">
      <c r="A862">
        <v>93</v>
      </c>
      <c r="B862">
        <v>4</v>
      </c>
      <c r="C862">
        <v>6</v>
      </c>
      <c r="D862">
        <v>14</v>
      </c>
      <c r="E862">
        <v>6.1</v>
      </c>
      <c r="F862">
        <v>32.1</v>
      </c>
      <c r="G862">
        <v>19.8</v>
      </c>
      <c r="H862">
        <v>19</v>
      </c>
      <c r="I862">
        <v>2122</v>
      </c>
      <c r="J862">
        <v>20</v>
      </c>
      <c r="K862" t="s">
        <v>67</v>
      </c>
    </row>
    <row r="863" spans="1:11" x14ac:dyDescent="0.3">
      <c r="A863">
        <v>52.390784579800879</v>
      </c>
      <c r="B863">
        <v>1.9225800595051199</v>
      </c>
      <c r="C863">
        <v>2.6001667807561049</v>
      </c>
      <c r="D863">
        <v>8.3751824625187741</v>
      </c>
      <c r="E863">
        <v>5.9069946044380508</v>
      </c>
      <c r="F863">
        <v>27.354007462730479</v>
      </c>
      <c r="G863">
        <v>24.979376123132202</v>
      </c>
      <c r="H863">
        <v>23.61359176308369</v>
      </c>
      <c r="I863">
        <v>1487.5017635704639</v>
      </c>
      <c r="J863">
        <v>30</v>
      </c>
      <c r="K863" t="s">
        <v>66</v>
      </c>
    </row>
    <row r="864" spans="1:11" x14ac:dyDescent="0.3">
      <c r="A864">
        <v>109.4591320526289</v>
      </c>
      <c r="B864">
        <v>4.3519416678750531</v>
      </c>
      <c r="C864">
        <v>6.3250599500037286</v>
      </c>
      <c r="D864">
        <v>14.304436298491691</v>
      </c>
      <c r="E864">
        <v>6.0764135765488287</v>
      </c>
      <c r="F864">
        <v>41.942439749179393</v>
      </c>
      <c r="G864">
        <v>16.356816928786682</v>
      </c>
      <c r="H864">
        <v>27.479661115360539</v>
      </c>
      <c r="I864">
        <v>1623.088258247365</v>
      </c>
      <c r="J864">
        <v>20</v>
      </c>
      <c r="K864" t="s">
        <v>66</v>
      </c>
    </row>
    <row r="865" spans="1:11" x14ac:dyDescent="0.3">
      <c r="A865">
        <v>18.28373364057666</v>
      </c>
      <c r="B865">
        <v>0</v>
      </c>
      <c r="C865">
        <v>1.083966386443119</v>
      </c>
      <c r="D865">
        <v>2.9357549067866429</v>
      </c>
      <c r="E865">
        <v>5.5625467001697002</v>
      </c>
      <c r="F865">
        <v>23.872400047504549</v>
      </c>
      <c r="G865">
        <v>21.19708510107607</v>
      </c>
      <c r="H865">
        <v>21.53385084274376</v>
      </c>
      <c r="I865">
        <v>2084.7465599852039</v>
      </c>
      <c r="J865">
        <v>13</v>
      </c>
      <c r="K865" t="s">
        <v>66</v>
      </c>
    </row>
    <row r="866" spans="1:11" x14ac:dyDescent="0.3">
      <c r="A866">
        <v>66</v>
      </c>
      <c r="B866">
        <v>3</v>
      </c>
      <c r="C866">
        <v>4</v>
      </c>
      <c r="D866">
        <v>10</v>
      </c>
      <c r="E866">
        <v>5.8</v>
      </c>
      <c r="F866">
        <v>35.1</v>
      </c>
      <c r="G866">
        <v>20.5</v>
      </c>
      <c r="H866">
        <v>18</v>
      </c>
      <c r="I866">
        <v>1900</v>
      </c>
      <c r="J866">
        <v>20</v>
      </c>
      <c r="K866" t="s">
        <v>67</v>
      </c>
    </row>
    <row r="867" spans="1:11" x14ac:dyDescent="0.3">
      <c r="A867">
        <v>40.366114629505013</v>
      </c>
      <c r="B867">
        <v>1.899045015754357</v>
      </c>
      <c r="C867">
        <v>2.026859299449558</v>
      </c>
      <c r="D867">
        <v>6.9657123994655841</v>
      </c>
      <c r="E867">
        <v>6.4489181453624207</v>
      </c>
      <c r="F867">
        <v>27.480771081520441</v>
      </c>
      <c r="G867">
        <v>19.263715781324791</v>
      </c>
      <c r="H867">
        <v>28.66958513409563</v>
      </c>
      <c r="I867">
        <v>2030.868405703374</v>
      </c>
      <c r="J867">
        <v>30</v>
      </c>
      <c r="K867" t="s">
        <v>66</v>
      </c>
    </row>
    <row r="868" spans="1:11" x14ac:dyDescent="0.3">
      <c r="A868">
        <v>69.790503253114764</v>
      </c>
      <c r="B868">
        <v>3.2136966478740492</v>
      </c>
      <c r="C868">
        <v>3.9770418539703858</v>
      </c>
      <c r="D868">
        <v>9.9016901525456245</v>
      </c>
      <c r="E868">
        <v>5.7344299862515928</v>
      </c>
      <c r="F868">
        <v>34.929218930518708</v>
      </c>
      <c r="G868">
        <v>21.19978253222116</v>
      </c>
      <c r="H868">
        <v>18.948294858434512</v>
      </c>
      <c r="I868">
        <v>1918.7909062076519</v>
      </c>
      <c r="J868">
        <v>20</v>
      </c>
      <c r="K868" t="s">
        <v>66</v>
      </c>
    </row>
    <row r="869" spans="1:11" x14ac:dyDescent="0.3">
      <c r="A869">
        <v>3.9924730595150302</v>
      </c>
      <c r="B869">
        <v>0</v>
      </c>
      <c r="C869">
        <v>0</v>
      </c>
      <c r="D869">
        <v>0</v>
      </c>
      <c r="E869">
        <v>6.251427851645043</v>
      </c>
      <c r="F869">
        <v>22.726655081987751</v>
      </c>
      <c r="G869">
        <v>17.97700900109529</v>
      </c>
      <c r="H869">
        <v>24.564684501352559</v>
      </c>
      <c r="I869">
        <v>1435.1161059475371</v>
      </c>
      <c r="J869">
        <v>30</v>
      </c>
      <c r="K869" t="s">
        <v>66</v>
      </c>
    </row>
    <row r="870" spans="1:11" x14ac:dyDescent="0.3">
      <c r="A870">
        <v>5.1358245072590973</v>
      </c>
      <c r="B870">
        <v>0</v>
      </c>
      <c r="C870">
        <v>0</v>
      </c>
      <c r="D870">
        <v>0</v>
      </c>
      <c r="E870">
        <v>6.3009737145401363</v>
      </c>
      <c r="F870">
        <v>18.685121335595589</v>
      </c>
      <c r="G870">
        <v>17.525661579431311</v>
      </c>
      <c r="H870">
        <v>22.30339387067081</v>
      </c>
      <c r="I870">
        <v>1452.758924838163</v>
      </c>
      <c r="J870">
        <v>30</v>
      </c>
      <c r="K870" t="s">
        <v>66</v>
      </c>
    </row>
    <row r="871" spans="1:11" x14ac:dyDescent="0.3">
      <c r="A871">
        <v>15.6564755670998</v>
      </c>
      <c r="B871">
        <v>0</v>
      </c>
      <c r="C871">
        <v>0.89139454178819144</v>
      </c>
      <c r="D871">
        <v>1.9150337304948719</v>
      </c>
      <c r="E871">
        <v>5.5098334806824774</v>
      </c>
      <c r="F871">
        <v>29.372606691004059</v>
      </c>
      <c r="G871">
        <v>22.26946334113417</v>
      </c>
      <c r="H871">
        <v>25.958518237092829</v>
      </c>
      <c r="I871">
        <v>2059.8084332051221</v>
      </c>
      <c r="J871">
        <v>20</v>
      </c>
      <c r="K871" t="s">
        <v>66</v>
      </c>
    </row>
    <row r="872" spans="1:11" x14ac:dyDescent="0.3">
      <c r="A872">
        <v>72.911943432048488</v>
      </c>
      <c r="B872">
        <v>3.0958955477756929</v>
      </c>
      <c r="C872">
        <v>5.1215023610271997</v>
      </c>
      <c r="D872">
        <v>11.4711762557268</v>
      </c>
      <c r="E872">
        <v>5.8924780563105328</v>
      </c>
      <c r="F872">
        <v>31.838259839530551</v>
      </c>
      <c r="G872">
        <v>17.38387608957197</v>
      </c>
      <c r="H872">
        <v>28.75756232047814</v>
      </c>
      <c r="I872">
        <v>1672.571110879217</v>
      </c>
      <c r="J872">
        <v>20</v>
      </c>
      <c r="K872" t="s">
        <v>66</v>
      </c>
    </row>
    <row r="873" spans="1:11" x14ac:dyDescent="0.3">
      <c r="A873">
        <v>77.469541022523117</v>
      </c>
      <c r="B873">
        <v>2.598418260083025</v>
      </c>
      <c r="C873">
        <v>5.5697777680127336</v>
      </c>
      <c r="D873">
        <v>11.874038750923649</v>
      </c>
      <c r="E873">
        <v>6.4613753770682596</v>
      </c>
      <c r="F873">
        <v>14.35358372299781</v>
      </c>
      <c r="G873">
        <v>27.191985502814941</v>
      </c>
      <c r="H873">
        <v>24.413570187430629</v>
      </c>
      <c r="I873">
        <v>712.28519014318658</v>
      </c>
      <c r="J873">
        <v>25</v>
      </c>
      <c r="K873" t="s">
        <v>66</v>
      </c>
    </row>
    <row r="874" spans="1:11" x14ac:dyDescent="0.3">
      <c r="A874">
        <v>26.22890836379322</v>
      </c>
      <c r="B874">
        <v>1.0897066196887131</v>
      </c>
      <c r="C874">
        <v>1.032445860435252</v>
      </c>
      <c r="D874">
        <v>5.0802947165858798</v>
      </c>
      <c r="E874">
        <v>5.7213680008531078</v>
      </c>
      <c r="F874">
        <v>20.202792231326779</v>
      </c>
      <c r="G874">
        <v>21.219800235212439</v>
      </c>
      <c r="H874">
        <v>26.380229610606719</v>
      </c>
      <c r="I874">
        <v>2189.1339848220132</v>
      </c>
      <c r="J874">
        <v>10</v>
      </c>
      <c r="K874" t="s">
        <v>66</v>
      </c>
    </row>
    <row r="875" spans="1:11" x14ac:dyDescent="0.3">
      <c r="A875">
        <v>12.686216710581681</v>
      </c>
      <c r="B875">
        <v>0</v>
      </c>
      <c r="C875">
        <v>0</v>
      </c>
      <c r="D875">
        <v>2.0270380681974771</v>
      </c>
      <c r="E875">
        <v>5.1972239779415936</v>
      </c>
      <c r="F875">
        <v>27.465261171581069</v>
      </c>
      <c r="G875">
        <v>20.896406017541281</v>
      </c>
      <c r="H875">
        <v>21.255859930895419</v>
      </c>
      <c r="I875">
        <v>2100.9104263670488</v>
      </c>
      <c r="J875">
        <v>13</v>
      </c>
      <c r="K875" t="s">
        <v>66</v>
      </c>
    </row>
    <row r="876" spans="1:11" x14ac:dyDescent="0.3">
      <c r="A876">
        <v>3.9120537883451649</v>
      </c>
      <c r="B876">
        <v>0</v>
      </c>
      <c r="C876">
        <v>0</v>
      </c>
      <c r="D876">
        <v>0</v>
      </c>
      <c r="E876">
        <v>6.2071343004947597</v>
      </c>
      <c r="F876">
        <v>22.95438887158075</v>
      </c>
      <c r="G876">
        <v>17.949803026323622</v>
      </c>
      <c r="H876">
        <v>24.168454644587339</v>
      </c>
      <c r="I876">
        <v>1414.249520620298</v>
      </c>
      <c r="J876">
        <v>30</v>
      </c>
      <c r="K876" t="s">
        <v>66</v>
      </c>
    </row>
    <row r="877" spans="1:11" x14ac:dyDescent="0.3">
      <c r="A877">
        <v>0</v>
      </c>
      <c r="B877">
        <v>0</v>
      </c>
      <c r="C877">
        <v>0</v>
      </c>
      <c r="D877">
        <v>0</v>
      </c>
      <c r="E877">
        <v>6.2</v>
      </c>
      <c r="F877">
        <v>22.3</v>
      </c>
      <c r="G877">
        <v>30.3</v>
      </c>
      <c r="H877">
        <v>34.5</v>
      </c>
      <c r="I877">
        <v>1816</v>
      </c>
      <c r="J877">
        <v>26</v>
      </c>
      <c r="K877" t="s">
        <v>67</v>
      </c>
    </row>
    <row r="878" spans="1:11" x14ac:dyDescent="0.3">
      <c r="A878">
        <v>198.44380641333871</v>
      </c>
      <c r="B878">
        <v>8.6674257640499768</v>
      </c>
      <c r="C878">
        <v>11.501879653243961</v>
      </c>
      <c r="D878">
        <v>26.663181000835809</v>
      </c>
      <c r="E878">
        <v>6.1185786152208363</v>
      </c>
      <c r="F878">
        <v>25.173699045151331</v>
      </c>
      <c r="G878">
        <v>29.66364167584566</v>
      </c>
      <c r="H878">
        <v>31.212214178733689</v>
      </c>
      <c r="I878">
        <v>14.322619825659229</v>
      </c>
      <c r="J878">
        <v>0</v>
      </c>
      <c r="K878" t="s">
        <v>66</v>
      </c>
    </row>
    <row r="879" spans="1:11" x14ac:dyDescent="0.3">
      <c r="A879">
        <v>112.82480058613341</v>
      </c>
      <c r="B879">
        <v>4.6461870525889868</v>
      </c>
      <c r="C879">
        <v>5.9519196483749486</v>
      </c>
      <c r="D879">
        <v>16.581230021994259</v>
      </c>
      <c r="E879">
        <v>5.7834318226035073</v>
      </c>
      <c r="F879">
        <v>44.182648280252486</v>
      </c>
      <c r="G879">
        <v>15.9</v>
      </c>
      <c r="H879">
        <v>28.320144248770742</v>
      </c>
      <c r="I879">
        <v>1589.626290138094</v>
      </c>
      <c r="J879">
        <v>20</v>
      </c>
      <c r="K879" t="s">
        <v>66</v>
      </c>
    </row>
    <row r="880" spans="1:11" x14ac:dyDescent="0.3">
      <c r="A880">
        <v>26.90378732051003</v>
      </c>
      <c r="B880">
        <v>0.99221628029871978</v>
      </c>
      <c r="C880">
        <v>1.0695202900084</v>
      </c>
      <c r="D880">
        <v>4.2478955138811472</v>
      </c>
      <c r="E880">
        <v>6.2100109010511133</v>
      </c>
      <c r="F880">
        <v>41.167880470361297</v>
      </c>
      <c r="G880">
        <v>23.660055346574211</v>
      </c>
      <c r="H880">
        <v>21.493583358444582</v>
      </c>
      <c r="I880">
        <v>1633.548725996832</v>
      </c>
      <c r="J880">
        <v>25</v>
      </c>
      <c r="K880" t="s">
        <v>66</v>
      </c>
    </row>
    <row r="881" spans="1:11" x14ac:dyDescent="0.3">
      <c r="A881">
        <v>41.185053898402373</v>
      </c>
      <c r="B881">
        <v>0.81301836604678357</v>
      </c>
      <c r="C881">
        <v>2.022359831640677</v>
      </c>
      <c r="D881">
        <v>6.0666776251779071</v>
      </c>
      <c r="E881">
        <v>5.9658449394895587</v>
      </c>
      <c r="F881">
        <v>22.97153721772046</v>
      </c>
      <c r="G881">
        <v>21.399652346772811</v>
      </c>
      <c r="H881">
        <v>19.266378163375879</v>
      </c>
      <c r="I881">
        <v>1993.4419223664299</v>
      </c>
      <c r="J881">
        <v>40</v>
      </c>
      <c r="K881" t="s">
        <v>66</v>
      </c>
    </row>
    <row r="882" spans="1:11" x14ac:dyDescent="0.3">
      <c r="A882">
        <v>92.256334596527992</v>
      </c>
      <c r="B882">
        <v>3.8371854748292882</v>
      </c>
      <c r="C882">
        <v>5.9100355685525354</v>
      </c>
      <c r="D882">
        <v>12.549167053676721</v>
      </c>
      <c r="E882">
        <v>7.0183642972288558</v>
      </c>
      <c r="F882">
        <v>34.515728307097241</v>
      </c>
      <c r="G882">
        <v>17.879664754536019</v>
      </c>
      <c r="H882">
        <v>17.076505445248429</v>
      </c>
      <c r="I882">
        <v>1852.442046184688</v>
      </c>
      <c r="J882">
        <v>20</v>
      </c>
      <c r="K882" t="s">
        <v>66</v>
      </c>
    </row>
    <row r="883" spans="1:11" x14ac:dyDescent="0.3">
      <c r="A883">
        <v>368.21646886054663</v>
      </c>
      <c r="B883">
        <v>17.16154997558731</v>
      </c>
      <c r="C883">
        <v>26.71916199032907</v>
      </c>
      <c r="D883">
        <v>64.115146911650513</v>
      </c>
      <c r="E883">
        <v>4.5974039551377741</v>
      </c>
      <c r="F883">
        <v>50.101906440249998</v>
      </c>
      <c r="G883">
        <v>20.073182476082351</v>
      </c>
      <c r="H883">
        <v>20.748964745718791</v>
      </c>
      <c r="I883">
        <v>1589.2655193715721</v>
      </c>
      <c r="J883">
        <v>8</v>
      </c>
      <c r="K883" t="s">
        <v>66</v>
      </c>
    </row>
    <row r="884" spans="1:11" x14ac:dyDescent="0.3">
      <c r="A884">
        <v>130</v>
      </c>
      <c r="B884">
        <v>6</v>
      </c>
      <c r="C884">
        <v>9</v>
      </c>
      <c r="D884">
        <v>20</v>
      </c>
      <c r="E884">
        <v>5.2</v>
      </c>
      <c r="F884">
        <v>19.7</v>
      </c>
      <c r="G884">
        <v>19.3</v>
      </c>
      <c r="H884">
        <v>20.3</v>
      </c>
      <c r="I884">
        <v>1894</v>
      </c>
      <c r="J884">
        <v>12</v>
      </c>
      <c r="K884" t="s">
        <v>67</v>
      </c>
    </row>
    <row r="885" spans="1:11" x14ac:dyDescent="0.3">
      <c r="A885">
        <v>61.062343971886797</v>
      </c>
      <c r="B885">
        <v>2.1026592087297828</v>
      </c>
      <c r="C885">
        <v>4.1440656735783064</v>
      </c>
      <c r="D885">
        <v>9.8460023348021686</v>
      </c>
      <c r="E885">
        <v>5.877735605151992</v>
      </c>
      <c r="F885">
        <v>36.860301620552882</v>
      </c>
      <c r="G885">
        <v>19.879255579341631</v>
      </c>
      <c r="H885">
        <v>19.453283522076589</v>
      </c>
      <c r="I885">
        <v>2106.6607327068932</v>
      </c>
      <c r="J885">
        <v>20</v>
      </c>
      <c r="K885" t="s">
        <v>66</v>
      </c>
    </row>
    <row r="886" spans="1:11" x14ac:dyDescent="0.3">
      <c r="A886">
        <v>0</v>
      </c>
      <c r="B886">
        <v>0</v>
      </c>
      <c r="C886">
        <v>0</v>
      </c>
      <c r="D886">
        <v>0</v>
      </c>
      <c r="E886">
        <v>7</v>
      </c>
      <c r="F886">
        <v>13.9</v>
      </c>
      <c r="G886">
        <v>37.799999999999997</v>
      </c>
      <c r="H886">
        <v>32.6</v>
      </c>
      <c r="I886">
        <v>1763</v>
      </c>
      <c r="J886">
        <v>7</v>
      </c>
      <c r="K886" t="s">
        <v>67</v>
      </c>
    </row>
    <row r="887" spans="1:11" x14ac:dyDescent="0.3">
      <c r="A887">
        <v>790.59138072900771</v>
      </c>
      <c r="B887">
        <v>47</v>
      </c>
      <c r="C887">
        <v>61.621775374496622</v>
      </c>
      <c r="D887">
        <v>134.5708306808763</v>
      </c>
      <c r="E887">
        <v>5.475418024423937</v>
      </c>
      <c r="F887">
        <v>44.380179184265593</v>
      </c>
      <c r="G887">
        <v>18.846314018947542</v>
      </c>
      <c r="H887">
        <v>20.858792712316799</v>
      </c>
      <c r="I887">
        <v>1420.769970303629</v>
      </c>
      <c r="J887">
        <v>30</v>
      </c>
      <c r="K887" t="s">
        <v>66</v>
      </c>
    </row>
    <row r="888" spans="1:11" x14ac:dyDescent="0.3">
      <c r="A888">
        <v>7.7883525318705082</v>
      </c>
      <c r="B888">
        <v>0</v>
      </c>
      <c r="C888">
        <v>0</v>
      </c>
      <c r="D888">
        <v>1.0040924748728921</v>
      </c>
      <c r="E888">
        <v>6.4610637706731451</v>
      </c>
      <c r="F888">
        <v>24.693605807503161</v>
      </c>
      <c r="G888">
        <v>22.73700651517737</v>
      </c>
      <c r="H888">
        <v>20.051027516120111</v>
      </c>
      <c r="I888">
        <v>1599.6366686698941</v>
      </c>
      <c r="J888">
        <v>25</v>
      </c>
      <c r="K888" t="s">
        <v>66</v>
      </c>
    </row>
    <row r="889" spans="1:11" x14ac:dyDescent="0.3">
      <c r="A889">
        <v>28.638897742643248</v>
      </c>
      <c r="B889">
        <v>0.87792875740858412</v>
      </c>
      <c r="C889">
        <v>1.9369826537611781</v>
      </c>
      <c r="D889">
        <v>4.4328449251972559</v>
      </c>
      <c r="E889">
        <v>5.7482520346310544</v>
      </c>
      <c r="F889">
        <v>20.933866804755329</v>
      </c>
      <c r="G889">
        <v>16.65890403550517</v>
      </c>
      <c r="H889">
        <v>21.38366020129023</v>
      </c>
      <c r="I889">
        <v>1746.323928744454</v>
      </c>
      <c r="J889">
        <v>35</v>
      </c>
      <c r="K889" t="s">
        <v>66</v>
      </c>
    </row>
    <row r="890" spans="1:11" x14ac:dyDescent="0.3">
      <c r="A890">
        <v>97.136783199648988</v>
      </c>
      <c r="B890">
        <v>3.975123593200276</v>
      </c>
      <c r="C890">
        <v>5.8670920422287258</v>
      </c>
      <c r="D890">
        <v>16.195455401338261</v>
      </c>
      <c r="E890">
        <v>5.5713770118494219</v>
      </c>
      <c r="F890">
        <v>27.29234970594478</v>
      </c>
      <c r="G890">
        <v>22.036711570714871</v>
      </c>
      <c r="H890">
        <v>21.327922872875821</v>
      </c>
      <c r="I890">
        <v>1762.5647892919201</v>
      </c>
      <c r="J890">
        <v>25</v>
      </c>
      <c r="K890" t="s">
        <v>66</v>
      </c>
    </row>
    <row r="891" spans="1:11" x14ac:dyDescent="0.3">
      <c r="A891">
        <v>70.828517041259758</v>
      </c>
      <c r="B891">
        <v>3.0345078237442249</v>
      </c>
      <c r="C891">
        <v>5.2848801785993231</v>
      </c>
      <c r="D891">
        <v>12.880257376207039</v>
      </c>
      <c r="E891">
        <v>6.2238887900483553</v>
      </c>
      <c r="F891">
        <v>31.311754035614729</v>
      </c>
      <c r="G891">
        <v>27.248921820803542</v>
      </c>
      <c r="H891">
        <v>21.43535172595919</v>
      </c>
      <c r="I891">
        <v>1407.558799787924</v>
      </c>
      <c r="J891">
        <v>25</v>
      </c>
      <c r="K891" t="s">
        <v>66</v>
      </c>
    </row>
    <row r="892" spans="1:11" x14ac:dyDescent="0.3">
      <c r="A892">
        <v>53.571147552304652</v>
      </c>
      <c r="B892">
        <v>2.4341885434995629</v>
      </c>
      <c r="C892">
        <v>2.9160568972868979</v>
      </c>
      <c r="D892">
        <v>6.8452702755240642</v>
      </c>
      <c r="E892">
        <v>5.4445272182606113</v>
      </c>
      <c r="F892">
        <v>19.8908403667517</v>
      </c>
      <c r="G892">
        <v>23.58058767090677</v>
      </c>
      <c r="H892">
        <v>24.309897209972799</v>
      </c>
      <c r="I892">
        <v>1656.496544382986</v>
      </c>
      <c r="J892">
        <v>18</v>
      </c>
      <c r="K892" t="s">
        <v>66</v>
      </c>
    </row>
    <row r="893" spans="1:11" x14ac:dyDescent="0.3">
      <c r="A893">
        <v>79.883290559583614</v>
      </c>
      <c r="B893">
        <v>2.8075555214331138</v>
      </c>
      <c r="C893">
        <v>5.1680724815131143</v>
      </c>
      <c r="D893">
        <v>9.8715450834335758</v>
      </c>
      <c r="E893">
        <v>6.5996873030704686</v>
      </c>
      <c r="F893">
        <v>24.962168672169899</v>
      </c>
      <c r="G893">
        <v>21.59340184303796</v>
      </c>
      <c r="H893">
        <v>20.124752040430369</v>
      </c>
      <c r="I893">
        <v>1572.941549141251</v>
      </c>
      <c r="J893">
        <v>40</v>
      </c>
      <c r="K893" t="s">
        <v>66</v>
      </c>
    </row>
    <row r="894" spans="1:11" x14ac:dyDescent="0.3">
      <c r="A894">
        <v>33.939095733513078</v>
      </c>
      <c r="B894">
        <v>0.90962981392698716</v>
      </c>
      <c r="C894">
        <v>2.2553930772176369</v>
      </c>
      <c r="D894">
        <v>4.4862982242369949</v>
      </c>
      <c r="E894">
        <v>5.4162253348460156</v>
      </c>
      <c r="F894">
        <v>26.238035383105689</v>
      </c>
      <c r="G894">
        <v>21.384620996286699</v>
      </c>
      <c r="H894">
        <v>25.625473419109429</v>
      </c>
      <c r="I894">
        <v>1945.03368371228</v>
      </c>
      <c r="J894">
        <v>20</v>
      </c>
      <c r="K894" t="s">
        <v>66</v>
      </c>
    </row>
    <row r="895" spans="1:11" x14ac:dyDescent="0.3">
      <c r="A895">
        <v>11.859507975166</v>
      </c>
      <c r="B895">
        <v>0</v>
      </c>
      <c r="C895">
        <v>0</v>
      </c>
      <c r="D895">
        <v>0.80886831083374955</v>
      </c>
      <c r="E895">
        <v>6.5003707412932483</v>
      </c>
      <c r="F895">
        <v>25.203317805175569</v>
      </c>
      <c r="G895">
        <v>18.466181898582501</v>
      </c>
      <c r="H895">
        <v>30.63743959769166</v>
      </c>
      <c r="I895">
        <v>2257</v>
      </c>
      <c r="J895">
        <v>15</v>
      </c>
      <c r="K895" t="s">
        <v>66</v>
      </c>
    </row>
    <row r="896" spans="1:11" x14ac:dyDescent="0.3">
      <c r="A896">
        <v>110</v>
      </c>
      <c r="B896">
        <v>5</v>
      </c>
      <c r="C896">
        <v>7</v>
      </c>
      <c r="D896">
        <v>17</v>
      </c>
      <c r="E896">
        <v>5.9</v>
      </c>
      <c r="F896">
        <v>43.3</v>
      </c>
      <c r="G896">
        <v>16.7</v>
      </c>
      <c r="H896">
        <v>28.5</v>
      </c>
      <c r="I896">
        <v>1647</v>
      </c>
      <c r="J896">
        <v>20</v>
      </c>
      <c r="K896" t="s">
        <v>67</v>
      </c>
    </row>
    <row r="897" spans="1:11" x14ac:dyDescent="0.3">
      <c r="A897">
        <v>61.828315453445889</v>
      </c>
      <c r="B897">
        <v>2.8359959746238199</v>
      </c>
      <c r="C897">
        <v>3.6060027496731939</v>
      </c>
      <c r="D897">
        <v>8.1540289537649393</v>
      </c>
      <c r="E897">
        <v>6.129903942693459</v>
      </c>
      <c r="F897">
        <v>33.880619845023134</v>
      </c>
      <c r="G897">
        <v>18.494453054299509</v>
      </c>
      <c r="H897">
        <v>18.655702965279382</v>
      </c>
      <c r="I897">
        <v>2226.908869302008</v>
      </c>
      <c r="J897">
        <v>20</v>
      </c>
      <c r="K897" t="s">
        <v>66</v>
      </c>
    </row>
    <row r="898" spans="1:11" x14ac:dyDescent="0.3">
      <c r="A898">
        <v>53.626735104189017</v>
      </c>
      <c r="B898">
        <v>1.624965506070851</v>
      </c>
      <c r="C898">
        <v>3.14742883581606</v>
      </c>
      <c r="D898">
        <v>9.2786574461128275</v>
      </c>
      <c r="E898">
        <v>5.7145882008152009</v>
      </c>
      <c r="F898">
        <v>27.10864698800529</v>
      </c>
      <c r="G898">
        <v>23.589770946597071</v>
      </c>
      <c r="H898">
        <v>22.59870927337322</v>
      </c>
      <c r="I898">
        <v>1481.370428876194</v>
      </c>
      <c r="J898">
        <v>30</v>
      </c>
      <c r="K898" t="s">
        <v>66</v>
      </c>
    </row>
    <row r="899" spans="1:11" x14ac:dyDescent="0.3">
      <c r="A899">
        <v>97.505375354166603</v>
      </c>
      <c r="B899">
        <v>2.6390397433832571</v>
      </c>
      <c r="C899">
        <v>4.1297360840059474</v>
      </c>
      <c r="D899">
        <v>9.0579398164257547</v>
      </c>
      <c r="E899">
        <v>5.9030819330703883</v>
      </c>
      <c r="F899">
        <v>33.502331485175759</v>
      </c>
      <c r="G899">
        <v>16.615547218024709</v>
      </c>
      <c r="H899">
        <v>18.641356224026911</v>
      </c>
      <c r="I899">
        <v>2087.595693336149</v>
      </c>
      <c r="J899">
        <v>20</v>
      </c>
      <c r="K899" t="s">
        <v>66</v>
      </c>
    </row>
    <row r="900" spans="1:11" x14ac:dyDescent="0.3">
      <c r="A900">
        <v>20.616412371122291</v>
      </c>
      <c r="B900">
        <v>1.0556553124533761</v>
      </c>
      <c r="C900">
        <v>1.00558639398445</v>
      </c>
      <c r="D900">
        <v>3.156226836107614</v>
      </c>
      <c r="E900">
        <v>6.3274324933369828</v>
      </c>
      <c r="F900">
        <v>52.728075509839996</v>
      </c>
      <c r="G900">
        <v>22.955376490497091</v>
      </c>
      <c r="H900">
        <v>20.76902065643857</v>
      </c>
      <c r="I900">
        <v>1322.727567591699</v>
      </c>
      <c r="J900">
        <v>30</v>
      </c>
      <c r="K900" t="s">
        <v>66</v>
      </c>
    </row>
    <row r="901" spans="1:11" x14ac:dyDescent="0.3">
      <c r="A901">
        <v>20.283916539602309</v>
      </c>
      <c r="B901">
        <v>0.88103333409096385</v>
      </c>
      <c r="C901">
        <v>0.81406632283399427</v>
      </c>
      <c r="D901">
        <v>3.3590732846284062</v>
      </c>
      <c r="E901">
        <v>5.8890771199643552</v>
      </c>
      <c r="F901">
        <v>18.265213714357071</v>
      </c>
      <c r="G901">
        <v>19.285780755311229</v>
      </c>
      <c r="H901">
        <v>18.882326939460679</v>
      </c>
      <c r="I901">
        <v>1951.871614667195</v>
      </c>
      <c r="J901">
        <v>40</v>
      </c>
      <c r="K901" t="s">
        <v>66</v>
      </c>
    </row>
    <row r="902" spans="1:11" x14ac:dyDescent="0.3">
      <c r="A902">
        <v>88.109130411894981</v>
      </c>
      <c r="B902">
        <v>3.6105815201182119</v>
      </c>
      <c r="C902">
        <v>4.9087155128102298</v>
      </c>
      <c r="D902">
        <v>11.35371159204405</v>
      </c>
      <c r="E902">
        <v>6.0141819267895116</v>
      </c>
      <c r="F902">
        <v>32.306326978551517</v>
      </c>
      <c r="G902">
        <v>24.21142220869336</v>
      </c>
      <c r="H902">
        <v>28.217028424555171</v>
      </c>
      <c r="I902">
        <v>1407.931301555373</v>
      </c>
      <c r="J902">
        <v>18</v>
      </c>
      <c r="K902" t="s">
        <v>66</v>
      </c>
    </row>
    <row r="903" spans="1:11" x14ac:dyDescent="0.3">
      <c r="A903">
        <v>62.252017765592058</v>
      </c>
      <c r="B903">
        <v>3.105751490507064</v>
      </c>
      <c r="C903">
        <v>3.5292151548920132</v>
      </c>
      <c r="D903">
        <v>10.41680157448311</v>
      </c>
      <c r="E903">
        <v>5.6445033176014929</v>
      </c>
      <c r="F903">
        <v>40.42439038096758</v>
      </c>
      <c r="G903">
        <v>19.895333639428831</v>
      </c>
      <c r="H903">
        <v>20.425131588923069</v>
      </c>
      <c r="I903">
        <v>1791.4278368403629</v>
      </c>
      <c r="J903">
        <v>10</v>
      </c>
      <c r="K903" t="s">
        <v>66</v>
      </c>
    </row>
    <row r="904" spans="1:11" x14ac:dyDescent="0.3">
      <c r="A904">
        <v>65.202233658706149</v>
      </c>
      <c r="B904">
        <v>3.1270797196780382</v>
      </c>
      <c r="C904">
        <v>3.706737521156001</v>
      </c>
      <c r="D904">
        <v>10.948813096471619</v>
      </c>
      <c r="E904">
        <v>5.7439738645755503</v>
      </c>
      <c r="F904">
        <v>45.442811455481468</v>
      </c>
      <c r="G904">
        <v>19.085841313599101</v>
      </c>
      <c r="H904">
        <v>20.211116175158899</v>
      </c>
      <c r="I904">
        <v>1735.850688922754</v>
      </c>
      <c r="J904">
        <v>10</v>
      </c>
      <c r="K904" t="s">
        <v>66</v>
      </c>
    </row>
    <row r="905" spans="1:11" x14ac:dyDescent="0.3">
      <c r="A905">
        <v>29.258984753454591</v>
      </c>
      <c r="B905">
        <v>1.000120547536222</v>
      </c>
      <c r="C905">
        <v>1.8028392382664351</v>
      </c>
      <c r="D905">
        <v>4.7855760371969636</v>
      </c>
      <c r="E905">
        <v>6.3150832357628941</v>
      </c>
      <c r="F905">
        <v>20.975314552526509</v>
      </c>
      <c r="G905">
        <v>24.435739703708059</v>
      </c>
      <c r="H905">
        <v>20.505664418059421</v>
      </c>
      <c r="I905">
        <v>1257.1761291368921</v>
      </c>
      <c r="J905">
        <v>45</v>
      </c>
      <c r="K905" t="s">
        <v>66</v>
      </c>
    </row>
    <row r="906" spans="1:11" x14ac:dyDescent="0.3">
      <c r="A906">
        <v>260.5418659788748</v>
      </c>
      <c r="B906">
        <v>13.819672866304289</v>
      </c>
      <c r="C906">
        <v>16.632867115404601</v>
      </c>
      <c r="D906">
        <v>43.935409374424587</v>
      </c>
      <c r="E906">
        <v>5.4646916049019012</v>
      </c>
      <c r="F906">
        <v>30.668249250170451</v>
      </c>
      <c r="G906">
        <v>19.991791621664142</v>
      </c>
      <c r="H906">
        <v>19.254458798893062</v>
      </c>
      <c r="I906">
        <v>1529.333344020228</v>
      </c>
      <c r="J906">
        <v>25</v>
      </c>
      <c r="K906" t="s">
        <v>66</v>
      </c>
    </row>
    <row r="907" spans="1:11" x14ac:dyDescent="0.3">
      <c r="A907">
        <v>52.584180286954897</v>
      </c>
      <c r="B907">
        <v>1.8272234078820471</v>
      </c>
      <c r="C907">
        <v>3.1732090575319991</v>
      </c>
      <c r="D907">
        <v>8.881064131911641</v>
      </c>
      <c r="E907">
        <v>6.5580030777864327</v>
      </c>
      <c r="F907">
        <v>21.861150773829209</v>
      </c>
      <c r="G907">
        <v>23.71420700259883</v>
      </c>
      <c r="H907">
        <v>19.903358617980391</v>
      </c>
      <c r="I907">
        <v>1687.0352627167199</v>
      </c>
      <c r="J907">
        <v>25</v>
      </c>
      <c r="K907" t="s">
        <v>66</v>
      </c>
    </row>
    <row r="908" spans="1:11" x14ac:dyDescent="0.3">
      <c r="A908">
        <v>94.809883401838178</v>
      </c>
      <c r="B908">
        <v>4.8147459507049852</v>
      </c>
      <c r="C908">
        <v>6.4147564935299828</v>
      </c>
      <c r="D908">
        <v>14.94858406035511</v>
      </c>
      <c r="E908">
        <v>5.9215473487019201</v>
      </c>
      <c r="F908">
        <v>29.637789809287849</v>
      </c>
      <c r="G908">
        <v>21.659855984369461</v>
      </c>
      <c r="H908">
        <v>28.67492035127125</v>
      </c>
      <c r="I908">
        <v>1885.4113700535211</v>
      </c>
      <c r="J908">
        <v>30</v>
      </c>
      <c r="K908" t="s">
        <v>66</v>
      </c>
    </row>
    <row r="909" spans="1:11" x14ac:dyDescent="0.3">
      <c r="A909">
        <v>44.877803761264893</v>
      </c>
      <c r="B909">
        <v>2.1204236640784968</v>
      </c>
      <c r="C909">
        <v>3.281243247752077</v>
      </c>
      <c r="D909">
        <v>7.0881205714036604</v>
      </c>
      <c r="E909">
        <v>6.2041085752354972</v>
      </c>
      <c r="F909">
        <v>22.52466716822315</v>
      </c>
      <c r="G909">
        <v>18.837170226784181</v>
      </c>
      <c r="H909">
        <v>28.770409568188001</v>
      </c>
      <c r="I909">
        <v>2235.3603018399522</v>
      </c>
      <c r="J909">
        <v>15</v>
      </c>
      <c r="K909" t="s">
        <v>66</v>
      </c>
    </row>
    <row r="910" spans="1:11" x14ac:dyDescent="0.3">
      <c r="A910">
        <v>113.9138818294889</v>
      </c>
      <c r="B910">
        <v>5.0299663151331639</v>
      </c>
      <c r="C910">
        <v>7.417508796307227</v>
      </c>
      <c r="D910">
        <v>16.82660898171892</v>
      </c>
      <c r="E910">
        <v>5.7677906855655063</v>
      </c>
      <c r="F910">
        <v>41.675362073411158</v>
      </c>
      <c r="G910">
        <v>16.47910800350596</v>
      </c>
      <c r="H910">
        <v>27.652990763738149</v>
      </c>
      <c r="I910">
        <v>1703.2466604142589</v>
      </c>
      <c r="J910">
        <v>20</v>
      </c>
      <c r="K910" t="s">
        <v>66</v>
      </c>
    </row>
    <row r="911" spans="1:11" x14ac:dyDescent="0.3">
      <c r="A911">
        <v>91.401341949908655</v>
      </c>
      <c r="B911">
        <v>4.7833389816882379</v>
      </c>
      <c r="C911">
        <v>5.9037839513731019</v>
      </c>
      <c r="D911">
        <v>14.4558089435019</v>
      </c>
      <c r="E911">
        <v>6.9218170928696203</v>
      </c>
      <c r="F911">
        <v>14.873491651910911</v>
      </c>
      <c r="G911">
        <v>32.299562063561318</v>
      </c>
      <c r="H911">
        <v>30.099990324221199</v>
      </c>
      <c r="I911">
        <v>48.565278673480272</v>
      </c>
      <c r="J911">
        <v>0</v>
      </c>
      <c r="K911" t="s">
        <v>66</v>
      </c>
    </row>
    <row r="912" spans="1:11" x14ac:dyDescent="0.3">
      <c r="A912">
        <v>62.00364654078389</v>
      </c>
      <c r="B912">
        <v>3.0731859593725499</v>
      </c>
      <c r="C912">
        <v>3.8207101534799399</v>
      </c>
      <c r="D912">
        <v>9.0724466691882721</v>
      </c>
      <c r="E912">
        <v>5.9350309776999683</v>
      </c>
      <c r="F912">
        <v>36.205192847787337</v>
      </c>
      <c r="G912">
        <v>20.489014774744039</v>
      </c>
      <c r="H912">
        <v>17.760498336087959</v>
      </c>
      <c r="I912">
        <v>1937.787747963429</v>
      </c>
      <c r="J912">
        <v>20</v>
      </c>
      <c r="K912" t="s">
        <v>66</v>
      </c>
    </row>
    <row r="913" spans="1:11" x14ac:dyDescent="0.3">
      <c r="A913">
        <v>55.993837915148141</v>
      </c>
      <c r="B913">
        <v>2.0807460180673218</v>
      </c>
      <c r="C913">
        <v>3.425559403544411</v>
      </c>
      <c r="D913">
        <v>7.6864985876905072</v>
      </c>
      <c r="E913">
        <v>6.2892519225041834</v>
      </c>
      <c r="F913">
        <v>40.589281061128709</v>
      </c>
      <c r="G913">
        <v>25.292102519566029</v>
      </c>
      <c r="H913">
        <v>27.03631701981978</v>
      </c>
      <c r="I913">
        <v>1504.4206105250489</v>
      </c>
      <c r="J913">
        <v>18</v>
      </c>
      <c r="K913" t="s">
        <v>66</v>
      </c>
    </row>
    <row r="914" spans="1:11" x14ac:dyDescent="0.3">
      <c r="A914">
        <v>9.3008495207650057</v>
      </c>
      <c r="B914">
        <v>5.5699392805645216</v>
      </c>
      <c r="C914">
        <v>7.4525426764080391</v>
      </c>
      <c r="D914">
        <v>17.548521638440331</v>
      </c>
      <c r="E914">
        <v>6.4664454694821289</v>
      </c>
      <c r="F914">
        <v>29.846398203414179</v>
      </c>
      <c r="G914">
        <v>23.709799259634181</v>
      </c>
      <c r="H914">
        <v>24.49949342050013</v>
      </c>
      <c r="I914">
        <v>651.5872106204431</v>
      </c>
      <c r="J914">
        <v>25</v>
      </c>
      <c r="K914" t="s">
        <v>66</v>
      </c>
    </row>
    <row r="915" spans="1:11" x14ac:dyDescent="0.3">
      <c r="A915">
        <v>49.998069599247529</v>
      </c>
      <c r="B915">
        <v>1.9538950749639501</v>
      </c>
      <c r="C915">
        <v>3.1253042256718202</v>
      </c>
      <c r="D915">
        <v>7.2836576312599668</v>
      </c>
      <c r="E915">
        <v>6.6716802608662338</v>
      </c>
      <c r="F915">
        <v>20.25448378496387</v>
      </c>
      <c r="G915">
        <v>23.13124518073521</v>
      </c>
      <c r="H915">
        <v>22.327372314825809</v>
      </c>
      <c r="I915">
        <v>1683.8093713502651</v>
      </c>
      <c r="J915">
        <v>25</v>
      </c>
      <c r="K915" t="s">
        <v>66</v>
      </c>
    </row>
    <row r="916" spans="1:11" x14ac:dyDescent="0.3">
      <c r="A916">
        <v>81</v>
      </c>
      <c r="B916">
        <v>4</v>
      </c>
      <c r="C916">
        <v>5</v>
      </c>
      <c r="D916">
        <v>12</v>
      </c>
      <c r="E916">
        <v>6.2</v>
      </c>
      <c r="F916">
        <v>14.7</v>
      </c>
      <c r="G916">
        <v>34.700000000000003</v>
      </c>
      <c r="H916">
        <v>31</v>
      </c>
      <c r="I916">
        <v>48</v>
      </c>
      <c r="J916">
        <v>0</v>
      </c>
      <c r="K916" t="s">
        <v>67</v>
      </c>
    </row>
    <row r="917" spans="1:11" x14ac:dyDescent="0.3">
      <c r="A917">
        <v>128.7938864189218</v>
      </c>
      <c r="B917">
        <v>5.4435881194856552</v>
      </c>
      <c r="C917">
        <v>8.4655697327381656</v>
      </c>
      <c r="D917">
        <v>19.623055789130969</v>
      </c>
      <c r="E917">
        <v>6.1193682382143786</v>
      </c>
      <c r="F917">
        <v>27.674378338905829</v>
      </c>
      <c r="G917">
        <v>21.118922165481031</v>
      </c>
      <c r="H917">
        <v>21.138302285239789</v>
      </c>
      <c r="I917">
        <v>1658.879447747885</v>
      </c>
      <c r="J917">
        <v>12</v>
      </c>
      <c r="K917" t="s">
        <v>66</v>
      </c>
    </row>
    <row r="918" spans="1:11" x14ac:dyDescent="0.3">
      <c r="A918">
        <v>9.1962583827193853</v>
      </c>
      <c r="B918">
        <v>0</v>
      </c>
      <c r="C918">
        <v>0</v>
      </c>
      <c r="D918">
        <v>0.89915512674526499</v>
      </c>
      <c r="E918">
        <v>6.1665259647936796</v>
      </c>
      <c r="F918">
        <v>29.395515649323769</v>
      </c>
      <c r="G918">
        <v>16.99978877142415</v>
      </c>
      <c r="H918">
        <v>23.58113627961373</v>
      </c>
      <c r="I918">
        <v>1461.732594671146</v>
      </c>
      <c r="J918">
        <v>30</v>
      </c>
      <c r="K918" t="s">
        <v>66</v>
      </c>
    </row>
    <row r="919" spans="1:11" x14ac:dyDescent="0.3">
      <c r="A919">
        <v>152.71524989069971</v>
      </c>
      <c r="B919">
        <v>7.7636862976301773</v>
      </c>
      <c r="C919">
        <v>8.2542925671403484</v>
      </c>
      <c r="D919">
        <v>24.387118902390469</v>
      </c>
      <c r="E919">
        <v>5.7702996933177078</v>
      </c>
      <c r="F919">
        <v>25.571453131501961</v>
      </c>
      <c r="G919">
        <v>24.79170081431592</v>
      </c>
      <c r="H919">
        <v>19.552044317496179</v>
      </c>
      <c r="I919">
        <v>2107.608214135329</v>
      </c>
      <c r="J919">
        <v>20</v>
      </c>
      <c r="K919" t="s">
        <v>66</v>
      </c>
    </row>
    <row r="920" spans="1:11" x14ac:dyDescent="0.3">
      <c r="A920">
        <v>39.992794921818863</v>
      </c>
      <c r="B920">
        <v>1.084843088220528</v>
      </c>
      <c r="C920">
        <v>2.0221070634947882</v>
      </c>
      <c r="D920">
        <v>4.5388126009302674</v>
      </c>
      <c r="E920">
        <v>5.3026442137681542</v>
      </c>
      <c r="F920">
        <v>29.256999756400511</v>
      </c>
      <c r="G920">
        <v>16.59826155903459</v>
      </c>
      <c r="H920">
        <v>19.939077468788419</v>
      </c>
      <c r="I920">
        <v>1774.6121757610349</v>
      </c>
      <c r="J920">
        <v>35</v>
      </c>
      <c r="K920" t="s">
        <v>66</v>
      </c>
    </row>
    <row r="921" spans="1:11" x14ac:dyDescent="0.3">
      <c r="A921">
        <v>352.34214965747549</v>
      </c>
      <c r="B921">
        <v>16.19042451497408</v>
      </c>
      <c r="C921">
        <v>25.755312606179981</v>
      </c>
      <c r="D921">
        <v>46.912307468228121</v>
      </c>
      <c r="E921">
        <v>6.1139909194557758</v>
      </c>
      <c r="F921">
        <v>34.910279870596383</v>
      </c>
      <c r="G921">
        <v>26.032315387098951</v>
      </c>
      <c r="H921">
        <v>22.24489546722214</v>
      </c>
      <c r="I921">
        <v>1276.7931609888401</v>
      </c>
      <c r="J921">
        <v>20</v>
      </c>
      <c r="K921" t="s">
        <v>66</v>
      </c>
    </row>
    <row r="922" spans="1:11" x14ac:dyDescent="0.3">
      <c r="A922">
        <v>21.877476717668401</v>
      </c>
      <c r="B922">
        <v>0.98241455955679291</v>
      </c>
      <c r="C922">
        <v>1.032208231076698</v>
      </c>
      <c r="D922">
        <v>2.6273260399352312</v>
      </c>
      <c r="E922">
        <v>6.1342543953117197</v>
      </c>
      <c r="F922">
        <v>52.778872388400757</v>
      </c>
      <c r="G922">
        <v>22.596044391454221</v>
      </c>
      <c r="H922">
        <v>20.489866655544422</v>
      </c>
      <c r="I922">
        <v>1260.5854308526691</v>
      </c>
      <c r="J922">
        <v>30</v>
      </c>
      <c r="K922" t="s">
        <v>66</v>
      </c>
    </row>
    <row r="923" spans="1:11" x14ac:dyDescent="0.3">
      <c r="A923">
        <v>276.30101524666048</v>
      </c>
      <c r="B923">
        <v>11.47633693136812</v>
      </c>
      <c r="C923">
        <v>18.081400876199972</v>
      </c>
      <c r="D923">
        <v>40.836433026617982</v>
      </c>
      <c r="E923">
        <v>5.2346704645311313</v>
      </c>
      <c r="F923">
        <v>28.814693985157369</v>
      </c>
      <c r="G923">
        <v>21.425437504652951</v>
      </c>
      <c r="H923">
        <v>19.152686096784731</v>
      </c>
      <c r="I923">
        <v>1556.75100428363</v>
      </c>
      <c r="J923">
        <v>25</v>
      </c>
      <c r="K923" t="s">
        <v>66</v>
      </c>
    </row>
    <row r="924" spans="1:11" x14ac:dyDescent="0.3">
      <c r="A924">
        <v>123.7057610433864</v>
      </c>
      <c r="B924">
        <v>6.1806644035150464</v>
      </c>
      <c r="C924">
        <v>9.7885522504721099</v>
      </c>
      <c r="D924">
        <v>21.927850846111141</v>
      </c>
      <c r="E924">
        <v>5.2410756289136238</v>
      </c>
      <c r="F924">
        <v>18.505532724366031</v>
      </c>
      <c r="G924">
        <v>18.934730027314309</v>
      </c>
      <c r="H924">
        <v>20.27057331565079</v>
      </c>
      <c r="I924">
        <v>1859.2777262953889</v>
      </c>
      <c r="J924">
        <v>12</v>
      </c>
      <c r="K924" t="s">
        <v>66</v>
      </c>
    </row>
    <row r="925" spans="1:11" x14ac:dyDescent="0.3">
      <c r="A925">
        <v>43.056936852825061</v>
      </c>
      <c r="B925">
        <v>0.94901933068091171</v>
      </c>
      <c r="C925">
        <v>1.596532240375518</v>
      </c>
      <c r="D925">
        <v>4.9834464624029531</v>
      </c>
      <c r="E925">
        <v>5.1864966879751098</v>
      </c>
      <c r="F925">
        <v>28.296750259232521</v>
      </c>
      <c r="G925">
        <v>16.39971386795893</v>
      </c>
      <c r="H925">
        <v>21.73853322455308</v>
      </c>
      <c r="I925">
        <v>1810.043963380961</v>
      </c>
      <c r="J925">
        <v>35</v>
      </c>
      <c r="K925" t="s">
        <v>66</v>
      </c>
    </row>
    <row r="926" spans="1:11" x14ac:dyDescent="0.3">
      <c r="A926">
        <v>12.367505188426991</v>
      </c>
      <c r="B926">
        <v>0</v>
      </c>
      <c r="C926">
        <v>0</v>
      </c>
      <c r="D926">
        <v>2.1915074326559529</v>
      </c>
      <c r="E926">
        <v>5.4207240708623381</v>
      </c>
      <c r="F926">
        <v>27.43350607194267</v>
      </c>
      <c r="G926">
        <v>20.450721258629169</v>
      </c>
      <c r="H926">
        <v>25.149887144726719</v>
      </c>
      <c r="I926">
        <v>2185.0068735915288</v>
      </c>
      <c r="J926">
        <v>10</v>
      </c>
      <c r="K926" t="s">
        <v>66</v>
      </c>
    </row>
    <row r="927" spans="1:11" x14ac:dyDescent="0.3">
      <c r="A927">
        <v>31.897650751488971</v>
      </c>
      <c r="B927">
        <v>0.94646649129837768</v>
      </c>
      <c r="C927">
        <v>1.9024589254102511</v>
      </c>
      <c r="D927">
        <v>5.150980450085882</v>
      </c>
      <c r="E927">
        <v>6.1865481396315651</v>
      </c>
      <c r="F927">
        <v>32.926146182458382</v>
      </c>
      <c r="G927">
        <v>18.67141670465508</v>
      </c>
      <c r="H927">
        <v>19.35790492189588</v>
      </c>
      <c r="I927">
        <v>1540.8942093107039</v>
      </c>
      <c r="J927">
        <v>25</v>
      </c>
      <c r="K927" t="s">
        <v>66</v>
      </c>
    </row>
    <row r="928" spans="1:11" x14ac:dyDescent="0.3">
      <c r="A928">
        <v>960</v>
      </c>
      <c r="B928">
        <v>47</v>
      </c>
      <c r="C928">
        <v>67</v>
      </c>
      <c r="D928">
        <v>153</v>
      </c>
      <c r="E928">
        <v>5.3</v>
      </c>
      <c r="F928">
        <v>25.6</v>
      </c>
      <c r="G928">
        <v>19.399999999999999</v>
      </c>
      <c r="H928">
        <v>22.2</v>
      </c>
      <c r="I928">
        <v>1471</v>
      </c>
      <c r="J928">
        <v>30</v>
      </c>
      <c r="K928" t="s">
        <v>67</v>
      </c>
    </row>
    <row r="929" spans="1:11" x14ac:dyDescent="0.3">
      <c r="A929">
        <v>21.549918157890851</v>
      </c>
      <c r="B929">
        <v>1.061971144596614</v>
      </c>
      <c r="C929">
        <v>0.94619522415098611</v>
      </c>
      <c r="D929">
        <v>3.0805780743132889</v>
      </c>
      <c r="E929">
        <v>5.5377920325094827</v>
      </c>
      <c r="F929">
        <v>23.542972039719121</v>
      </c>
      <c r="G929">
        <v>20.241661659428139</v>
      </c>
      <c r="H929">
        <v>20.245594457928139</v>
      </c>
      <c r="I929">
        <v>1901.303218260138</v>
      </c>
      <c r="J929">
        <v>12</v>
      </c>
      <c r="K929" t="s">
        <v>66</v>
      </c>
    </row>
    <row r="930" spans="1:11" x14ac:dyDescent="0.3">
      <c r="A930">
        <v>16.586549456739139</v>
      </c>
      <c r="B930">
        <v>0</v>
      </c>
      <c r="C930">
        <v>1.0348595119860979</v>
      </c>
      <c r="D930">
        <v>2.2188359095042949</v>
      </c>
      <c r="E930">
        <v>5.4194956960742529</v>
      </c>
      <c r="F930">
        <v>22.549494371197039</v>
      </c>
      <c r="G930">
        <v>21.169140315514731</v>
      </c>
      <c r="H930">
        <v>26.66911574652508</v>
      </c>
      <c r="I930">
        <v>2143.588212056743</v>
      </c>
      <c r="J930">
        <v>10</v>
      </c>
      <c r="K930" t="s">
        <v>66</v>
      </c>
    </row>
    <row r="931" spans="1:11" x14ac:dyDescent="0.3">
      <c r="A931">
        <v>336.9237956149131</v>
      </c>
      <c r="B931">
        <v>18.03401852586445</v>
      </c>
      <c r="C931">
        <v>24.699752824036739</v>
      </c>
      <c r="D931">
        <v>55.978696851443523</v>
      </c>
      <c r="E931">
        <v>5.1476203729209384</v>
      </c>
      <c r="F931">
        <v>77.796689004680886</v>
      </c>
      <c r="G931">
        <v>30.352604732263739</v>
      </c>
      <c r="H931">
        <v>30.375773700125489</v>
      </c>
      <c r="I931">
        <v>11.126403577858079</v>
      </c>
      <c r="J931">
        <v>0</v>
      </c>
      <c r="K931" t="s">
        <v>66</v>
      </c>
    </row>
    <row r="932" spans="1:11" x14ac:dyDescent="0.3">
      <c r="A932">
        <v>61.40368100917852</v>
      </c>
      <c r="B932">
        <v>2.719368389386621</v>
      </c>
      <c r="C932">
        <v>4.5598378580583177</v>
      </c>
      <c r="D932">
        <v>11.74813706912084</v>
      </c>
      <c r="E932">
        <v>6.1652177453769594</v>
      </c>
      <c r="F932">
        <v>17.229116174092152</v>
      </c>
      <c r="G932">
        <v>22.6924593328161</v>
      </c>
      <c r="H932">
        <v>20.87200382673965</v>
      </c>
      <c r="I932">
        <v>1606.0504916254649</v>
      </c>
      <c r="J932">
        <v>30</v>
      </c>
      <c r="K932" t="s">
        <v>66</v>
      </c>
    </row>
    <row r="933" spans="1:11" x14ac:dyDescent="0.3">
      <c r="A933">
        <v>21.077799519440759</v>
      </c>
      <c r="B933">
        <v>1.112103066732447</v>
      </c>
      <c r="C933">
        <v>1.036414029605466</v>
      </c>
      <c r="D933">
        <v>2.7544184920019759</v>
      </c>
      <c r="E933">
        <v>5.8921440227707391</v>
      </c>
      <c r="F933">
        <v>20.86096270520753</v>
      </c>
      <c r="G933">
        <v>21.273866053669568</v>
      </c>
      <c r="H933">
        <v>19.631826060352239</v>
      </c>
      <c r="I933">
        <v>1971.359551563402</v>
      </c>
      <c r="J933">
        <v>40</v>
      </c>
      <c r="K933" t="s">
        <v>66</v>
      </c>
    </row>
    <row r="934" spans="1:11" x14ac:dyDescent="0.3">
      <c r="A934">
        <v>31.553524485843209</v>
      </c>
      <c r="B934">
        <v>0.9525096343377476</v>
      </c>
      <c r="C934">
        <v>1.8124148846927199</v>
      </c>
      <c r="D934">
        <v>4.530110436174815</v>
      </c>
      <c r="E934">
        <v>5.8911586663780238</v>
      </c>
      <c r="F934">
        <v>21.923047718886501</v>
      </c>
      <c r="G934">
        <v>28.951318200031238</v>
      </c>
      <c r="H934">
        <v>26.420032462178451</v>
      </c>
      <c r="I934">
        <v>742.1940163992366</v>
      </c>
      <c r="J934">
        <v>0</v>
      </c>
      <c r="K934" t="s">
        <v>66</v>
      </c>
    </row>
    <row r="935" spans="1:11" x14ac:dyDescent="0.3">
      <c r="A935">
        <v>47.678954118269267</v>
      </c>
      <c r="B935">
        <v>2.3042012454318761</v>
      </c>
      <c r="C935">
        <v>3.0657907011601311</v>
      </c>
      <c r="D935">
        <v>6.0756545896164784</v>
      </c>
      <c r="E935">
        <v>6.5232505362305719</v>
      </c>
      <c r="F935">
        <v>31.251075886848611</v>
      </c>
      <c r="G935">
        <v>22.805218747474839</v>
      </c>
      <c r="H935">
        <v>28.051978052430911</v>
      </c>
      <c r="I935">
        <v>1421.5013165360519</v>
      </c>
      <c r="J935">
        <v>18</v>
      </c>
      <c r="K935" t="s">
        <v>66</v>
      </c>
    </row>
    <row r="936" spans="1:11" x14ac:dyDescent="0.3">
      <c r="A936">
        <v>55.941173938795679</v>
      </c>
      <c r="B936">
        <v>1.720576362977402</v>
      </c>
      <c r="C936">
        <v>3.231538853170699</v>
      </c>
      <c r="D936">
        <v>6.0097423539501351</v>
      </c>
      <c r="E936">
        <v>6.3494037058539297</v>
      </c>
      <c r="F936">
        <v>33.885123278575037</v>
      </c>
      <c r="G936">
        <v>22.355633703041459</v>
      </c>
      <c r="H936">
        <v>19.896564380114459</v>
      </c>
      <c r="I936">
        <v>1241.089979168697</v>
      </c>
      <c r="J936">
        <v>18</v>
      </c>
      <c r="K936" t="s">
        <v>66</v>
      </c>
    </row>
    <row r="937" spans="1:11" x14ac:dyDescent="0.3">
      <c r="A937">
        <v>184.04274588028949</v>
      </c>
      <c r="B937">
        <v>9.4197225370017001</v>
      </c>
      <c r="C937">
        <v>12.888109399371841</v>
      </c>
      <c r="D937">
        <v>23.46609680341594</v>
      </c>
      <c r="E937">
        <v>5.8462565966732782</v>
      </c>
      <c r="F937">
        <v>39.904809699170073</v>
      </c>
      <c r="G937">
        <v>25.594049872927268</v>
      </c>
      <c r="H937">
        <v>19.070120643910251</v>
      </c>
      <c r="I937">
        <v>2059.038054680474</v>
      </c>
      <c r="J937">
        <v>20</v>
      </c>
      <c r="K937" t="s">
        <v>66</v>
      </c>
    </row>
    <row r="938" spans="1:11" x14ac:dyDescent="0.3">
      <c r="A938">
        <v>383.0559171542356</v>
      </c>
      <c r="B938">
        <v>14.682604192192221</v>
      </c>
      <c r="C938">
        <v>24.382710016329909</v>
      </c>
      <c r="D938">
        <v>59.818956624311923</v>
      </c>
      <c r="E938">
        <v>4.60300277297556</v>
      </c>
      <c r="F938">
        <v>57.095515328579197</v>
      </c>
      <c r="G938">
        <v>30.870282494636051</v>
      </c>
      <c r="H938">
        <v>31.40675658698709</v>
      </c>
      <c r="I938">
        <v>13.689988684433111</v>
      </c>
      <c r="J938">
        <v>0</v>
      </c>
      <c r="K938" t="s">
        <v>66</v>
      </c>
    </row>
    <row r="939" spans="1:11" x14ac:dyDescent="0.3">
      <c r="A939">
        <v>55.663026138749522</v>
      </c>
      <c r="B939">
        <v>2.0500400412503388</v>
      </c>
      <c r="C939">
        <v>2.7465175684219512</v>
      </c>
      <c r="D939">
        <v>7.5083689730471237</v>
      </c>
      <c r="E939">
        <v>5.5109245196446484</v>
      </c>
      <c r="F939">
        <v>23.18217526690929</v>
      </c>
      <c r="G939">
        <v>20.847598503501089</v>
      </c>
      <c r="H939">
        <v>28.8178977809123</v>
      </c>
      <c r="I939">
        <v>1676.4911269623431</v>
      </c>
      <c r="J939">
        <v>15</v>
      </c>
      <c r="K939" t="s">
        <v>66</v>
      </c>
    </row>
    <row r="940" spans="1:11" x14ac:dyDescent="0.3">
      <c r="A940">
        <v>6.8722665446599898</v>
      </c>
      <c r="B940">
        <v>0</v>
      </c>
      <c r="C940">
        <v>0</v>
      </c>
      <c r="D940">
        <v>1.26378817522602</v>
      </c>
      <c r="E940">
        <v>6.4130525105670397</v>
      </c>
      <c r="F940">
        <v>24.672723576013851</v>
      </c>
      <c r="G940">
        <v>22.966086710711959</v>
      </c>
      <c r="H940">
        <v>19.788127891998531</v>
      </c>
      <c r="I940">
        <v>1659.568641184803</v>
      </c>
      <c r="J940">
        <v>25</v>
      </c>
      <c r="K940" t="s">
        <v>66</v>
      </c>
    </row>
    <row r="941" spans="1:11" x14ac:dyDescent="0.3">
      <c r="A941">
        <v>52.629101906071689</v>
      </c>
      <c r="B941">
        <v>2.1838457869150401</v>
      </c>
      <c r="C941">
        <v>2.6787442743946679</v>
      </c>
      <c r="D941">
        <v>8.5484717970387329</v>
      </c>
      <c r="E941">
        <v>6.4550099832289423</v>
      </c>
      <c r="F941">
        <v>19.421800797674649</v>
      </c>
      <c r="G941">
        <v>22.194277953283979</v>
      </c>
      <c r="H941">
        <v>20.805823965258678</v>
      </c>
      <c r="I941">
        <v>1684.9329287458261</v>
      </c>
      <c r="J941">
        <v>25</v>
      </c>
      <c r="K941" t="s">
        <v>66</v>
      </c>
    </row>
    <row r="942" spans="1:11" x14ac:dyDescent="0.3">
      <c r="A942">
        <v>27.579984595828989</v>
      </c>
      <c r="B942">
        <v>0.92782624466627461</v>
      </c>
      <c r="C942">
        <v>1.002263085267687</v>
      </c>
      <c r="D942">
        <v>4.8398074702816034</v>
      </c>
      <c r="E942">
        <v>5.7773848821326066</v>
      </c>
      <c r="F942">
        <v>19.679197513845391</v>
      </c>
      <c r="G942">
        <v>21.08432367189528</v>
      </c>
      <c r="H942">
        <v>26.630895390501781</v>
      </c>
      <c r="I942">
        <v>2253.6011439100739</v>
      </c>
      <c r="J942">
        <v>10</v>
      </c>
      <c r="K942" t="s">
        <v>66</v>
      </c>
    </row>
    <row r="943" spans="1:11" x14ac:dyDescent="0.3">
      <c r="A943">
        <v>20.91254978213399</v>
      </c>
      <c r="B943">
        <v>0.95438791725258121</v>
      </c>
      <c r="C943">
        <v>1.1080056059139309</v>
      </c>
      <c r="D943">
        <v>3.342020353948548</v>
      </c>
      <c r="E943">
        <v>6.3293140911068546</v>
      </c>
      <c r="F943">
        <v>34.458372800760387</v>
      </c>
      <c r="G943">
        <v>24.784860380371882</v>
      </c>
      <c r="H943">
        <v>20.191956717106869</v>
      </c>
      <c r="I943">
        <v>1681.3260199769979</v>
      </c>
      <c r="J943">
        <v>25</v>
      </c>
      <c r="K943" t="s">
        <v>66</v>
      </c>
    </row>
    <row r="944" spans="1:11" x14ac:dyDescent="0.3">
      <c r="A944">
        <v>6.0559362944308281</v>
      </c>
      <c r="B944">
        <v>0</v>
      </c>
      <c r="C944">
        <v>0</v>
      </c>
      <c r="D944">
        <v>0</v>
      </c>
      <c r="E944">
        <v>5.7941241452729724</v>
      </c>
      <c r="F944">
        <v>20.968749677782831</v>
      </c>
      <c r="G944">
        <v>20.829729668365001</v>
      </c>
      <c r="H944">
        <v>25.725705056609311</v>
      </c>
      <c r="I944">
        <v>1863.7098193834711</v>
      </c>
      <c r="J944">
        <v>20</v>
      </c>
      <c r="K944" t="s">
        <v>66</v>
      </c>
    </row>
    <row r="945" spans="1:11" x14ac:dyDescent="0.3">
      <c r="A945">
        <v>117.9270030898636</v>
      </c>
      <c r="B945">
        <v>5.4824258165487292</v>
      </c>
      <c r="C945">
        <v>6.7710878776731596</v>
      </c>
      <c r="D945">
        <v>18.748907285419921</v>
      </c>
      <c r="E945">
        <v>6.0265599323495858</v>
      </c>
      <c r="F945">
        <v>38.947880942864472</v>
      </c>
      <c r="G945">
        <v>16.346525488413491</v>
      </c>
      <c r="H945">
        <v>27.951589499529959</v>
      </c>
      <c r="I945">
        <v>1673.0930059278519</v>
      </c>
      <c r="J945">
        <v>20</v>
      </c>
      <c r="K945" t="s">
        <v>66</v>
      </c>
    </row>
    <row r="946" spans="1:11" x14ac:dyDescent="0.3">
      <c r="A946">
        <v>101</v>
      </c>
      <c r="B946">
        <v>5</v>
      </c>
      <c r="C946">
        <v>7</v>
      </c>
      <c r="D946">
        <v>16</v>
      </c>
      <c r="E946">
        <v>6.2</v>
      </c>
      <c r="F946">
        <v>26.9</v>
      </c>
      <c r="G946">
        <v>20.8</v>
      </c>
      <c r="H946">
        <v>28.1</v>
      </c>
      <c r="I946">
        <v>2002</v>
      </c>
      <c r="J946">
        <v>30</v>
      </c>
      <c r="K946" t="s">
        <v>67</v>
      </c>
    </row>
    <row r="947" spans="1:11" x14ac:dyDescent="0.3">
      <c r="A947">
        <v>33.464377172260093</v>
      </c>
      <c r="B947">
        <v>0.95467515909769862</v>
      </c>
      <c r="C947">
        <v>2.1866256144682139</v>
      </c>
      <c r="D947">
        <v>3.696411720438662</v>
      </c>
      <c r="E947">
        <v>6.5206166686828197</v>
      </c>
      <c r="F947">
        <v>24.05688431370934</v>
      </c>
      <c r="G947">
        <v>17.931373581368121</v>
      </c>
      <c r="H947">
        <v>26.940135694204699</v>
      </c>
      <c r="I947">
        <v>1585.7047854271229</v>
      </c>
      <c r="J947">
        <v>20</v>
      </c>
      <c r="K947" t="s">
        <v>66</v>
      </c>
    </row>
    <row r="948" spans="1:11" x14ac:dyDescent="0.3">
      <c r="A948">
        <v>26.84419527118694</v>
      </c>
      <c r="B948">
        <v>1.0285554074857659</v>
      </c>
      <c r="C948">
        <v>1.131198373857395</v>
      </c>
      <c r="D948">
        <v>3.8214717939062619</v>
      </c>
      <c r="E948">
        <v>6.2428096815647054</v>
      </c>
      <c r="F948">
        <v>27.40866319292028</v>
      </c>
      <c r="G948">
        <v>25.741111682382279</v>
      </c>
      <c r="H948">
        <v>19.96348812655944</v>
      </c>
      <c r="I948">
        <v>1845.230645095266</v>
      </c>
      <c r="J948">
        <v>40</v>
      </c>
      <c r="K948" t="s">
        <v>66</v>
      </c>
    </row>
    <row r="949" spans="1:11" x14ac:dyDescent="0.3">
      <c r="A949">
        <v>11.05498302926039</v>
      </c>
      <c r="B949">
        <v>4.8212772885947874</v>
      </c>
      <c r="C949">
        <v>6.711310327248464</v>
      </c>
      <c r="D949">
        <v>15.36428279591782</v>
      </c>
      <c r="E949">
        <v>6.3040553209666417</v>
      </c>
      <c r="F949">
        <v>30.625366511245371</v>
      </c>
      <c r="G949">
        <v>23.619813751220111</v>
      </c>
      <c r="H949">
        <v>24.365423699482179</v>
      </c>
      <c r="I949">
        <v>683.91596954902343</v>
      </c>
      <c r="J949">
        <v>25</v>
      </c>
      <c r="K949" t="s">
        <v>66</v>
      </c>
    </row>
    <row r="950" spans="1:11" x14ac:dyDescent="0.3">
      <c r="A950">
        <v>48</v>
      </c>
      <c r="B950">
        <v>2</v>
      </c>
      <c r="C950">
        <v>3</v>
      </c>
      <c r="D950">
        <v>7</v>
      </c>
      <c r="E950">
        <v>7.5</v>
      </c>
      <c r="F950">
        <v>44.9</v>
      </c>
      <c r="G950">
        <v>30.5</v>
      </c>
      <c r="H950">
        <v>22</v>
      </c>
      <c r="I950">
        <v>1349</v>
      </c>
      <c r="J950">
        <v>25</v>
      </c>
      <c r="K950" t="s">
        <v>67</v>
      </c>
    </row>
    <row r="951" spans="1:11" x14ac:dyDescent="0.3">
      <c r="A951">
        <v>65.119507708564768</v>
      </c>
      <c r="B951">
        <v>2.9690235719552862</v>
      </c>
      <c r="C951">
        <v>4.1109433847858714</v>
      </c>
      <c r="D951">
        <v>9.5111138809563087</v>
      </c>
      <c r="E951">
        <v>6.3934716856618357</v>
      </c>
      <c r="F951">
        <v>18.238877235776261</v>
      </c>
      <c r="G951">
        <v>23.787239126787899</v>
      </c>
      <c r="H951">
        <v>21.67622094694033</v>
      </c>
      <c r="I951">
        <v>1572.4166474102699</v>
      </c>
      <c r="J951">
        <v>30</v>
      </c>
      <c r="K951" t="s">
        <v>66</v>
      </c>
    </row>
    <row r="952" spans="1:11" x14ac:dyDescent="0.3">
      <c r="A952">
        <v>350</v>
      </c>
      <c r="B952">
        <v>17</v>
      </c>
      <c r="C952">
        <v>24</v>
      </c>
      <c r="D952">
        <v>56</v>
      </c>
      <c r="E952">
        <v>5.2</v>
      </c>
      <c r="F952">
        <v>75.400000000000006</v>
      </c>
      <c r="G952">
        <v>30.6</v>
      </c>
      <c r="H952">
        <v>31</v>
      </c>
      <c r="I952">
        <v>11</v>
      </c>
      <c r="J952">
        <v>0</v>
      </c>
      <c r="K952" t="s">
        <v>67</v>
      </c>
    </row>
    <row r="953" spans="1:11" x14ac:dyDescent="0.3">
      <c r="A953">
        <v>58.476945622165417</v>
      </c>
      <c r="B953">
        <v>3.34013102906012</v>
      </c>
      <c r="C953">
        <v>3.5735060272403101</v>
      </c>
      <c r="D953">
        <v>10.55805266859057</v>
      </c>
      <c r="E953">
        <v>6.2501457544081047</v>
      </c>
      <c r="F953">
        <v>33.930440190168383</v>
      </c>
      <c r="G953">
        <v>18.96904341813179</v>
      </c>
      <c r="H953">
        <v>20.029909563963511</v>
      </c>
      <c r="I953">
        <v>2132.8622793632048</v>
      </c>
      <c r="J953">
        <v>20</v>
      </c>
      <c r="K953" t="s">
        <v>66</v>
      </c>
    </row>
    <row r="954" spans="1:11" x14ac:dyDescent="0.3">
      <c r="A954">
        <v>30.64486184269068</v>
      </c>
      <c r="B954">
        <v>1.062271122390027</v>
      </c>
      <c r="C954">
        <v>2.0446541671840519</v>
      </c>
      <c r="D954">
        <v>5.243154996675111</v>
      </c>
      <c r="E954">
        <v>6.2210487232283622</v>
      </c>
      <c r="F954">
        <v>19.834903625304651</v>
      </c>
      <c r="G954">
        <v>24.974913070798291</v>
      </c>
      <c r="H954">
        <v>19.897896481159531</v>
      </c>
      <c r="I954">
        <v>1302.575979578922</v>
      </c>
      <c r="J954">
        <v>45</v>
      </c>
      <c r="K954" t="s">
        <v>66</v>
      </c>
    </row>
    <row r="955" spans="1:11" x14ac:dyDescent="0.3">
      <c r="A955">
        <v>81.114133687344975</v>
      </c>
      <c r="B955">
        <v>3.9297744218003139</v>
      </c>
      <c r="C955">
        <v>4.3060657247720986</v>
      </c>
      <c r="D955">
        <v>13.307885950909</v>
      </c>
      <c r="E955">
        <v>6.3759604158095406</v>
      </c>
      <c r="F955">
        <v>15.18535214510357</v>
      </c>
      <c r="G955">
        <v>35.361290603604722</v>
      </c>
      <c r="H955">
        <v>32.450039530148587</v>
      </c>
      <c r="I955">
        <v>48.423590229283462</v>
      </c>
      <c r="J955">
        <v>0</v>
      </c>
      <c r="K955" t="s">
        <v>66</v>
      </c>
    </row>
    <row r="956" spans="1:11" x14ac:dyDescent="0.3">
      <c r="A956">
        <v>46.073341861252032</v>
      </c>
      <c r="B956">
        <v>1.9395909001020271</v>
      </c>
      <c r="C956">
        <v>2.8709072040136072</v>
      </c>
      <c r="D956">
        <v>5.2344054577584336</v>
      </c>
      <c r="E956">
        <v>6.4981998552394931</v>
      </c>
      <c r="F956">
        <v>29.07420300514174</v>
      </c>
      <c r="G956">
        <v>22.525260525636391</v>
      </c>
      <c r="H956">
        <v>26.536582716402791</v>
      </c>
      <c r="I956">
        <v>1415.7834001167589</v>
      </c>
      <c r="J956">
        <v>18</v>
      </c>
      <c r="K956" t="s">
        <v>66</v>
      </c>
    </row>
    <row r="957" spans="1:11" x14ac:dyDescent="0.3">
      <c r="A957">
        <v>41.411918098649707</v>
      </c>
      <c r="B957">
        <v>2.0940088374736399</v>
      </c>
      <c r="C957">
        <v>3.0884914367126459</v>
      </c>
      <c r="D957">
        <v>8.2511424901008787</v>
      </c>
      <c r="E957">
        <v>6.2397953276787819</v>
      </c>
      <c r="F957">
        <v>28.836155211749482</v>
      </c>
      <c r="G957">
        <v>22.868412359630749</v>
      </c>
      <c r="H957">
        <v>25.388897966857989</v>
      </c>
      <c r="I957">
        <v>1382.211519522466</v>
      </c>
      <c r="J957">
        <v>18</v>
      </c>
      <c r="K957" t="s">
        <v>66</v>
      </c>
    </row>
    <row r="958" spans="1:11" x14ac:dyDescent="0.3">
      <c r="A958">
        <v>21.75086749126519</v>
      </c>
      <c r="B958">
        <v>0.82687986965550742</v>
      </c>
      <c r="C958">
        <v>1.0001619031356941</v>
      </c>
      <c r="D958">
        <v>2.593873597587073</v>
      </c>
      <c r="E958">
        <v>6.1032621587079161</v>
      </c>
      <c r="F958">
        <v>27.022161285225231</v>
      </c>
      <c r="G958">
        <v>23.83396813309438</v>
      </c>
      <c r="H958">
        <v>23.53073918317693</v>
      </c>
      <c r="I958">
        <v>1749.9561237841031</v>
      </c>
      <c r="J958">
        <v>17</v>
      </c>
      <c r="K958" t="s">
        <v>66</v>
      </c>
    </row>
    <row r="959" spans="1:11" x14ac:dyDescent="0.3">
      <c r="A959">
        <v>334.01266400199069</v>
      </c>
      <c r="B959">
        <v>17.76111877387747</v>
      </c>
      <c r="C959">
        <v>25.141033638063899</v>
      </c>
      <c r="D959">
        <v>51.24001144742487</v>
      </c>
      <c r="E959">
        <v>6.3642200677325329</v>
      </c>
      <c r="F959">
        <v>34.565040616983339</v>
      </c>
      <c r="G959">
        <v>26.135335151748912</v>
      </c>
      <c r="H959">
        <v>21.997265893936859</v>
      </c>
      <c r="I959">
        <v>1370.256040502903</v>
      </c>
      <c r="J959">
        <v>20</v>
      </c>
      <c r="K959" t="s">
        <v>66</v>
      </c>
    </row>
    <row r="960" spans="1:11" x14ac:dyDescent="0.3">
      <c r="A960">
        <v>13.913936743877009</v>
      </c>
      <c r="B960">
        <v>0</v>
      </c>
      <c r="C960">
        <v>1.0229074688205699</v>
      </c>
      <c r="D960">
        <v>1.7396824034393339</v>
      </c>
      <c r="E960">
        <v>6.2191246280181636</v>
      </c>
      <c r="F960">
        <v>44.989356069341177</v>
      </c>
      <c r="G960">
        <v>20.909499683140961</v>
      </c>
      <c r="H960">
        <v>18.998731228433829</v>
      </c>
      <c r="I960">
        <v>1945.470212846579</v>
      </c>
      <c r="J960">
        <v>40</v>
      </c>
      <c r="K960" t="s">
        <v>66</v>
      </c>
    </row>
    <row r="961" spans="1:11" x14ac:dyDescent="0.3">
      <c r="A961">
        <v>55.332583436640668</v>
      </c>
      <c r="B961">
        <v>1.982327408158933</v>
      </c>
      <c r="C961">
        <v>2.84946474215654</v>
      </c>
      <c r="D961">
        <v>7.8926558314584607</v>
      </c>
      <c r="E961">
        <v>5.7420998816294384</v>
      </c>
      <c r="F961">
        <v>32.598639814179862</v>
      </c>
      <c r="G961">
        <v>19.585948011653429</v>
      </c>
      <c r="H961">
        <v>20.76453792920395</v>
      </c>
      <c r="I961">
        <v>1746.821430127068</v>
      </c>
      <c r="J961">
        <v>10</v>
      </c>
      <c r="K961" t="s">
        <v>66</v>
      </c>
    </row>
    <row r="962" spans="1:11" x14ac:dyDescent="0.3">
      <c r="A962">
        <v>22.10494956578734</v>
      </c>
      <c r="B962">
        <v>0.93396788605265524</v>
      </c>
      <c r="C962">
        <v>0.87209692637802139</v>
      </c>
      <c r="D962">
        <v>3.232534536476726</v>
      </c>
      <c r="E962">
        <v>6.3048579512668237</v>
      </c>
      <c r="F962">
        <v>33.411029913345821</v>
      </c>
      <c r="G962">
        <v>18.617912889180651</v>
      </c>
      <c r="H962">
        <v>16</v>
      </c>
      <c r="I962">
        <v>1705.4906825339281</v>
      </c>
      <c r="J962">
        <v>30</v>
      </c>
      <c r="K962" t="s">
        <v>66</v>
      </c>
    </row>
    <row r="963" spans="1:11" x14ac:dyDescent="0.3">
      <c r="A963">
        <v>90.356889391320294</v>
      </c>
      <c r="B963">
        <v>3.7212912726281702</v>
      </c>
      <c r="C963">
        <v>7.2559187593259669</v>
      </c>
      <c r="D963">
        <v>12.70396450071352</v>
      </c>
      <c r="E963">
        <v>6.5174374178946612</v>
      </c>
      <c r="F963">
        <v>40.855964024677377</v>
      </c>
      <c r="G963">
        <v>20.58005060536841</v>
      </c>
      <c r="H963">
        <v>27.938942340197791</v>
      </c>
      <c r="I963">
        <v>2099.3922643525161</v>
      </c>
      <c r="J963">
        <v>25</v>
      </c>
      <c r="K963" t="s">
        <v>66</v>
      </c>
    </row>
    <row r="964" spans="1:11" x14ac:dyDescent="0.3">
      <c r="A964">
        <v>68.61248689007769</v>
      </c>
      <c r="B964">
        <v>3.1403079515296302</v>
      </c>
      <c r="C964">
        <v>4.5866163437114409</v>
      </c>
      <c r="D964">
        <v>12.91817355506009</v>
      </c>
      <c r="E964">
        <v>6.1344081747435393</v>
      </c>
      <c r="F964">
        <v>34.99663218606625</v>
      </c>
      <c r="G964">
        <v>19.407770918118441</v>
      </c>
      <c r="H964">
        <v>30.87262443833502</v>
      </c>
      <c r="I964">
        <v>2075.1849078400141</v>
      </c>
      <c r="J964">
        <v>25</v>
      </c>
      <c r="K964" t="s">
        <v>66</v>
      </c>
    </row>
    <row r="965" spans="1:11" x14ac:dyDescent="0.3">
      <c r="A965">
        <v>39.867840402705369</v>
      </c>
      <c r="B965">
        <v>1.017334166437041</v>
      </c>
      <c r="C965">
        <v>2.2505685268854969</v>
      </c>
      <c r="D965">
        <v>6.0371300117322813</v>
      </c>
      <c r="E965">
        <v>5.7103206015957966</v>
      </c>
      <c r="F965">
        <v>26.927911472204261</v>
      </c>
      <c r="G965">
        <v>17.549419773238</v>
      </c>
      <c r="H965">
        <v>20.676826226300282</v>
      </c>
      <c r="I965">
        <v>1770.8679133040721</v>
      </c>
      <c r="J965">
        <v>35</v>
      </c>
      <c r="K965" t="s">
        <v>66</v>
      </c>
    </row>
    <row r="966" spans="1:11" x14ac:dyDescent="0.3">
      <c r="A966">
        <v>81.867970371953831</v>
      </c>
      <c r="B966">
        <v>2.9076115411082881</v>
      </c>
      <c r="C966">
        <v>5.1979098905479617</v>
      </c>
      <c r="D966">
        <v>10.88544950225705</v>
      </c>
      <c r="E966">
        <v>6.1133081223826791</v>
      </c>
      <c r="F966">
        <v>42.796552474212007</v>
      </c>
      <c r="G966">
        <v>24.08140814523604</v>
      </c>
      <c r="H966">
        <v>22.566374544482809</v>
      </c>
      <c r="I966">
        <v>1468.709788039987</v>
      </c>
      <c r="J966">
        <v>30</v>
      </c>
      <c r="K966" t="s">
        <v>66</v>
      </c>
    </row>
    <row r="967" spans="1:11" x14ac:dyDescent="0.3">
      <c r="A967">
        <v>52</v>
      </c>
      <c r="B967">
        <v>2</v>
      </c>
      <c r="C967">
        <v>3</v>
      </c>
      <c r="D967">
        <v>8</v>
      </c>
      <c r="E967">
        <v>6</v>
      </c>
      <c r="F967">
        <v>27.1</v>
      </c>
      <c r="G967">
        <v>24.4</v>
      </c>
      <c r="H967">
        <v>23</v>
      </c>
      <c r="I967">
        <v>1466</v>
      </c>
      <c r="J967">
        <v>30</v>
      </c>
      <c r="K967" t="s">
        <v>67</v>
      </c>
    </row>
    <row r="968" spans="1:11" x14ac:dyDescent="0.3">
      <c r="A968">
        <v>21.833036395460859</v>
      </c>
      <c r="B968">
        <v>0.97412039373328974</v>
      </c>
      <c r="C968">
        <v>1.032297450361767</v>
      </c>
      <c r="D968">
        <v>3.502009183845757</v>
      </c>
      <c r="E968">
        <v>6.3950131257872211</v>
      </c>
      <c r="F968">
        <v>35.966187194033417</v>
      </c>
      <c r="G968">
        <v>23.428662439151211</v>
      </c>
      <c r="H968">
        <v>20.253577170315541</v>
      </c>
      <c r="I968">
        <v>1632.94326085124</v>
      </c>
      <c r="J968">
        <v>25</v>
      </c>
      <c r="K968" t="s">
        <v>66</v>
      </c>
    </row>
    <row r="969" spans="1:11" x14ac:dyDescent="0.3">
      <c r="A969">
        <v>84.989102494133064</v>
      </c>
      <c r="B969">
        <v>3.6329988715942951</v>
      </c>
      <c r="C969">
        <v>6.4701537988791644</v>
      </c>
      <c r="D969">
        <v>13.38798735817587</v>
      </c>
      <c r="E969">
        <v>6.2189588989045941</v>
      </c>
      <c r="F969">
        <v>33.656745886819387</v>
      </c>
      <c r="G969">
        <v>20.17482693759171</v>
      </c>
      <c r="H969">
        <v>27.405783485074739</v>
      </c>
      <c r="I969">
        <v>2109.8914476045779</v>
      </c>
      <c r="J969">
        <v>25</v>
      </c>
      <c r="K969" t="s">
        <v>66</v>
      </c>
    </row>
    <row r="970" spans="1:11" x14ac:dyDescent="0.3">
      <c r="A970">
        <v>101.94317216060929</v>
      </c>
      <c r="B970">
        <v>4.8153614303768988</v>
      </c>
      <c r="C970">
        <v>7.2177769938002374</v>
      </c>
      <c r="D970">
        <v>14.930971122675571</v>
      </c>
      <c r="E970">
        <v>5.943902455894964</v>
      </c>
      <c r="F970">
        <v>26.208550558125179</v>
      </c>
      <c r="G970">
        <v>20.875373105080691</v>
      </c>
      <c r="H970">
        <v>28.621317282872312</v>
      </c>
      <c r="I970">
        <v>1976.6623837271441</v>
      </c>
      <c r="J970">
        <v>30</v>
      </c>
      <c r="K970" t="s">
        <v>66</v>
      </c>
    </row>
    <row r="971" spans="1:11" x14ac:dyDescent="0.3">
      <c r="A971">
        <v>340.96921725619598</v>
      </c>
      <c r="B971">
        <v>19.614484261301339</v>
      </c>
      <c r="C971">
        <v>20.583161671478589</v>
      </c>
      <c r="D971">
        <v>60.843016855549664</v>
      </c>
      <c r="E971">
        <v>5.1538648896584318</v>
      </c>
      <c r="F971">
        <v>72.556296040071075</v>
      </c>
      <c r="G971">
        <v>29.691500413061121</v>
      </c>
      <c r="H971">
        <v>31.752873956075231</v>
      </c>
      <c r="I971">
        <v>11.08081026532682</v>
      </c>
      <c r="J971">
        <v>0</v>
      </c>
      <c r="K971" t="s">
        <v>66</v>
      </c>
    </row>
    <row r="972" spans="1:11" x14ac:dyDescent="0.3">
      <c r="A972">
        <v>72.283086685137931</v>
      </c>
      <c r="B972">
        <v>3.0434663499290679</v>
      </c>
      <c r="C972">
        <v>4.4362519505234808</v>
      </c>
      <c r="D972">
        <v>11.739628271372521</v>
      </c>
      <c r="E972">
        <v>6.543047854918095</v>
      </c>
      <c r="F972">
        <v>27.060302735960789</v>
      </c>
      <c r="G972">
        <v>21.107758572187919</v>
      </c>
      <c r="H972">
        <v>19.84858791080547</v>
      </c>
      <c r="I972">
        <v>1585.435958100584</v>
      </c>
      <c r="J972">
        <v>40</v>
      </c>
      <c r="K972" t="s">
        <v>66</v>
      </c>
    </row>
    <row r="973" spans="1:11" x14ac:dyDescent="0.3">
      <c r="A973">
        <v>48.37099913098546</v>
      </c>
      <c r="B973">
        <v>2.0185689802282232</v>
      </c>
      <c r="C973">
        <v>2.831817708945807</v>
      </c>
      <c r="D973">
        <v>6.9271482293587452</v>
      </c>
      <c r="E973">
        <v>5.8144171406026981</v>
      </c>
      <c r="F973">
        <v>26.438130573518809</v>
      </c>
      <c r="G973">
        <v>19.572096541421718</v>
      </c>
      <c r="H973">
        <v>21.274459482533238</v>
      </c>
      <c r="I973">
        <v>1773.085107066825</v>
      </c>
      <c r="J973">
        <v>10</v>
      </c>
      <c r="K973" t="s">
        <v>66</v>
      </c>
    </row>
    <row r="974" spans="1:11" x14ac:dyDescent="0.3">
      <c r="A974">
        <v>18.38713623312513</v>
      </c>
      <c r="B974">
        <v>0</v>
      </c>
      <c r="C974">
        <v>0.97119611260779237</v>
      </c>
      <c r="D974">
        <v>3.1811371560833681</v>
      </c>
      <c r="E974">
        <v>5.5538597950643416</v>
      </c>
      <c r="F974">
        <v>25.81360396814592</v>
      </c>
      <c r="G974">
        <v>20.434934006693901</v>
      </c>
      <c r="H974">
        <v>22.4419221075098</v>
      </c>
      <c r="I974">
        <v>2097.668629333883</v>
      </c>
      <c r="J974">
        <v>13</v>
      </c>
      <c r="K974" t="s">
        <v>66</v>
      </c>
    </row>
    <row r="975" spans="1:11" x14ac:dyDescent="0.3">
      <c r="A975">
        <v>23</v>
      </c>
      <c r="B975">
        <v>1</v>
      </c>
      <c r="C975">
        <v>1</v>
      </c>
      <c r="D975">
        <v>3</v>
      </c>
      <c r="E975">
        <v>6.3</v>
      </c>
      <c r="F975">
        <v>33.700000000000003</v>
      </c>
      <c r="G975">
        <v>18.3</v>
      </c>
      <c r="H975">
        <v>16</v>
      </c>
      <c r="I975">
        <v>1753</v>
      </c>
      <c r="J975">
        <v>30</v>
      </c>
      <c r="K975" t="s">
        <v>67</v>
      </c>
    </row>
    <row r="976" spans="1:11" x14ac:dyDescent="0.3">
      <c r="A976">
        <v>32</v>
      </c>
      <c r="B976">
        <v>1</v>
      </c>
      <c r="C976">
        <v>2</v>
      </c>
      <c r="D976">
        <v>5</v>
      </c>
      <c r="E976">
        <v>5.4</v>
      </c>
      <c r="F976">
        <v>25.8</v>
      </c>
      <c r="G976">
        <v>19.100000000000001</v>
      </c>
      <c r="H976">
        <v>26</v>
      </c>
      <c r="I976">
        <v>1870</v>
      </c>
      <c r="J976">
        <v>20</v>
      </c>
      <c r="K976" t="s">
        <v>67</v>
      </c>
    </row>
    <row r="977" spans="1:11" x14ac:dyDescent="0.3">
      <c r="A977">
        <v>113.7600433237814</v>
      </c>
      <c r="B977">
        <v>4.8343458084083384</v>
      </c>
      <c r="C977">
        <v>8.0911524291478258</v>
      </c>
      <c r="D977">
        <v>15.695985325819491</v>
      </c>
      <c r="E977">
        <v>6.0748373268941336</v>
      </c>
      <c r="F977">
        <v>41.496219707363977</v>
      </c>
      <c r="G977">
        <v>23.257849199255421</v>
      </c>
      <c r="H977">
        <v>19.134130786036241</v>
      </c>
      <c r="I977">
        <v>2071.3002258555439</v>
      </c>
      <c r="J977">
        <v>20</v>
      </c>
      <c r="K977" t="s">
        <v>66</v>
      </c>
    </row>
    <row r="978" spans="1:11" x14ac:dyDescent="0.3">
      <c r="A978">
        <v>62.080925217202598</v>
      </c>
      <c r="B978">
        <v>2.4888385239519839</v>
      </c>
      <c r="C978">
        <v>3.4572257721201698</v>
      </c>
      <c r="D978">
        <v>11.37718093650456</v>
      </c>
      <c r="E978">
        <v>6.267417100626175</v>
      </c>
      <c r="F978">
        <v>39.444374136445248</v>
      </c>
      <c r="G978">
        <v>19.976768609593691</v>
      </c>
      <c r="H978">
        <v>29.303212637055601</v>
      </c>
      <c r="I978">
        <v>1984.359397229952</v>
      </c>
      <c r="J978">
        <v>25</v>
      </c>
      <c r="K978" t="s">
        <v>66</v>
      </c>
    </row>
    <row r="979" spans="1:11" x14ac:dyDescent="0.3">
      <c r="A979">
        <v>30.381631264951821</v>
      </c>
      <c r="B979">
        <v>1.114014903852127</v>
      </c>
      <c r="C979">
        <v>1.848059376503943</v>
      </c>
      <c r="D979">
        <v>4.6738099338413814</v>
      </c>
      <c r="E979">
        <v>6.1288346332689088</v>
      </c>
      <c r="F979">
        <v>21.337908017817369</v>
      </c>
      <c r="G979">
        <v>19.93272413383319</v>
      </c>
      <c r="H979">
        <v>19.912937148911549</v>
      </c>
      <c r="I979">
        <v>1975.9185363070781</v>
      </c>
      <c r="J979">
        <v>40</v>
      </c>
      <c r="K979" t="s">
        <v>66</v>
      </c>
    </row>
    <row r="980" spans="1:11" x14ac:dyDescent="0.3">
      <c r="A980">
        <v>135.58448106544211</v>
      </c>
      <c r="B980">
        <v>5.3331252258377804</v>
      </c>
      <c r="C980">
        <v>9.9016423683137429</v>
      </c>
      <c r="D980">
        <v>19.76852818733358</v>
      </c>
      <c r="E980">
        <v>6.1717453543704748</v>
      </c>
      <c r="F980">
        <v>27.069829301324379</v>
      </c>
      <c r="G980">
        <v>21.299423404116482</v>
      </c>
      <c r="H980">
        <v>20.5575538526553</v>
      </c>
      <c r="I980">
        <v>1658.881452814117</v>
      </c>
      <c r="J980">
        <v>12</v>
      </c>
      <c r="K980" t="s">
        <v>66</v>
      </c>
    </row>
    <row r="981" spans="1:11" x14ac:dyDescent="0.3">
      <c r="A981">
        <v>18.953009475830189</v>
      </c>
      <c r="B981">
        <v>0</v>
      </c>
      <c r="C981">
        <v>1.0749900239423711</v>
      </c>
      <c r="D981">
        <v>3.7492245379259561</v>
      </c>
      <c r="E981">
        <v>5.3163040150010898</v>
      </c>
      <c r="F981">
        <v>25.41007248421354</v>
      </c>
      <c r="G981">
        <v>21.134040613749601</v>
      </c>
      <c r="H981">
        <v>22.426023381821381</v>
      </c>
      <c r="I981">
        <v>2138.5032568872598</v>
      </c>
      <c r="J981">
        <v>13</v>
      </c>
      <c r="K981" t="s">
        <v>66</v>
      </c>
    </row>
    <row r="982" spans="1:11" x14ac:dyDescent="0.3">
      <c r="A982">
        <v>76.215623821831656</v>
      </c>
      <c r="B982">
        <v>3.3302878904995712</v>
      </c>
      <c r="C982">
        <v>4.975485329580982</v>
      </c>
      <c r="D982">
        <v>12.895933637522591</v>
      </c>
      <c r="E982">
        <v>6.351834856451994</v>
      </c>
      <c r="F982">
        <v>49.524526382254287</v>
      </c>
      <c r="G982">
        <v>24.143523884163731</v>
      </c>
      <c r="H982">
        <v>22.787771601201019</v>
      </c>
      <c r="I982">
        <v>1489.0447605787349</v>
      </c>
      <c r="J982">
        <v>30</v>
      </c>
      <c r="K982" t="s">
        <v>66</v>
      </c>
    </row>
    <row r="983" spans="1:11" x14ac:dyDescent="0.3">
      <c r="A983">
        <v>182</v>
      </c>
      <c r="B983">
        <v>9</v>
      </c>
      <c r="C983">
        <v>12</v>
      </c>
      <c r="D983">
        <v>29</v>
      </c>
      <c r="E983">
        <v>6.2</v>
      </c>
      <c r="F983">
        <v>37</v>
      </c>
      <c r="G983">
        <v>24.4</v>
      </c>
      <c r="H983">
        <v>22</v>
      </c>
      <c r="I983">
        <v>1340</v>
      </c>
      <c r="J983">
        <v>20</v>
      </c>
      <c r="K983" t="s">
        <v>67</v>
      </c>
    </row>
    <row r="984" spans="1:11" x14ac:dyDescent="0.3">
      <c r="A984">
        <v>33.618123645005063</v>
      </c>
      <c r="B984">
        <v>0.82141335080658884</v>
      </c>
      <c r="C984">
        <v>1.9230114223179839</v>
      </c>
      <c r="D984">
        <v>5.0971667316691169</v>
      </c>
      <c r="E984">
        <v>6.3619911793413984</v>
      </c>
      <c r="F984">
        <v>19.978449590373071</v>
      </c>
      <c r="G984">
        <v>25.555715276654549</v>
      </c>
      <c r="H984">
        <v>19.815111422328119</v>
      </c>
      <c r="I984">
        <v>1241.117179111699</v>
      </c>
      <c r="J984">
        <v>45</v>
      </c>
      <c r="K984" t="s">
        <v>66</v>
      </c>
    </row>
    <row r="985" spans="1:11" x14ac:dyDescent="0.3">
      <c r="A985">
        <v>29.75101028471493</v>
      </c>
      <c r="B985">
        <v>0.97941405691196592</v>
      </c>
      <c r="C985">
        <v>2.0314255837981881</v>
      </c>
      <c r="D985">
        <v>5.2688840951842417</v>
      </c>
      <c r="E985">
        <v>5.4858234883442369</v>
      </c>
      <c r="F985">
        <v>23.835174205912011</v>
      </c>
      <c r="G985">
        <v>19.98772458421789</v>
      </c>
      <c r="H985">
        <v>27.052472663692381</v>
      </c>
      <c r="I985">
        <v>1833.818705142372</v>
      </c>
      <c r="J985">
        <v>20</v>
      </c>
      <c r="K985" t="s">
        <v>66</v>
      </c>
    </row>
    <row r="986" spans="1:11" x14ac:dyDescent="0.3">
      <c r="A986">
        <v>327.07291825630131</v>
      </c>
      <c r="B986">
        <v>17.072768987585938</v>
      </c>
      <c r="C986">
        <v>21.793495868335778</v>
      </c>
      <c r="D986">
        <v>45.845777455279638</v>
      </c>
      <c r="E986">
        <v>4.3018139763151506</v>
      </c>
      <c r="F986">
        <v>59.026233887385338</v>
      </c>
      <c r="G986">
        <v>28.561648044603221</v>
      </c>
      <c r="H986">
        <v>31.088375933303031</v>
      </c>
      <c r="I986">
        <v>13.902562926113241</v>
      </c>
      <c r="J986">
        <v>0</v>
      </c>
      <c r="K986" t="s">
        <v>66</v>
      </c>
    </row>
    <row r="987" spans="1:11" x14ac:dyDescent="0.3">
      <c r="A987">
        <v>108.5869031130849</v>
      </c>
      <c r="B987">
        <v>4.5887900338089</v>
      </c>
      <c r="C987">
        <v>7.1045544375898322</v>
      </c>
      <c r="D987">
        <v>17.90573736763756</v>
      </c>
      <c r="E987">
        <v>6.0329405142199128</v>
      </c>
      <c r="F987">
        <v>29.56808206221892</v>
      </c>
      <c r="G987">
        <v>20.729078130280602</v>
      </c>
      <c r="H987">
        <v>28.532972635192031</v>
      </c>
      <c r="I987">
        <v>2029.3268679387961</v>
      </c>
      <c r="J987">
        <v>30</v>
      </c>
      <c r="K987" t="s">
        <v>66</v>
      </c>
    </row>
    <row r="988" spans="1:11" x14ac:dyDescent="0.3">
      <c r="A988">
        <v>124.331060250284</v>
      </c>
      <c r="B988">
        <v>4.5367097050341423</v>
      </c>
      <c r="C988">
        <v>8.0585575928013551</v>
      </c>
      <c r="D988">
        <v>17.566206579319669</v>
      </c>
      <c r="E988">
        <v>6.1106937093951581</v>
      </c>
      <c r="F988">
        <v>32.519475130058296</v>
      </c>
      <c r="G988">
        <v>21.178759180910848</v>
      </c>
      <c r="H988">
        <v>21.23187105858268</v>
      </c>
      <c r="I988">
        <v>1674.5449172938111</v>
      </c>
      <c r="J988">
        <v>12</v>
      </c>
      <c r="K988" t="s">
        <v>66</v>
      </c>
    </row>
    <row r="989" spans="1:11" x14ac:dyDescent="0.3">
      <c r="A989">
        <v>70.018901446156491</v>
      </c>
      <c r="B989">
        <v>3.1389618876297369</v>
      </c>
      <c r="C989">
        <v>3.989100680019027</v>
      </c>
      <c r="D989">
        <v>9.3733451637690859</v>
      </c>
      <c r="E989">
        <v>6.1665393247450142</v>
      </c>
      <c r="F989">
        <v>15.872829608479989</v>
      </c>
      <c r="G989">
        <v>19.85289654688917</v>
      </c>
      <c r="H989">
        <v>19.541329219038381</v>
      </c>
      <c r="I989">
        <v>1645.7225680975839</v>
      </c>
      <c r="J989">
        <v>30</v>
      </c>
      <c r="K989" t="s">
        <v>66</v>
      </c>
    </row>
    <row r="990" spans="1:11" x14ac:dyDescent="0.3">
      <c r="A990">
        <v>110.9101142358972</v>
      </c>
      <c r="B990">
        <v>5.821336476627982</v>
      </c>
      <c r="C990">
        <v>6.8892923089393756</v>
      </c>
      <c r="D990">
        <v>16.984389999245259</v>
      </c>
      <c r="E990">
        <v>5.8557505968282921</v>
      </c>
      <c r="F990">
        <v>45.82593743664777</v>
      </c>
      <c r="G990">
        <v>24.966434024689171</v>
      </c>
      <c r="H990">
        <v>19.41348873147993</v>
      </c>
      <c r="I990">
        <v>2094.1411221543408</v>
      </c>
      <c r="J990">
        <v>20</v>
      </c>
      <c r="K990" t="s">
        <v>66</v>
      </c>
    </row>
    <row r="991" spans="1:11" x14ac:dyDescent="0.3">
      <c r="A991">
        <v>99.224856905591395</v>
      </c>
      <c r="B991">
        <v>5.003399922279999</v>
      </c>
      <c r="C991">
        <v>7.9122946261212448</v>
      </c>
      <c r="D991">
        <v>16.498385374076459</v>
      </c>
      <c r="E991">
        <v>6.3790151195766134</v>
      </c>
      <c r="F991">
        <v>29.031144934586241</v>
      </c>
      <c r="G991">
        <v>20.288777726345831</v>
      </c>
      <c r="H991">
        <v>28.188105332411919</v>
      </c>
      <c r="I991">
        <v>1969.442511282391</v>
      </c>
      <c r="J991">
        <v>30</v>
      </c>
      <c r="K991" t="s">
        <v>66</v>
      </c>
    </row>
    <row r="992" spans="1:11" x14ac:dyDescent="0.3">
      <c r="A992">
        <v>15</v>
      </c>
      <c r="B992">
        <v>0</v>
      </c>
      <c r="C992">
        <v>1</v>
      </c>
      <c r="D992">
        <v>2</v>
      </c>
      <c r="E992">
        <v>6.1</v>
      </c>
      <c r="F992">
        <v>43</v>
      </c>
      <c r="G992">
        <v>20.3</v>
      </c>
      <c r="H992">
        <v>19.2</v>
      </c>
      <c r="I992">
        <v>1941</v>
      </c>
      <c r="J992">
        <v>40</v>
      </c>
      <c r="K992" t="s">
        <v>67</v>
      </c>
    </row>
    <row r="993" spans="1:11" x14ac:dyDescent="0.3">
      <c r="A993">
        <v>25.187992233095262</v>
      </c>
      <c r="B993">
        <v>1.107015023831643</v>
      </c>
      <c r="C993">
        <v>0.92091006183324464</v>
      </c>
      <c r="D993">
        <v>4.2017151413537093</v>
      </c>
      <c r="E993">
        <v>6.2247176638889252</v>
      </c>
      <c r="F993">
        <v>26.0948644759122</v>
      </c>
      <c r="G993">
        <v>25.19050951473578</v>
      </c>
      <c r="H993">
        <v>18.802552742506801</v>
      </c>
      <c r="I993">
        <v>1880.4230405706901</v>
      </c>
      <c r="J993">
        <v>40</v>
      </c>
      <c r="K993" t="s">
        <v>66</v>
      </c>
    </row>
    <row r="994" spans="1:11" x14ac:dyDescent="0.3">
      <c r="A994">
        <v>88.863757902241318</v>
      </c>
      <c r="B994">
        <v>3.4374730145312671</v>
      </c>
      <c r="C994">
        <v>5.0538021106854014</v>
      </c>
      <c r="D994">
        <v>13.406736445168219</v>
      </c>
      <c r="E994">
        <v>5.574991774969666</v>
      </c>
      <c r="F994">
        <v>26.145554184771282</v>
      </c>
      <c r="G994">
        <v>20.648983478739531</v>
      </c>
      <c r="H994">
        <v>20.987695854635721</v>
      </c>
      <c r="I994">
        <v>1740.7610700112691</v>
      </c>
      <c r="J994">
        <v>25</v>
      </c>
      <c r="K994" t="s">
        <v>66</v>
      </c>
    </row>
    <row r="995" spans="1:11" x14ac:dyDescent="0.3">
      <c r="A995">
        <v>55.040392535505291</v>
      </c>
      <c r="B995">
        <v>1.776562707658599</v>
      </c>
      <c r="C995">
        <v>3.1580693770997379</v>
      </c>
      <c r="D995">
        <v>8.9021490356131423</v>
      </c>
      <c r="E995">
        <v>6.1661487668429036</v>
      </c>
      <c r="F995">
        <v>42.569861121401473</v>
      </c>
      <c r="G995">
        <v>27.21732931830341</v>
      </c>
      <c r="H995">
        <v>26.87137426815962</v>
      </c>
      <c r="I995">
        <v>1503.2026569313671</v>
      </c>
      <c r="J995">
        <v>18</v>
      </c>
      <c r="K995" t="s">
        <v>66</v>
      </c>
    </row>
    <row r="996" spans="1:11" x14ac:dyDescent="0.3">
      <c r="A996">
        <v>3.8797264712097572</v>
      </c>
      <c r="B996">
        <v>0</v>
      </c>
      <c r="C996">
        <v>0</v>
      </c>
      <c r="D996">
        <v>0</v>
      </c>
      <c r="E996">
        <v>6.4216311600623017</v>
      </c>
      <c r="F996">
        <v>22.784606301164011</v>
      </c>
      <c r="G996">
        <v>17.790072215598531</v>
      </c>
      <c r="H996">
        <v>23.401822098288449</v>
      </c>
      <c r="I996">
        <v>1406.7489677478379</v>
      </c>
      <c r="J996">
        <v>30</v>
      </c>
      <c r="K996" t="s">
        <v>66</v>
      </c>
    </row>
    <row r="997" spans="1:11" x14ac:dyDescent="0.3">
      <c r="A997">
        <v>960</v>
      </c>
      <c r="B997">
        <v>47</v>
      </c>
      <c r="C997">
        <v>67</v>
      </c>
      <c r="D997">
        <v>153</v>
      </c>
      <c r="E997">
        <v>5.3150920587261092</v>
      </c>
      <c r="F997">
        <v>26.854405422251389</v>
      </c>
      <c r="G997">
        <v>19.247180966278311</v>
      </c>
      <c r="H997">
        <v>22.138617569992899</v>
      </c>
      <c r="I997">
        <v>1468.9219483186389</v>
      </c>
      <c r="J997">
        <v>30</v>
      </c>
      <c r="K997" t="s">
        <v>66</v>
      </c>
    </row>
    <row r="998" spans="1:11" x14ac:dyDescent="0.3">
      <c r="A998">
        <v>26.435762919933861</v>
      </c>
      <c r="B998">
        <v>0.78727725796485049</v>
      </c>
      <c r="C998">
        <v>1.948743835149686</v>
      </c>
      <c r="D998">
        <v>4.4499106879943247</v>
      </c>
      <c r="E998">
        <v>5.9760733967875401</v>
      </c>
      <c r="F998">
        <v>20.542816543182909</v>
      </c>
      <c r="G998">
        <v>16.75798371907074</v>
      </c>
      <c r="H998">
        <v>20.360230313547611</v>
      </c>
      <c r="I998">
        <v>1731.2381108377119</v>
      </c>
      <c r="J998">
        <v>35</v>
      </c>
      <c r="K998" t="s">
        <v>66</v>
      </c>
    </row>
    <row r="999" spans="1:11" x14ac:dyDescent="0.3">
      <c r="A999">
        <v>7.6303291515187857</v>
      </c>
      <c r="B999">
        <v>0</v>
      </c>
      <c r="C999">
        <v>0</v>
      </c>
      <c r="D999">
        <v>0.97418248619685655</v>
      </c>
      <c r="E999">
        <v>6.6923292805902319</v>
      </c>
      <c r="F999">
        <v>26.200749229677111</v>
      </c>
      <c r="G999">
        <v>22.115879697718889</v>
      </c>
      <c r="H999">
        <v>19.542136187932719</v>
      </c>
      <c r="I999">
        <v>1659.181165493374</v>
      </c>
      <c r="J999">
        <v>25</v>
      </c>
      <c r="K999" t="s">
        <v>66</v>
      </c>
    </row>
    <row r="1000" spans="1:11" x14ac:dyDescent="0.3">
      <c r="A1000">
        <v>309.09815416410311</v>
      </c>
      <c r="B1000">
        <v>15.88544119702709</v>
      </c>
      <c r="C1000">
        <v>25.82951100399681</v>
      </c>
      <c r="D1000">
        <v>56.195758984802438</v>
      </c>
      <c r="E1000">
        <v>4.3</v>
      </c>
      <c r="F1000">
        <v>61.685964298451509</v>
      </c>
      <c r="G1000">
        <v>30.443501492605371</v>
      </c>
      <c r="H1000">
        <v>29.650473292585929</v>
      </c>
      <c r="I1000">
        <v>14.01557643465442</v>
      </c>
      <c r="J1000">
        <v>0</v>
      </c>
      <c r="K1000" t="s">
        <v>66</v>
      </c>
    </row>
    <row r="1001" spans="1:11" x14ac:dyDescent="0.3">
      <c r="A1001">
        <v>12.264008670032</v>
      </c>
      <c r="B1001">
        <v>0</v>
      </c>
      <c r="C1001">
        <v>0</v>
      </c>
      <c r="D1001">
        <v>1.010720796204013</v>
      </c>
      <c r="E1001">
        <v>6.4602218235045257</v>
      </c>
      <c r="F1001">
        <v>25.608169826867758</v>
      </c>
      <c r="G1001">
        <v>18.989546532653019</v>
      </c>
      <c r="H1001">
        <v>31.33311293246123</v>
      </c>
      <c r="I1001">
        <v>2244.041109351389</v>
      </c>
      <c r="J1001">
        <v>15</v>
      </c>
      <c r="K1001" t="s">
        <v>66</v>
      </c>
    </row>
    <row r="1002" spans="1:11" x14ac:dyDescent="0.3">
      <c r="A1002">
        <v>176.86688446029581</v>
      </c>
      <c r="B1002">
        <v>10.879598495582931</v>
      </c>
      <c r="C1002">
        <v>12.10100187622283</v>
      </c>
      <c r="D1002">
        <v>24.292190663170391</v>
      </c>
      <c r="E1002">
        <v>6.2492337870654184</v>
      </c>
      <c r="F1002">
        <v>36.176849176843781</v>
      </c>
      <c r="G1002">
        <v>24.662676789200969</v>
      </c>
      <c r="H1002">
        <v>21.28226440904584</v>
      </c>
      <c r="I1002">
        <v>1344.5562738686699</v>
      </c>
      <c r="J1002">
        <v>20</v>
      </c>
      <c r="K1002" t="s">
        <v>66</v>
      </c>
    </row>
    <row r="1003" spans="1:11" x14ac:dyDescent="0.3">
      <c r="A1003">
        <v>35.450806449926517</v>
      </c>
      <c r="B1003">
        <v>1.0479441518086059</v>
      </c>
      <c r="C1003">
        <v>2.117059887303268</v>
      </c>
      <c r="D1003">
        <v>4.414859646801613</v>
      </c>
      <c r="E1003">
        <v>6.2938474406723532</v>
      </c>
      <c r="F1003">
        <v>21.349340913215741</v>
      </c>
      <c r="G1003">
        <v>24.16066439510184</v>
      </c>
      <c r="H1003">
        <v>20.403782123619148</v>
      </c>
      <c r="I1003">
        <v>1240.7006920642079</v>
      </c>
      <c r="J1003">
        <v>45</v>
      </c>
      <c r="K1003" t="s">
        <v>66</v>
      </c>
    </row>
    <row r="1004" spans="1:11" x14ac:dyDescent="0.3">
      <c r="A1004">
        <v>79.63617653123741</v>
      </c>
      <c r="B1004">
        <v>3.3656912369380989</v>
      </c>
      <c r="C1004">
        <v>5.6362850814642851</v>
      </c>
      <c r="D1004">
        <v>13.02837064437934</v>
      </c>
      <c r="E1004">
        <v>5.4497059606748888</v>
      </c>
      <c r="F1004">
        <v>27.289750467282051</v>
      </c>
      <c r="G1004">
        <v>18.036900512215318</v>
      </c>
      <c r="H1004">
        <v>17.570003297944272</v>
      </c>
      <c r="I1004">
        <v>1906.4432108659989</v>
      </c>
      <c r="J1004">
        <v>20</v>
      </c>
      <c r="K1004" t="s">
        <v>66</v>
      </c>
    </row>
    <row r="1005" spans="1:11" x14ac:dyDescent="0.3">
      <c r="A1005">
        <v>954.15611959760236</v>
      </c>
      <c r="B1005">
        <v>47</v>
      </c>
      <c r="C1005">
        <v>67</v>
      </c>
      <c r="D1005">
        <v>153</v>
      </c>
      <c r="E1005">
        <v>5.522537197173266</v>
      </c>
      <c r="F1005">
        <v>25.73232895515148</v>
      </c>
      <c r="G1005">
        <v>19.696966793439721</v>
      </c>
      <c r="H1005">
        <v>22.829996679785861</v>
      </c>
      <c r="I1005">
        <v>1453.6965350530691</v>
      </c>
      <c r="J1005">
        <v>30</v>
      </c>
      <c r="K1005" t="s">
        <v>66</v>
      </c>
    </row>
    <row r="1006" spans="1:11" x14ac:dyDescent="0.3">
      <c r="A1006">
        <v>547.19038723925246</v>
      </c>
      <c r="B1006">
        <v>26.325010464954339</v>
      </c>
      <c r="C1006">
        <v>43.505822582011753</v>
      </c>
      <c r="D1006">
        <v>91.846601097273023</v>
      </c>
      <c r="E1006">
        <v>6.0301166982068111</v>
      </c>
      <c r="F1006">
        <v>74.924069690982009</v>
      </c>
      <c r="G1006">
        <v>31.122373357741552</v>
      </c>
      <c r="H1006">
        <v>32.023365389819219</v>
      </c>
      <c r="I1006">
        <v>11.28055434284283</v>
      </c>
      <c r="J1006">
        <v>0</v>
      </c>
      <c r="K1006" t="s">
        <v>66</v>
      </c>
    </row>
    <row r="1007" spans="1:11" x14ac:dyDescent="0.3">
      <c r="A1007">
        <v>19.268450952963889</v>
      </c>
      <c r="B1007">
        <v>0</v>
      </c>
      <c r="C1007">
        <v>1.2154928677383141</v>
      </c>
      <c r="D1007">
        <v>3.0418961068696051</v>
      </c>
      <c r="E1007">
        <v>5.3617457100410508</v>
      </c>
      <c r="F1007">
        <v>27.470817123743839</v>
      </c>
      <c r="G1007">
        <v>20.573647087498209</v>
      </c>
      <c r="H1007">
        <v>22.72249655564223</v>
      </c>
      <c r="I1007">
        <v>2081.8015882115601</v>
      </c>
      <c r="J1007">
        <v>13</v>
      </c>
      <c r="K1007" t="s">
        <v>66</v>
      </c>
    </row>
    <row r="1008" spans="1:11" x14ac:dyDescent="0.3">
      <c r="A1008">
        <v>10.35750483642547</v>
      </c>
      <c r="B1008">
        <v>5.1587266306250879</v>
      </c>
      <c r="C1008">
        <v>7.456614306127161</v>
      </c>
      <c r="D1008">
        <v>16.18152966409048</v>
      </c>
      <c r="E1008">
        <v>6.3209963748092912</v>
      </c>
      <c r="F1008">
        <v>29.20370703228723</v>
      </c>
      <c r="G1008">
        <v>23.874061328462769</v>
      </c>
      <c r="H1008">
        <v>24.075902247038119</v>
      </c>
      <c r="I1008">
        <v>686.48160089115777</v>
      </c>
      <c r="J1008">
        <v>25</v>
      </c>
      <c r="K1008" t="s">
        <v>66</v>
      </c>
    </row>
    <row r="1009" spans="1:11" x14ac:dyDescent="0.3">
      <c r="A1009">
        <v>10.524504612918451</v>
      </c>
      <c r="B1009">
        <v>0</v>
      </c>
      <c r="C1009">
        <v>0</v>
      </c>
      <c r="D1009">
        <v>0.92508282733967584</v>
      </c>
      <c r="E1009">
        <v>6.2490542555106048</v>
      </c>
      <c r="F1009">
        <v>30.29736957417305</v>
      </c>
      <c r="G1009">
        <v>15.9</v>
      </c>
      <c r="H1009">
        <v>22.2864385670389</v>
      </c>
      <c r="I1009">
        <v>1439.71826119416</v>
      </c>
      <c r="J1009">
        <v>30</v>
      </c>
      <c r="K1009" t="s">
        <v>66</v>
      </c>
    </row>
    <row r="1010" spans="1:11" x14ac:dyDescent="0.3">
      <c r="A1010">
        <v>50.886900581488632</v>
      </c>
      <c r="B1010">
        <v>1.692885575358579</v>
      </c>
      <c r="C1010">
        <v>3.037880320870221</v>
      </c>
      <c r="D1010">
        <v>5.6803888961052138</v>
      </c>
      <c r="E1010">
        <v>6.5673510689126786</v>
      </c>
      <c r="F1010">
        <v>20.144877037957151</v>
      </c>
      <c r="G1010">
        <v>22.212814150852349</v>
      </c>
      <c r="H1010">
        <v>20.97162197857325</v>
      </c>
      <c r="I1010">
        <v>1759.5500277868171</v>
      </c>
      <c r="J1010">
        <v>25</v>
      </c>
      <c r="K1010" t="s">
        <v>66</v>
      </c>
    </row>
    <row r="1011" spans="1:11" x14ac:dyDescent="0.3">
      <c r="A1011">
        <v>30.85703773115781</v>
      </c>
      <c r="B1011">
        <v>0.91567534046838084</v>
      </c>
      <c r="C1011">
        <v>1.795194281822724</v>
      </c>
      <c r="D1011">
        <v>4.6543191224543259</v>
      </c>
      <c r="E1011">
        <v>6.3646925906907086</v>
      </c>
      <c r="F1011">
        <v>22.975194419992839</v>
      </c>
      <c r="G1011">
        <v>23.242402094299091</v>
      </c>
      <c r="H1011">
        <v>18.98685891116072</v>
      </c>
      <c r="I1011">
        <v>1870.423703602452</v>
      </c>
      <c r="J1011">
        <v>40</v>
      </c>
      <c r="K1011" t="s">
        <v>66</v>
      </c>
    </row>
    <row r="1012" spans="1:11" x14ac:dyDescent="0.3">
      <c r="A1012">
        <v>24</v>
      </c>
      <c r="B1012">
        <v>1</v>
      </c>
      <c r="C1012">
        <v>1</v>
      </c>
      <c r="D1012">
        <v>3</v>
      </c>
      <c r="E1012">
        <v>6.1</v>
      </c>
      <c r="F1012">
        <v>30.3</v>
      </c>
      <c r="G1012">
        <v>24.8</v>
      </c>
      <c r="H1012">
        <v>26.2</v>
      </c>
      <c r="I1012">
        <v>1382</v>
      </c>
      <c r="J1012">
        <v>7</v>
      </c>
      <c r="K1012" t="s">
        <v>67</v>
      </c>
    </row>
    <row r="1013" spans="1:11" x14ac:dyDescent="0.3">
      <c r="A1013">
        <v>74.869830863605344</v>
      </c>
      <c r="B1013">
        <v>2.8392109664657861</v>
      </c>
      <c r="C1013">
        <v>4.3170879222922807</v>
      </c>
      <c r="D1013">
        <v>11.112274603232439</v>
      </c>
      <c r="E1013">
        <v>6.5857256532683328</v>
      </c>
      <c r="F1013">
        <v>17.070499291664412</v>
      </c>
      <c r="G1013">
        <v>26.61559728027251</v>
      </c>
      <c r="H1013">
        <v>25.740789956915599</v>
      </c>
      <c r="I1013">
        <v>680.93459310206151</v>
      </c>
      <c r="J1013">
        <v>25</v>
      </c>
      <c r="K1013" t="s">
        <v>66</v>
      </c>
    </row>
    <row r="1014" spans="1:11" x14ac:dyDescent="0.3">
      <c r="A1014">
        <v>90.87450240687383</v>
      </c>
      <c r="B1014">
        <v>3.850071177351277</v>
      </c>
      <c r="C1014">
        <v>6.2305212432035377</v>
      </c>
      <c r="D1014">
        <v>15.784199797362611</v>
      </c>
      <c r="E1014">
        <v>5.7078206675054393</v>
      </c>
      <c r="F1014">
        <v>30.119449193412901</v>
      </c>
      <c r="G1014">
        <v>21.222632798702438</v>
      </c>
      <c r="H1014">
        <v>21.45792842995931</v>
      </c>
      <c r="I1014">
        <v>1719.0641810047739</v>
      </c>
      <c r="J1014">
        <v>25</v>
      </c>
      <c r="K1014" t="s">
        <v>66</v>
      </c>
    </row>
    <row r="1015" spans="1:11" x14ac:dyDescent="0.3">
      <c r="A1015">
        <v>64.764753037777382</v>
      </c>
      <c r="B1015">
        <v>2.6546957749141482</v>
      </c>
      <c r="C1015">
        <v>3.8703727299164119</v>
      </c>
      <c r="D1015">
        <v>12.346241510396849</v>
      </c>
      <c r="E1015">
        <v>5.4966134847345236</v>
      </c>
      <c r="F1015">
        <v>35.175679077618057</v>
      </c>
      <c r="G1015">
        <v>21.287095237899351</v>
      </c>
      <c r="H1015">
        <v>17.550253831416551</v>
      </c>
      <c r="I1015">
        <v>1917.1292758530781</v>
      </c>
      <c r="J1015">
        <v>20</v>
      </c>
      <c r="K1015" t="s">
        <v>66</v>
      </c>
    </row>
    <row r="1016" spans="1:11" x14ac:dyDescent="0.3">
      <c r="A1016">
        <v>32.179482753296107</v>
      </c>
      <c r="B1016">
        <v>0.9839867204433359</v>
      </c>
      <c r="C1016">
        <v>2.0390963463106582</v>
      </c>
      <c r="D1016">
        <v>5.0043918274490737</v>
      </c>
      <c r="E1016">
        <v>5.5401933666117653</v>
      </c>
      <c r="F1016">
        <v>23.072651730115371</v>
      </c>
      <c r="G1016">
        <v>20.261835474470619</v>
      </c>
      <c r="H1016">
        <v>24.586072187242952</v>
      </c>
      <c r="I1016">
        <v>1883.3339259700831</v>
      </c>
      <c r="J1016">
        <v>20</v>
      </c>
      <c r="K1016" t="s">
        <v>66</v>
      </c>
    </row>
    <row r="1017" spans="1:11" x14ac:dyDescent="0.3">
      <c r="A1017">
        <v>89.721694870723397</v>
      </c>
      <c r="B1017">
        <v>4.2139269345383639</v>
      </c>
      <c r="C1017">
        <v>5.1633029586844428</v>
      </c>
      <c r="D1017">
        <v>14.36995666905027</v>
      </c>
      <c r="E1017">
        <v>5.5489385484510869</v>
      </c>
      <c r="F1017">
        <v>28.813769772742319</v>
      </c>
      <c r="G1017">
        <v>20.64588142222247</v>
      </c>
      <c r="H1017">
        <v>21.473789221679858</v>
      </c>
      <c r="I1017">
        <v>1648.189586983566</v>
      </c>
      <c r="J1017">
        <v>25</v>
      </c>
      <c r="K1017" t="s">
        <v>66</v>
      </c>
    </row>
    <row r="1018" spans="1:11" x14ac:dyDescent="0.3">
      <c r="A1018">
        <v>22</v>
      </c>
      <c r="B1018">
        <v>1</v>
      </c>
      <c r="C1018">
        <v>1</v>
      </c>
      <c r="D1018">
        <v>3</v>
      </c>
      <c r="E1018">
        <v>6.2</v>
      </c>
      <c r="F1018">
        <v>27.7</v>
      </c>
      <c r="G1018">
        <v>23.3</v>
      </c>
      <c r="H1018">
        <v>22.4</v>
      </c>
      <c r="I1018">
        <v>1720</v>
      </c>
      <c r="J1018">
        <v>17</v>
      </c>
      <c r="K1018" t="s">
        <v>67</v>
      </c>
    </row>
    <row r="1019" spans="1:11" x14ac:dyDescent="0.3">
      <c r="A1019">
        <v>51.131779972939519</v>
      </c>
      <c r="B1019">
        <v>2.0140104326226358</v>
      </c>
      <c r="C1019">
        <v>3.1284950077125711</v>
      </c>
      <c r="D1019">
        <v>7.9013247487631117</v>
      </c>
      <c r="E1019">
        <v>5.2143007054584913</v>
      </c>
      <c r="F1019">
        <v>33.496936828936128</v>
      </c>
      <c r="G1019">
        <v>24.23036055211702</v>
      </c>
      <c r="H1019">
        <v>26.286256016530391</v>
      </c>
      <c r="I1019">
        <v>1937.2486093687851</v>
      </c>
      <c r="J1019">
        <v>20</v>
      </c>
      <c r="K1019" t="s">
        <v>66</v>
      </c>
    </row>
    <row r="1020" spans="1:11" x14ac:dyDescent="0.3">
      <c r="A1020">
        <v>72.300584218519845</v>
      </c>
      <c r="B1020">
        <v>2.9113795769582911</v>
      </c>
      <c r="C1020">
        <v>5.9706087182318743</v>
      </c>
      <c r="D1020">
        <v>10.782624327951099</v>
      </c>
      <c r="E1020">
        <v>6.929792823851237</v>
      </c>
      <c r="F1020">
        <v>17.769785276427289</v>
      </c>
      <c r="G1020">
        <v>25.661727488481549</v>
      </c>
      <c r="H1020">
        <v>24.447564829225851</v>
      </c>
      <c r="I1020">
        <v>681.47811610718895</v>
      </c>
      <c r="J1020">
        <v>25</v>
      </c>
      <c r="K1020" t="s">
        <v>66</v>
      </c>
    </row>
    <row r="1021" spans="1:11" x14ac:dyDescent="0.3">
      <c r="A1021">
        <v>16.159247756458779</v>
      </c>
      <c r="B1021">
        <v>0</v>
      </c>
      <c r="C1021">
        <v>1.081550102244426</v>
      </c>
      <c r="D1021">
        <v>1.7940055450446131</v>
      </c>
      <c r="E1021">
        <v>5.6153239876594894</v>
      </c>
      <c r="F1021">
        <v>26.883099070645748</v>
      </c>
      <c r="G1021">
        <v>23.41719524368181</v>
      </c>
      <c r="H1021">
        <v>26.979713105083391</v>
      </c>
      <c r="I1021">
        <v>1936.7204736894321</v>
      </c>
      <c r="J1021">
        <v>20</v>
      </c>
      <c r="K1021" t="s">
        <v>66</v>
      </c>
    </row>
    <row r="1022" spans="1:11" x14ac:dyDescent="0.3">
      <c r="A1022">
        <v>37.390280466254602</v>
      </c>
      <c r="B1022">
        <v>1.037710039390219</v>
      </c>
      <c r="C1022">
        <v>2.128108587014955</v>
      </c>
      <c r="D1022">
        <v>5.6978582286553694</v>
      </c>
      <c r="E1022">
        <v>6.4098912913161907</v>
      </c>
      <c r="F1022">
        <v>29.308826102404829</v>
      </c>
      <c r="G1022">
        <v>16.356863927150499</v>
      </c>
      <c r="H1022">
        <v>23.518446634225629</v>
      </c>
      <c r="I1022">
        <v>1446.73084662375</v>
      </c>
      <c r="J1022">
        <v>30</v>
      </c>
      <c r="K1022" t="s">
        <v>66</v>
      </c>
    </row>
    <row r="1023" spans="1:11" x14ac:dyDescent="0.3">
      <c r="A1023">
        <v>133.32133489826111</v>
      </c>
      <c r="B1023">
        <v>6.6954444389735386</v>
      </c>
      <c r="C1023">
        <v>8.7162330102424885</v>
      </c>
      <c r="D1023">
        <v>21.154007164034091</v>
      </c>
      <c r="E1023">
        <v>6.0277192144435769</v>
      </c>
      <c r="F1023">
        <v>27.376354299189181</v>
      </c>
      <c r="G1023">
        <v>20.656921567862561</v>
      </c>
      <c r="H1023">
        <v>20.510260533677979</v>
      </c>
      <c r="I1023">
        <v>1708.7264725252289</v>
      </c>
      <c r="J1023">
        <v>12</v>
      </c>
      <c r="K1023" t="s">
        <v>66</v>
      </c>
    </row>
    <row r="1024" spans="1:11" x14ac:dyDescent="0.3">
      <c r="A1024">
        <v>56.196496486898113</v>
      </c>
      <c r="B1024">
        <v>2.0379163233197488</v>
      </c>
      <c r="C1024">
        <v>3.1374504344366101</v>
      </c>
      <c r="D1024">
        <v>7.7644353939295732</v>
      </c>
      <c r="E1024">
        <v>5.025373729677483</v>
      </c>
      <c r="F1024">
        <v>34.642917459949928</v>
      </c>
      <c r="G1024">
        <v>24.016718838294612</v>
      </c>
      <c r="H1024">
        <v>26.54706043625659</v>
      </c>
      <c r="I1024">
        <v>1973.4365585874091</v>
      </c>
      <c r="J1024">
        <v>20</v>
      </c>
      <c r="K1024" t="s">
        <v>66</v>
      </c>
    </row>
    <row r="1025" spans="1:11" x14ac:dyDescent="0.3">
      <c r="A1025">
        <v>12.15663316330793</v>
      </c>
      <c r="B1025">
        <v>0</v>
      </c>
      <c r="C1025">
        <v>0</v>
      </c>
      <c r="D1025">
        <v>1.023855495377374</v>
      </c>
      <c r="E1025">
        <v>6.4890793089204291</v>
      </c>
      <c r="F1025">
        <v>28.055711159446329</v>
      </c>
      <c r="G1025">
        <v>18.520421846131761</v>
      </c>
      <c r="H1025">
        <v>31.546595654042441</v>
      </c>
      <c r="I1025">
        <v>2205.1260327559339</v>
      </c>
      <c r="J1025">
        <v>15</v>
      </c>
      <c r="K1025" t="s">
        <v>66</v>
      </c>
    </row>
    <row r="1026" spans="1:11" x14ac:dyDescent="0.3">
      <c r="A1026">
        <v>72.751908942017124</v>
      </c>
      <c r="B1026">
        <v>2.9438567204986348</v>
      </c>
      <c r="C1026">
        <v>4.5594658316693542</v>
      </c>
      <c r="D1026">
        <v>11.21000817655808</v>
      </c>
      <c r="E1026">
        <v>6.4306848571117801</v>
      </c>
      <c r="F1026">
        <v>15.042785568892659</v>
      </c>
      <c r="G1026">
        <v>20.074344089912639</v>
      </c>
      <c r="H1026">
        <v>18.859164721019599</v>
      </c>
      <c r="I1026">
        <v>1642.1031651544311</v>
      </c>
      <c r="J1026">
        <v>30</v>
      </c>
      <c r="K1026" t="s">
        <v>66</v>
      </c>
    </row>
    <row r="1027" spans="1:11" x14ac:dyDescent="0.3">
      <c r="A1027">
        <v>122.89409411164939</v>
      </c>
      <c r="B1027">
        <v>5.7997083061463943</v>
      </c>
      <c r="C1027">
        <v>7.2985809750305242</v>
      </c>
      <c r="D1027">
        <v>19.127689116985032</v>
      </c>
      <c r="E1027">
        <v>4.8133808482762088</v>
      </c>
      <c r="F1027">
        <v>54.356333013243841</v>
      </c>
      <c r="G1027">
        <v>20.13644304739497</v>
      </c>
      <c r="H1027">
        <v>20.183375023417721</v>
      </c>
      <c r="I1027">
        <v>1713.451393523952</v>
      </c>
      <c r="J1027">
        <v>12</v>
      </c>
      <c r="K1027" t="s">
        <v>66</v>
      </c>
    </row>
    <row r="1028" spans="1:11" x14ac:dyDescent="0.3">
      <c r="A1028">
        <v>278.73916808235919</v>
      </c>
      <c r="B1028">
        <v>12.95218646466266</v>
      </c>
      <c r="C1028">
        <v>17.08883943384572</v>
      </c>
      <c r="D1028">
        <v>40.337867145559791</v>
      </c>
      <c r="E1028">
        <v>5.3743168399579986</v>
      </c>
      <c r="F1028">
        <v>28.339293448960159</v>
      </c>
      <c r="G1028">
        <v>19.862827392458389</v>
      </c>
      <c r="H1028">
        <v>17.821373595300312</v>
      </c>
      <c r="I1028">
        <v>1564.585279197632</v>
      </c>
      <c r="J1028">
        <v>25</v>
      </c>
      <c r="K1028" t="s">
        <v>66</v>
      </c>
    </row>
    <row r="1029" spans="1:11" x14ac:dyDescent="0.3">
      <c r="A1029">
        <v>30.898087095336869</v>
      </c>
      <c r="B1029">
        <v>1.0054934110999849</v>
      </c>
      <c r="C1029">
        <v>2.0487060408372688</v>
      </c>
      <c r="D1029">
        <v>4.3412806180206216</v>
      </c>
      <c r="E1029">
        <v>5.8403522088575484</v>
      </c>
      <c r="F1029">
        <v>21.06221575831853</v>
      </c>
      <c r="G1029">
        <v>29.66697978074648</v>
      </c>
      <c r="H1029">
        <v>26.01359458330732</v>
      </c>
      <c r="I1029">
        <v>740.89933939499269</v>
      </c>
      <c r="J1029">
        <v>0</v>
      </c>
      <c r="K1029" t="s">
        <v>66</v>
      </c>
    </row>
    <row r="1030" spans="1:11" x14ac:dyDescent="0.3">
      <c r="A1030">
        <v>82.919023329692735</v>
      </c>
      <c r="B1030">
        <v>3.9296456750270652</v>
      </c>
      <c r="C1030">
        <v>4.5177311025449054</v>
      </c>
      <c r="D1030">
        <v>12.08324376318968</v>
      </c>
      <c r="E1030">
        <v>6.1246298373156627</v>
      </c>
      <c r="F1030">
        <v>13.9</v>
      </c>
      <c r="G1030">
        <v>34.701877450117031</v>
      </c>
      <c r="H1030">
        <v>30.451093571335761</v>
      </c>
      <c r="I1030">
        <v>47.395800757241801</v>
      </c>
      <c r="J1030">
        <v>0</v>
      </c>
      <c r="K1030" t="s">
        <v>66</v>
      </c>
    </row>
    <row r="1031" spans="1:11" x14ac:dyDescent="0.3">
      <c r="A1031">
        <v>49.893343663762607</v>
      </c>
      <c r="B1031">
        <v>2.3659240403432169</v>
      </c>
      <c r="C1031">
        <v>3.2217541484104699</v>
      </c>
      <c r="D1031">
        <v>8.1455919060982378</v>
      </c>
      <c r="E1031">
        <v>6.1173417077585199</v>
      </c>
      <c r="F1031">
        <v>29.86438141552583</v>
      </c>
      <c r="G1031">
        <v>24.494317922832529</v>
      </c>
      <c r="H1031">
        <v>22.227141258557381</v>
      </c>
      <c r="I1031">
        <v>1447.228441872878</v>
      </c>
      <c r="J1031">
        <v>30</v>
      </c>
      <c r="K1031" t="s">
        <v>66</v>
      </c>
    </row>
    <row r="1032" spans="1:11" x14ac:dyDescent="0.3">
      <c r="A1032">
        <v>174.64305347470821</v>
      </c>
      <c r="B1032">
        <v>7.2336368774946784</v>
      </c>
      <c r="C1032">
        <v>12.24388314550324</v>
      </c>
      <c r="D1032">
        <v>31.919517206558488</v>
      </c>
      <c r="E1032">
        <v>5.9220024241208948</v>
      </c>
      <c r="F1032">
        <v>26.76600883691453</v>
      </c>
      <c r="G1032">
        <v>28.970862565842172</v>
      </c>
      <c r="H1032">
        <v>29.777714859038451</v>
      </c>
      <c r="I1032">
        <v>14.09772343521586</v>
      </c>
      <c r="J1032">
        <v>0</v>
      </c>
      <c r="K1032" t="s">
        <v>66</v>
      </c>
    </row>
    <row r="1033" spans="1:11" x14ac:dyDescent="0.3">
      <c r="A1033">
        <v>123.8313158797323</v>
      </c>
      <c r="B1033">
        <v>5.4859367437039239</v>
      </c>
      <c r="C1033">
        <v>7.8738024134148121</v>
      </c>
      <c r="D1033">
        <v>20.169053967568651</v>
      </c>
      <c r="E1033">
        <v>6.1579815497755117</v>
      </c>
      <c r="F1033">
        <v>17.193366674002458</v>
      </c>
      <c r="G1033">
        <v>23.310724549273228</v>
      </c>
      <c r="H1033">
        <v>25.168727739320179</v>
      </c>
      <c r="I1033">
        <v>679.23151179946285</v>
      </c>
      <c r="J1033">
        <v>25</v>
      </c>
      <c r="K1033" t="s">
        <v>66</v>
      </c>
    </row>
    <row r="1034" spans="1:11" x14ac:dyDescent="0.3">
      <c r="A1034">
        <v>23.688490378363671</v>
      </c>
      <c r="B1034">
        <v>0.85488243099484407</v>
      </c>
      <c r="C1034">
        <v>0.99929550145194457</v>
      </c>
      <c r="D1034">
        <v>2.8879894724990751</v>
      </c>
      <c r="E1034">
        <v>6.0049162103182656</v>
      </c>
      <c r="F1034">
        <v>31.103509321333181</v>
      </c>
      <c r="G1034">
        <v>26.20439308974575</v>
      </c>
      <c r="H1034">
        <v>26.093897680810031</v>
      </c>
      <c r="I1034">
        <v>1417.3205070416</v>
      </c>
      <c r="J1034">
        <v>7</v>
      </c>
      <c r="K1034" t="s">
        <v>66</v>
      </c>
    </row>
    <row r="1035" spans="1:11" x14ac:dyDescent="0.3">
      <c r="A1035">
        <v>252.94146500010999</v>
      </c>
      <c r="B1035">
        <v>11.97688754431873</v>
      </c>
      <c r="C1035">
        <v>14.36672184410045</v>
      </c>
      <c r="D1035">
        <v>34.022200856924833</v>
      </c>
      <c r="E1035">
        <v>5.047642626405092</v>
      </c>
      <c r="F1035">
        <v>29.927062392586919</v>
      </c>
      <c r="G1035">
        <v>20.587856130740899</v>
      </c>
      <c r="H1035">
        <v>17.481017067736961</v>
      </c>
      <c r="I1035">
        <v>1565.093361056382</v>
      </c>
      <c r="J1035">
        <v>25</v>
      </c>
      <c r="K1035" t="s">
        <v>66</v>
      </c>
    </row>
    <row r="1036" spans="1:11" x14ac:dyDescent="0.3">
      <c r="A1036">
        <v>65.786646120069506</v>
      </c>
      <c r="B1036">
        <v>2.8088076758913609</v>
      </c>
      <c r="C1036">
        <v>3.522190824093586</v>
      </c>
      <c r="D1036">
        <v>10.74536072407788</v>
      </c>
      <c r="E1036">
        <v>5.9034561105706462</v>
      </c>
      <c r="F1036">
        <v>47.135553998347433</v>
      </c>
      <c r="G1036">
        <v>20.975198185445119</v>
      </c>
      <c r="H1036">
        <v>20.500195946051019</v>
      </c>
      <c r="I1036">
        <v>1773.5740614457329</v>
      </c>
      <c r="J1036">
        <v>10</v>
      </c>
      <c r="K1036" t="s">
        <v>66</v>
      </c>
    </row>
    <row r="1037" spans="1:11" x14ac:dyDescent="0.3">
      <c r="A1037">
        <v>33.526402821589123</v>
      </c>
      <c r="B1037">
        <v>0.97751440181919214</v>
      </c>
      <c r="C1037">
        <v>2.1044501272035561</v>
      </c>
      <c r="D1037">
        <v>4.9148071173059016</v>
      </c>
      <c r="E1037">
        <v>6.1070724176173359</v>
      </c>
      <c r="F1037">
        <v>20.107971966005799</v>
      </c>
      <c r="G1037">
        <v>24.363908428833849</v>
      </c>
      <c r="H1037">
        <v>19.77522630840437</v>
      </c>
      <c r="I1037">
        <v>1276.418467466008</v>
      </c>
      <c r="J1037">
        <v>45</v>
      </c>
      <c r="K1037" t="s">
        <v>66</v>
      </c>
    </row>
    <row r="1038" spans="1:11" x14ac:dyDescent="0.3">
      <c r="A1038">
        <v>6.289163735038473</v>
      </c>
      <c r="B1038">
        <v>0</v>
      </c>
      <c r="C1038">
        <v>0</v>
      </c>
      <c r="D1038">
        <v>0</v>
      </c>
      <c r="E1038">
        <v>5.8995194052196709</v>
      </c>
      <c r="F1038">
        <v>21.58867600396405</v>
      </c>
      <c r="G1038">
        <v>21.828967759210219</v>
      </c>
      <c r="H1038">
        <v>25.8560034243391</v>
      </c>
      <c r="I1038">
        <v>1908.504144020435</v>
      </c>
      <c r="J1038">
        <v>20</v>
      </c>
      <c r="K1038" t="s">
        <v>66</v>
      </c>
    </row>
    <row r="1039" spans="1:11" x14ac:dyDescent="0.3">
      <c r="A1039">
        <v>7.3323439474044632</v>
      </c>
      <c r="B1039">
        <v>0</v>
      </c>
      <c r="C1039">
        <v>0</v>
      </c>
      <c r="D1039">
        <v>1.0337482074726401</v>
      </c>
      <c r="E1039">
        <v>6.2239823895315247</v>
      </c>
      <c r="F1039">
        <v>22.69122135721793</v>
      </c>
      <c r="G1039">
        <v>19.41164532401951</v>
      </c>
      <c r="H1039">
        <v>16.03619638188384</v>
      </c>
      <c r="I1039">
        <v>1713.0566272580879</v>
      </c>
      <c r="J1039">
        <v>30</v>
      </c>
      <c r="K1039" t="s">
        <v>66</v>
      </c>
    </row>
    <row r="1040" spans="1:11" x14ac:dyDescent="0.3">
      <c r="A1040">
        <v>5.819808393024358</v>
      </c>
      <c r="B1040">
        <v>0</v>
      </c>
      <c r="C1040">
        <v>0</v>
      </c>
      <c r="D1040">
        <v>0</v>
      </c>
      <c r="E1040">
        <v>6.3668660734992661</v>
      </c>
      <c r="F1040">
        <v>23.820094459372029</v>
      </c>
      <c r="G1040">
        <v>28.384549624531111</v>
      </c>
      <c r="H1040">
        <v>34.188910680744257</v>
      </c>
      <c r="I1040">
        <v>1839.5552178740299</v>
      </c>
      <c r="J1040">
        <v>26</v>
      </c>
      <c r="K1040" t="s">
        <v>66</v>
      </c>
    </row>
    <row r="1041" spans="1:11" x14ac:dyDescent="0.3">
      <c r="A1041">
        <v>379.68798644507569</v>
      </c>
      <c r="B1041">
        <v>15.129737803948119</v>
      </c>
      <c r="C1041">
        <v>24.413410527386489</v>
      </c>
      <c r="D1041">
        <v>61.333787035002551</v>
      </c>
      <c r="E1041">
        <v>5.1232753827127766</v>
      </c>
      <c r="F1041">
        <v>80.910673151289345</v>
      </c>
      <c r="G1041">
        <v>32.220110161320818</v>
      </c>
      <c r="H1041">
        <v>33.080383101667323</v>
      </c>
      <c r="I1041">
        <v>11.04506860604789</v>
      </c>
      <c r="J1041">
        <v>0</v>
      </c>
      <c r="K1041" t="s">
        <v>66</v>
      </c>
    </row>
    <row r="1042" spans="1:11" x14ac:dyDescent="0.3">
      <c r="A1042">
        <v>67.675857995755763</v>
      </c>
      <c r="B1042">
        <v>3.0103323035117531</v>
      </c>
      <c r="C1042">
        <v>2.8670696300063438</v>
      </c>
      <c r="D1042">
        <v>11.00660654103263</v>
      </c>
      <c r="E1042">
        <v>5.863171558492061</v>
      </c>
      <c r="F1042">
        <v>34.934557780807602</v>
      </c>
      <c r="G1042">
        <v>21.460848023264539</v>
      </c>
      <c r="H1042">
        <v>17.94963924060745</v>
      </c>
      <c r="I1042">
        <v>1991.6423272879661</v>
      </c>
      <c r="J1042">
        <v>20</v>
      </c>
      <c r="K1042" t="s">
        <v>66</v>
      </c>
    </row>
    <row r="1043" spans="1:11" x14ac:dyDescent="0.3">
      <c r="A1043">
        <v>89.384410108531284</v>
      </c>
      <c r="B1043">
        <v>2.7724513995899791</v>
      </c>
      <c r="C1043">
        <v>4.0113830324732644</v>
      </c>
      <c r="D1043">
        <v>10.22058353773736</v>
      </c>
      <c r="E1043">
        <v>6.0676545450008286</v>
      </c>
      <c r="F1043">
        <v>29.814082659729731</v>
      </c>
      <c r="G1043">
        <v>16.990962984721762</v>
      </c>
      <c r="H1043">
        <v>19.14335139186694</v>
      </c>
      <c r="I1043">
        <v>2108.563349883193</v>
      </c>
      <c r="J1043">
        <v>20</v>
      </c>
      <c r="K1043" t="s">
        <v>66</v>
      </c>
    </row>
    <row r="1044" spans="1:11" x14ac:dyDescent="0.3">
      <c r="A1044">
        <v>129.96755528728721</v>
      </c>
      <c r="B1044">
        <v>4.2558070684070151</v>
      </c>
      <c r="C1044">
        <v>8.5375556862515971</v>
      </c>
      <c r="D1044">
        <v>21.12589973606827</v>
      </c>
      <c r="E1044">
        <v>4.3</v>
      </c>
      <c r="F1044">
        <v>60.250401937114859</v>
      </c>
      <c r="G1044">
        <v>19.503173559624841</v>
      </c>
      <c r="H1044">
        <v>21.00686776019829</v>
      </c>
      <c r="I1044">
        <v>1666.2374980219111</v>
      </c>
      <c r="J1044">
        <v>12</v>
      </c>
      <c r="K1044" t="s">
        <v>66</v>
      </c>
    </row>
    <row r="1045" spans="1:11" x14ac:dyDescent="0.3">
      <c r="A1045">
        <v>10.416324632664979</v>
      </c>
      <c r="B1045">
        <v>4.7602535163003781</v>
      </c>
      <c r="C1045">
        <v>6.9452385386590372</v>
      </c>
      <c r="D1045">
        <v>15.09537124754336</v>
      </c>
      <c r="E1045">
        <v>6.1301525311697356</v>
      </c>
      <c r="F1045">
        <v>30.672747472759031</v>
      </c>
      <c r="G1045">
        <v>25.091569114562361</v>
      </c>
      <c r="H1045">
        <v>24.63874917052739</v>
      </c>
      <c r="I1045">
        <v>667.43214751284438</v>
      </c>
      <c r="J1045">
        <v>25</v>
      </c>
      <c r="K1045" t="s">
        <v>66</v>
      </c>
    </row>
    <row r="1046" spans="1:11" x14ac:dyDescent="0.3">
      <c r="A1046">
        <v>94.68336138318918</v>
      </c>
      <c r="B1046">
        <v>2.9427288624818102</v>
      </c>
      <c r="C1046">
        <v>4.1680766171579968</v>
      </c>
      <c r="D1046">
        <v>8.8095922643255093</v>
      </c>
      <c r="E1046">
        <v>5.9361746699652809</v>
      </c>
      <c r="F1046">
        <v>30.76732032137939</v>
      </c>
      <c r="G1046">
        <v>17.40415001661297</v>
      </c>
      <c r="H1046">
        <v>18.421283346677601</v>
      </c>
      <c r="I1046">
        <v>2036.1043424298839</v>
      </c>
      <c r="J1046">
        <v>20</v>
      </c>
      <c r="K1046" t="s">
        <v>66</v>
      </c>
    </row>
    <row r="1047" spans="1:11" x14ac:dyDescent="0.3">
      <c r="A1047">
        <v>43.045920725212277</v>
      </c>
      <c r="B1047">
        <v>1.8363142668115999</v>
      </c>
      <c r="C1047">
        <v>1.9960252729263379</v>
      </c>
      <c r="D1047">
        <v>5.419978865578404</v>
      </c>
      <c r="E1047">
        <v>6.0731856056628502</v>
      </c>
      <c r="F1047">
        <v>38.21846911266244</v>
      </c>
      <c r="G1047">
        <v>20.868892138320319</v>
      </c>
      <c r="H1047">
        <v>18.159208572173231</v>
      </c>
      <c r="I1047">
        <v>1949.9718262619199</v>
      </c>
      <c r="J1047">
        <v>20</v>
      </c>
      <c r="K1047" t="s">
        <v>66</v>
      </c>
    </row>
    <row r="1048" spans="1:11" x14ac:dyDescent="0.3">
      <c r="A1048">
        <v>87.288063203407262</v>
      </c>
      <c r="B1048">
        <v>3.9667577709485222</v>
      </c>
      <c r="C1048">
        <v>5.5183053336294936</v>
      </c>
      <c r="D1048">
        <v>13.365220248262601</v>
      </c>
      <c r="E1048">
        <v>6.3193503578392134</v>
      </c>
      <c r="F1048">
        <v>36.482504562899983</v>
      </c>
      <c r="G1048">
        <v>20.9745277536617</v>
      </c>
      <c r="H1048">
        <v>19.57182266407732</v>
      </c>
      <c r="I1048">
        <v>1607.2267847926321</v>
      </c>
      <c r="J1048">
        <v>40</v>
      </c>
      <c r="K1048" t="s">
        <v>66</v>
      </c>
    </row>
    <row r="1049" spans="1:11" x14ac:dyDescent="0.3">
      <c r="A1049">
        <v>54</v>
      </c>
      <c r="B1049">
        <v>2</v>
      </c>
      <c r="C1049">
        <v>3</v>
      </c>
      <c r="D1049">
        <v>7</v>
      </c>
      <c r="E1049">
        <v>6.1</v>
      </c>
      <c r="F1049">
        <v>26</v>
      </c>
      <c r="G1049">
        <v>17.600000000000001</v>
      </c>
      <c r="H1049">
        <v>21</v>
      </c>
      <c r="I1049">
        <v>1731</v>
      </c>
      <c r="J1049">
        <v>25</v>
      </c>
      <c r="K1049" t="s">
        <v>67</v>
      </c>
    </row>
    <row r="1050" spans="1:11" x14ac:dyDescent="0.3">
      <c r="A1050">
        <v>56.526331661498148</v>
      </c>
      <c r="B1050">
        <v>1.8804979610616721</v>
      </c>
      <c r="C1050">
        <v>3.1288022468405199</v>
      </c>
      <c r="D1050">
        <v>7.8183151937752591</v>
      </c>
      <c r="E1050">
        <v>5.4075457715942639</v>
      </c>
      <c r="F1050">
        <v>22.65859369830741</v>
      </c>
      <c r="G1050">
        <v>21.06121569354697</v>
      </c>
      <c r="H1050">
        <v>28.964960028247209</v>
      </c>
      <c r="I1050">
        <v>1730.945101240922</v>
      </c>
      <c r="J1050">
        <v>15</v>
      </c>
      <c r="K1050" t="s">
        <v>66</v>
      </c>
    </row>
    <row r="1051" spans="1:11" x14ac:dyDescent="0.3">
      <c r="A1051">
        <v>46.485340174566019</v>
      </c>
      <c r="B1051">
        <v>2.087900246124045</v>
      </c>
      <c r="C1051">
        <v>3.2014593515187162</v>
      </c>
      <c r="D1051">
        <v>8.1824322535561755</v>
      </c>
      <c r="E1051">
        <v>6.1837612651038869</v>
      </c>
      <c r="F1051">
        <v>24.641409520265022</v>
      </c>
      <c r="G1051">
        <v>19.047052095393632</v>
      </c>
      <c r="H1051">
        <v>28.803576846959341</v>
      </c>
      <c r="I1051">
        <v>2197.7762831470432</v>
      </c>
      <c r="J1051">
        <v>15</v>
      </c>
      <c r="K1051" t="s">
        <v>66</v>
      </c>
    </row>
    <row r="1052" spans="1:11" x14ac:dyDescent="0.3">
      <c r="A1052">
        <v>24.817800836847152</v>
      </c>
      <c r="B1052">
        <v>1.082973241787917</v>
      </c>
      <c r="C1052">
        <v>1.0696167997159289</v>
      </c>
      <c r="D1052">
        <v>3.2857434470858422</v>
      </c>
      <c r="E1052">
        <v>6.1338614066462096</v>
      </c>
      <c r="F1052">
        <v>30.484013512262312</v>
      </c>
      <c r="G1052">
        <v>26.75849533628006</v>
      </c>
      <c r="H1052">
        <v>25.935097269500439</v>
      </c>
      <c r="I1052">
        <v>1384.3587914029711</v>
      </c>
      <c r="J1052">
        <v>7</v>
      </c>
      <c r="K1052" t="s">
        <v>66</v>
      </c>
    </row>
    <row r="1053" spans="1:11" x14ac:dyDescent="0.3">
      <c r="A1053">
        <v>533.64976618797323</v>
      </c>
      <c r="B1053">
        <v>29.147574335382451</v>
      </c>
      <c r="C1053">
        <v>41.316427114840508</v>
      </c>
      <c r="D1053">
        <v>94.061143877706641</v>
      </c>
      <c r="E1053">
        <v>6.1936087661326518</v>
      </c>
      <c r="F1053">
        <v>77.527299831599322</v>
      </c>
      <c r="G1053">
        <v>30.851982134851362</v>
      </c>
      <c r="H1053">
        <v>31.031753820806401</v>
      </c>
      <c r="I1053">
        <v>11.09200731721856</v>
      </c>
      <c r="J1053">
        <v>0</v>
      </c>
      <c r="K1053" t="s">
        <v>66</v>
      </c>
    </row>
    <row r="1054" spans="1:11" x14ac:dyDescent="0.3">
      <c r="A1054">
        <v>54.238698592987987</v>
      </c>
      <c r="B1054">
        <v>2.2097414252833132</v>
      </c>
      <c r="C1054">
        <v>3.4778009994848649</v>
      </c>
      <c r="D1054">
        <v>8.1112229495625012</v>
      </c>
      <c r="E1054">
        <v>5.6073405671017422</v>
      </c>
      <c r="F1054">
        <v>21.56219193741644</v>
      </c>
      <c r="G1054">
        <v>21.330674473579901</v>
      </c>
      <c r="H1054">
        <v>27.220382254782191</v>
      </c>
      <c r="I1054">
        <v>1712.5193519874399</v>
      </c>
      <c r="J1054">
        <v>15</v>
      </c>
      <c r="K1054" t="s">
        <v>66</v>
      </c>
    </row>
    <row r="1055" spans="1:11" x14ac:dyDescent="0.3">
      <c r="A1055">
        <v>45.053555989077672</v>
      </c>
      <c r="B1055">
        <v>1.972525642320121</v>
      </c>
      <c r="C1055">
        <v>2.17446307600569</v>
      </c>
      <c r="D1055">
        <v>6.3954326063480522</v>
      </c>
      <c r="E1055">
        <v>5.138789298006766</v>
      </c>
      <c r="F1055">
        <v>33.720919121169757</v>
      </c>
      <c r="G1055">
        <v>19.429038138289819</v>
      </c>
      <c r="H1055">
        <v>18.622098145358109</v>
      </c>
      <c r="I1055">
        <v>1930.399123580818</v>
      </c>
      <c r="J1055">
        <v>40</v>
      </c>
      <c r="K1055" t="s">
        <v>66</v>
      </c>
    </row>
    <row r="1056" spans="1:11" x14ac:dyDescent="0.3">
      <c r="A1056">
        <v>98.915632188128896</v>
      </c>
      <c r="B1056">
        <v>3.7573198820938809</v>
      </c>
      <c r="C1056">
        <v>6.2964383513853122</v>
      </c>
      <c r="D1056">
        <v>12.859341596047029</v>
      </c>
      <c r="E1056">
        <v>6.8549380523502297</v>
      </c>
      <c r="F1056">
        <v>14.724272130786879</v>
      </c>
      <c r="G1056">
        <v>36.108714548715326</v>
      </c>
      <c r="H1056">
        <v>31.758955371025959</v>
      </c>
      <c r="I1056">
        <v>48.689750685424443</v>
      </c>
      <c r="J1056">
        <v>0</v>
      </c>
      <c r="K1056" t="s">
        <v>66</v>
      </c>
    </row>
    <row r="1057" spans="1:11" x14ac:dyDescent="0.3">
      <c r="A1057">
        <v>32.810684871579618</v>
      </c>
      <c r="B1057">
        <v>1.177531089260951</v>
      </c>
      <c r="C1057">
        <v>2.3794577389546219</v>
      </c>
      <c r="D1057">
        <v>4.89016527382452</v>
      </c>
      <c r="E1057">
        <v>6.1327021521659493</v>
      </c>
      <c r="F1057">
        <v>35.981317356145539</v>
      </c>
      <c r="G1057">
        <v>20.727504251997701</v>
      </c>
      <c r="H1057">
        <v>20.056441904714919</v>
      </c>
      <c r="I1057">
        <v>1502.7244203028561</v>
      </c>
      <c r="J1057">
        <v>25</v>
      </c>
      <c r="K1057" t="s">
        <v>66</v>
      </c>
    </row>
    <row r="1058" spans="1:11" x14ac:dyDescent="0.3">
      <c r="A1058">
        <v>40.245340631989592</v>
      </c>
      <c r="B1058">
        <v>0.83433767923222257</v>
      </c>
      <c r="C1058">
        <v>2.0169010291385732</v>
      </c>
      <c r="D1058">
        <v>5.192798707550855</v>
      </c>
      <c r="E1058">
        <v>5.43078572598679</v>
      </c>
      <c r="F1058">
        <v>30.189170921286429</v>
      </c>
      <c r="G1058">
        <v>17.143273533443391</v>
      </c>
      <c r="H1058">
        <v>19.60501104289273</v>
      </c>
      <c r="I1058">
        <v>1751.1780905724111</v>
      </c>
      <c r="J1058">
        <v>35</v>
      </c>
      <c r="K1058" t="s">
        <v>66</v>
      </c>
    </row>
    <row r="1059" spans="1:11" x14ac:dyDescent="0.3">
      <c r="A1059">
        <v>5.5490571140645679</v>
      </c>
      <c r="B1059">
        <v>0</v>
      </c>
      <c r="C1059">
        <v>0</v>
      </c>
      <c r="D1059">
        <v>0</v>
      </c>
      <c r="E1059">
        <v>6.2178620386010461</v>
      </c>
      <c r="F1059">
        <v>23.260116254747111</v>
      </c>
      <c r="G1059">
        <v>27.57763760660853</v>
      </c>
      <c r="H1059">
        <v>33.757243492573089</v>
      </c>
      <c r="I1059">
        <v>1802.4607831450401</v>
      </c>
      <c r="J1059">
        <v>26</v>
      </c>
      <c r="K1059" t="s">
        <v>66</v>
      </c>
    </row>
    <row r="1060" spans="1:11" x14ac:dyDescent="0.3">
      <c r="A1060">
        <v>29</v>
      </c>
      <c r="B1060">
        <v>1</v>
      </c>
      <c r="C1060">
        <v>2</v>
      </c>
      <c r="D1060">
        <v>4</v>
      </c>
      <c r="E1060">
        <v>6.3</v>
      </c>
      <c r="F1060">
        <v>22.9</v>
      </c>
      <c r="G1060">
        <v>17.399999999999999</v>
      </c>
      <c r="H1060">
        <v>26.7</v>
      </c>
      <c r="I1060">
        <v>1635</v>
      </c>
      <c r="J1060">
        <v>20</v>
      </c>
      <c r="K1060" t="s">
        <v>67</v>
      </c>
    </row>
    <row r="1061" spans="1:11" x14ac:dyDescent="0.3">
      <c r="A1061">
        <v>20.595576566597661</v>
      </c>
      <c r="B1061">
        <v>0.97283448896739466</v>
      </c>
      <c r="C1061">
        <v>1.0198680009547409</v>
      </c>
      <c r="D1061">
        <v>3.142995312240167</v>
      </c>
      <c r="E1061">
        <v>6.391576049846627</v>
      </c>
      <c r="F1061">
        <v>25.13393538130051</v>
      </c>
      <c r="G1061">
        <v>27.13252265414684</v>
      </c>
      <c r="H1061">
        <v>22.144674763838172</v>
      </c>
      <c r="I1061">
        <v>1202.245931866767</v>
      </c>
      <c r="J1061">
        <v>18</v>
      </c>
      <c r="K1061" t="s">
        <v>66</v>
      </c>
    </row>
    <row r="1062" spans="1:11" x14ac:dyDescent="0.3">
      <c r="A1062">
        <v>52.163933251738072</v>
      </c>
      <c r="B1062">
        <v>2.0150867277803179</v>
      </c>
      <c r="C1062">
        <v>3.4352782644837641</v>
      </c>
      <c r="D1062">
        <v>7.2007418786678103</v>
      </c>
      <c r="E1062">
        <v>6.2793136795720743</v>
      </c>
      <c r="F1062">
        <v>25.297510759316829</v>
      </c>
      <c r="G1062">
        <v>17.803392280392941</v>
      </c>
      <c r="H1062">
        <v>20.853922840825749</v>
      </c>
      <c r="I1062">
        <v>1736.758651539212</v>
      </c>
      <c r="J1062">
        <v>25</v>
      </c>
      <c r="K1062" t="s">
        <v>66</v>
      </c>
    </row>
    <row r="1063" spans="1:11" x14ac:dyDescent="0.3">
      <c r="A1063">
        <v>28.978625838044099</v>
      </c>
      <c r="B1063">
        <v>1.048473281729448</v>
      </c>
      <c r="C1063">
        <v>1.0012499321907249</v>
      </c>
      <c r="D1063">
        <v>3.6875914718129441</v>
      </c>
      <c r="E1063">
        <v>5.8550699183443076</v>
      </c>
      <c r="F1063">
        <v>21.366462146747079</v>
      </c>
      <c r="G1063">
        <v>20.55192961335543</v>
      </c>
      <c r="H1063">
        <v>27.698087631780439</v>
      </c>
      <c r="I1063">
        <v>2147.6270422569019</v>
      </c>
      <c r="J1063">
        <v>10</v>
      </c>
      <c r="K1063" t="s">
        <v>66</v>
      </c>
    </row>
    <row r="1064" spans="1:11" x14ac:dyDescent="0.3">
      <c r="A1064">
        <v>960</v>
      </c>
      <c r="B1064">
        <v>44.232325914328129</v>
      </c>
      <c r="C1064">
        <v>59.247318654621083</v>
      </c>
      <c r="D1064">
        <v>140.21395822319349</v>
      </c>
      <c r="E1064">
        <v>5.2772590075610957</v>
      </c>
      <c r="F1064">
        <v>26.148291729627459</v>
      </c>
      <c r="G1064">
        <v>18.520862198684949</v>
      </c>
      <c r="H1064">
        <v>22.19664278043113</v>
      </c>
      <c r="I1064">
        <v>1486.994304454015</v>
      </c>
      <c r="J1064">
        <v>30</v>
      </c>
      <c r="K1064" t="s">
        <v>66</v>
      </c>
    </row>
    <row r="1065" spans="1:11" x14ac:dyDescent="0.3">
      <c r="A1065">
        <v>13.684549354666389</v>
      </c>
      <c r="B1065">
        <v>0</v>
      </c>
      <c r="C1065">
        <v>0</v>
      </c>
      <c r="D1065">
        <v>1.9804949232508751</v>
      </c>
      <c r="E1065">
        <v>5.538929270795518</v>
      </c>
      <c r="F1065">
        <v>26.961902450122189</v>
      </c>
      <c r="G1065">
        <v>19.60694888174854</v>
      </c>
      <c r="H1065">
        <v>26.025712027048311</v>
      </c>
      <c r="I1065">
        <v>2230.9771717353092</v>
      </c>
      <c r="J1065">
        <v>10</v>
      </c>
      <c r="K1065" t="s">
        <v>66</v>
      </c>
    </row>
    <row r="1066" spans="1:11" x14ac:dyDescent="0.3">
      <c r="A1066">
        <v>33.12049580705439</v>
      </c>
      <c r="B1066">
        <v>1.1235811620006939</v>
      </c>
      <c r="C1066">
        <v>1.7900689002180119</v>
      </c>
      <c r="D1066">
        <v>5.7701619899099432</v>
      </c>
      <c r="E1066">
        <v>5.2402468300173606</v>
      </c>
      <c r="F1066">
        <v>26.789826497757211</v>
      </c>
      <c r="G1066">
        <v>19.10538353817196</v>
      </c>
      <c r="H1066">
        <v>26.740425275940201</v>
      </c>
      <c r="I1066">
        <v>1874.012491392012</v>
      </c>
      <c r="J1066">
        <v>20</v>
      </c>
      <c r="K1066" t="s">
        <v>66</v>
      </c>
    </row>
    <row r="1067" spans="1:11" x14ac:dyDescent="0.3">
      <c r="A1067">
        <v>26.615208911945611</v>
      </c>
      <c r="B1067">
        <v>0.96809460643333822</v>
      </c>
      <c r="C1067">
        <v>1.0682069490062629</v>
      </c>
      <c r="D1067">
        <v>3.1581001977123941</v>
      </c>
      <c r="E1067">
        <v>6.9515476483108243</v>
      </c>
      <c r="F1067">
        <v>56.677149115047143</v>
      </c>
      <c r="G1067">
        <v>21.269905602248659</v>
      </c>
      <c r="H1067">
        <v>22.207891420221621</v>
      </c>
      <c r="I1067">
        <v>1345.5921776539019</v>
      </c>
      <c r="J1067">
        <v>18</v>
      </c>
      <c r="K1067" t="s">
        <v>66</v>
      </c>
    </row>
    <row r="1068" spans="1:11" x14ac:dyDescent="0.3">
      <c r="A1068">
        <v>56.499863494708919</v>
      </c>
      <c r="B1068">
        <v>2.11292118517872</v>
      </c>
      <c r="C1068">
        <v>3.0614276647205352</v>
      </c>
      <c r="D1068">
        <v>7.8591100528321096</v>
      </c>
      <c r="E1068">
        <v>6.0301015036825776</v>
      </c>
      <c r="F1068">
        <v>60.015188034440563</v>
      </c>
      <c r="G1068">
        <v>22.83358109197135</v>
      </c>
      <c r="H1068">
        <v>19.538767459973371</v>
      </c>
      <c r="I1068">
        <v>1914.38677153501</v>
      </c>
      <c r="J1068">
        <v>40</v>
      </c>
      <c r="K1068" t="s">
        <v>66</v>
      </c>
    </row>
    <row r="1069" spans="1:11" x14ac:dyDescent="0.3">
      <c r="A1069">
        <v>42.687499697121922</v>
      </c>
      <c r="B1069">
        <v>0.9101215951676872</v>
      </c>
      <c r="C1069">
        <v>1.7208421595615031</v>
      </c>
      <c r="D1069">
        <v>5.1467687649843201</v>
      </c>
      <c r="E1069">
        <v>5.5880772142300126</v>
      </c>
      <c r="F1069">
        <v>34.925902076397847</v>
      </c>
      <c r="G1069">
        <v>24.255484167230279</v>
      </c>
      <c r="H1069">
        <v>19.51291601182518</v>
      </c>
      <c r="I1069">
        <v>1958.5960983156101</v>
      </c>
      <c r="J1069">
        <v>40</v>
      </c>
      <c r="K1069" t="s">
        <v>66</v>
      </c>
    </row>
    <row r="1070" spans="1:11" x14ac:dyDescent="0.3">
      <c r="A1070">
        <v>92.783914622927242</v>
      </c>
      <c r="B1070">
        <v>3.3478107025139439</v>
      </c>
      <c r="C1070">
        <v>6.3932422979101426</v>
      </c>
      <c r="D1070">
        <v>14.613777779295299</v>
      </c>
      <c r="E1070">
        <v>6.6721578332311688</v>
      </c>
      <c r="F1070">
        <v>35.166127638935038</v>
      </c>
      <c r="G1070">
        <v>18.044501626070499</v>
      </c>
      <c r="H1070">
        <v>18.167437164892579</v>
      </c>
      <c r="I1070">
        <v>1949.310255687293</v>
      </c>
      <c r="J1070">
        <v>20</v>
      </c>
      <c r="K1070" t="s">
        <v>66</v>
      </c>
    </row>
    <row r="1071" spans="1:11" x14ac:dyDescent="0.3">
      <c r="A1071">
        <v>12.423130084428641</v>
      </c>
      <c r="B1071">
        <v>0</v>
      </c>
      <c r="C1071">
        <v>0</v>
      </c>
      <c r="D1071">
        <v>1.986310701466717</v>
      </c>
      <c r="E1071">
        <v>5.3255759258460467</v>
      </c>
      <c r="F1071">
        <v>28.245844969726122</v>
      </c>
      <c r="G1071">
        <v>19.578847452099119</v>
      </c>
      <c r="H1071">
        <v>26.013450243795742</v>
      </c>
      <c r="I1071">
        <v>2164.5315120097671</v>
      </c>
      <c r="J1071">
        <v>10</v>
      </c>
      <c r="K1071" t="s">
        <v>66</v>
      </c>
    </row>
    <row r="1072" spans="1:11" x14ac:dyDescent="0.3">
      <c r="A1072">
        <v>32.999116768828259</v>
      </c>
      <c r="B1072">
        <v>1.022526411724755</v>
      </c>
      <c r="C1072">
        <v>2.1722873051265612</v>
      </c>
      <c r="D1072">
        <v>4.5795280433350856</v>
      </c>
      <c r="E1072">
        <v>5.7418652623127358</v>
      </c>
      <c r="F1072">
        <v>20.87005584279223</v>
      </c>
      <c r="G1072">
        <v>30.983663199807001</v>
      </c>
      <c r="H1072">
        <v>26.038681625576039</v>
      </c>
      <c r="I1072">
        <v>713.41078641093804</v>
      </c>
      <c r="J1072">
        <v>0</v>
      </c>
      <c r="K1072" t="s">
        <v>66</v>
      </c>
    </row>
    <row r="1073" spans="1:11" x14ac:dyDescent="0.3">
      <c r="A1073">
        <v>63.076292355455557</v>
      </c>
      <c r="B1073">
        <v>2.954618014903946</v>
      </c>
      <c r="C1073">
        <v>3.7446869093886019</v>
      </c>
      <c r="D1073">
        <v>10.213808793941061</v>
      </c>
      <c r="E1073">
        <v>5.9823981923913578</v>
      </c>
      <c r="F1073">
        <v>39.33218794598492</v>
      </c>
      <c r="G1073">
        <v>20.27499076347527</v>
      </c>
      <c r="H1073">
        <v>20.114377871124312</v>
      </c>
      <c r="I1073">
        <v>1811.771070295945</v>
      </c>
      <c r="J1073">
        <v>10</v>
      </c>
      <c r="K1073" t="s">
        <v>66</v>
      </c>
    </row>
    <row r="1074" spans="1:11" x14ac:dyDescent="0.3">
      <c r="A1074">
        <v>37.280287718040157</v>
      </c>
      <c r="B1074">
        <v>1.0085893006293329</v>
      </c>
      <c r="C1074">
        <v>1.823849182079454</v>
      </c>
      <c r="D1074">
        <v>6.3476080558540664</v>
      </c>
      <c r="E1074">
        <v>5.4095617832641656</v>
      </c>
      <c r="F1074">
        <v>27.596294384260482</v>
      </c>
      <c r="G1074">
        <v>17.6574572360731</v>
      </c>
      <c r="H1074">
        <v>19.747994555272349</v>
      </c>
      <c r="I1074">
        <v>1667.971594226809</v>
      </c>
      <c r="J1074">
        <v>35</v>
      </c>
      <c r="K1074" t="s">
        <v>66</v>
      </c>
    </row>
    <row r="1075" spans="1:11" x14ac:dyDescent="0.3">
      <c r="A1075">
        <v>531.60850181388128</v>
      </c>
      <c r="B1075">
        <v>27.242098289663829</v>
      </c>
      <c r="C1075">
        <v>36.463720145607901</v>
      </c>
      <c r="D1075">
        <v>86.415166649174907</v>
      </c>
      <c r="E1075">
        <v>5.3277008133275832</v>
      </c>
      <c r="F1075">
        <v>61.573164066782027</v>
      </c>
      <c r="G1075">
        <v>30.001933045117649</v>
      </c>
      <c r="H1075">
        <v>30.849671271134891</v>
      </c>
      <c r="I1075">
        <v>11</v>
      </c>
      <c r="J1075">
        <v>0</v>
      </c>
      <c r="K1075" t="s">
        <v>66</v>
      </c>
    </row>
    <row r="1076" spans="1:11" x14ac:dyDescent="0.3">
      <c r="A1076">
        <v>39.052427386039327</v>
      </c>
      <c r="B1076">
        <v>0.9508097552493795</v>
      </c>
      <c r="C1076">
        <v>1.77478920781779</v>
      </c>
      <c r="D1076">
        <v>5.8408574757178791</v>
      </c>
      <c r="E1076">
        <v>6.1038241630749832</v>
      </c>
      <c r="F1076">
        <v>27.089863520416291</v>
      </c>
      <c r="G1076">
        <v>16.60266517210604</v>
      </c>
      <c r="H1076">
        <v>24.615517689863019</v>
      </c>
      <c r="I1076">
        <v>1453.323690168764</v>
      </c>
      <c r="J1076">
        <v>30</v>
      </c>
      <c r="K1076" t="s">
        <v>66</v>
      </c>
    </row>
    <row r="1077" spans="1:11" x14ac:dyDescent="0.3">
      <c r="A1077">
        <v>76.522998511617345</v>
      </c>
      <c r="B1077">
        <v>2.623047931716223</v>
      </c>
      <c r="C1077">
        <v>4.9686802113363822</v>
      </c>
      <c r="D1077">
        <v>12.47349598258106</v>
      </c>
      <c r="E1077">
        <v>6.2588545522102823</v>
      </c>
      <c r="F1077">
        <v>35.58136293458756</v>
      </c>
      <c r="G1077">
        <v>25.989888819790099</v>
      </c>
      <c r="H1077">
        <v>22.462138499362389</v>
      </c>
      <c r="I1077">
        <v>1350.076682618143</v>
      </c>
      <c r="J1077">
        <v>25</v>
      </c>
      <c r="K1077" t="s">
        <v>66</v>
      </c>
    </row>
    <row r="1078" spans="1:11" x14ac:dyDescent="0.3">
      <c r="A1078">
        <v>32.554381561436792</v>
      </c>
      <c r="B1078">
        <v>1.1563413358832111</v>
      </c>
      <c r="C1078">
        <v>1.932689482024365</v>
      </c>
      <c r="D1078">
        <v>5.2016372815185861</v>
      </c>
      <c r="E1078">
        <v>6.1614437479724646</v>
      </c>
      <c r="F1078">
        <v>20.723126158528888</v>
      </c>
      <c r="G1078">
        <v>23.933369684245019</v>
      </c>
      <c r="H1078">
        <v>20.40193069412944</v>
      </c>
      <c r="I1078">
        <v>1270.857424932776</v>
      </c>
      <c r="J1078">
        <v>45</v>
      </c>
      <c r="K1078" t="s">
        <v>66</v>
      </c>
    </row>
    <row r="1079" spans="1:11" x14ac:dyDescent="0.3">
      <c r="A1079">
        <v>41.846509481265031</v>
      </c>
      <c r="B1079">
        <v>1.112605025077217</v>
      </c>
      <c r="C1079">
        <v>1.9773743894968521</v>
      </c>
      <c r="D1079">
        <v>4.6169395846946646</v>
      </c>
      <c r="E1079">
        <v>5.5906513186541273</v>
      </c>
      <c r="F1079">
        <v>35.909880598029133</v>
      </c>
      <c r="G1079">
        <v>26.488184443671141</v>
      </c>
      <c r="H1079">
        <v>18.46186119962756</v>
      </c>
      <c r="I1079">
        <v>1936.3221489197711</v>
      </c>
      <c r="J1079">
        <v>40</v>
      </c>
      <c r="K1079" t="s">
        <v>66</v>
      </c>
    </row>
    <row r="1080" spans="1:11" x14ac:dyDescent="0.3">
      <c r="A1080">
        <v>74.964492933548456</v>
      </c>
      <c r="B1080">
        <v>2.71549559873274</v>
      </c>
      <c r="C1080">
        <v>4.4601318393620746</v>
      </c>
      <c r="D1080">
        <v>10.1994281410044</v>
      </c>
      <c r="E1080">
        <v>6.2002210970969713</v>
      </c>
      <c r="F1080">
        <v>36.877296123858393</v>
      </c>
      <c r="G1080">
        <v>24.688351999039131</v>
      </c>
      <c r="H1080">
        <v>21.727130390431501</v>
      </c>
      <c r="I1080">
        <v>1341.0279276409569</v>
      </c>
      <c r="J1080">
        <v>25</v>
      </c>
      <c r="K1080" t="s">
        <v>66</v>
      </c>
    </row>
    <row r="1081" spans="1:11" x14ac:dyDescent="0.3">
      <c r="A1081">
        <v>21.795775125669799</v>
      </c>
      <c r="B1081">
        <v>0.96331755881853121</v>
      </c>
      <c r="C1081">
        <v>1.0030031479164081</v>
      </c>
      <c r="D1081">
        <v>2.6342146600433418</v>
      </c>
      <c r="E1081">
        <v>6.3426791346124851</v>
      </c>
      <c r="F1081">
        <v>34.148396850397283</v>
      </c>
      <c r="G1081">
        <v>25.37972518629692</v>
      </c>
      <c r="H1081">
        <v>20.205259688934429</v>
      </c>
      <c r="I1081">
        <v>1624.6395148047211</v>
      </c>
      <c r="J1081">
        <v>25</v>
      </c>
      <c r="K1081" t="s">
        <v>66</v>
      </c>
    </row>
    <row r="1082" spans="1:11" x14ac:dyDescent="0.3">
      <c r="A1082">
        <v>22.542973664654721</v>
      </c>
      <c r="B1082">
        <v>0.84970296716048466</v>
      </c>
      <c r="C1082">
        <v>1.031313214001315</v>
      </c>
      <c r="D1082">
        <v>2.9967398588895078</v>
      </c>
      <c r="E1082">
        <v>5.747152253363172</v>
      </c>
      <c r="F1082">
        <v>22.961225762491239</v>
      </c>
      <c r="G1082">
        <v>19.86318607822923</v>
      </c>
      <c r="H1082">
        <v>20.828243246235768</v>
      </c>
      <c r="I1082">
        <v>1843.95259429729</v>
      </c>
      <c r="J1082">
        <v>12</v>
      </c>
      <c r="K1082" t="s">
        <v>66</v>
      </c>
    </row>
    <row r="1083" spans="1:11" x14ac:dyDescent="0.3">
      <c r="A1083">
        <v>137.57281909795881</v>
      </c>
      <c r="B1083">
        <v>6.0110409784700627</v>
      </c>
      <c r="C1083">
        <v>9.9952497596652421</v>
      </c>
      <c r="D1083">
        <v>22.467512907589001</v>
      </c>
      <c r="E1083">
        <v>6.085288363006236</v>
      </c>
      <c r="F1083">
        <v>28.603496338156852</v>
      </c>
      <c r="G1083">
        <v>21.45160758474406</v>
      </c>
      <c r="H1083">
        <v>20.70836870164938</v>
      </c>
      <c r="I1083">
        <v>1663.45488133353</v>
      </c>
      <c r="J1083">
        <v>12</v>
      </c>
      <c r="K1083" t="s">
        <v>66</v>
      </c>
    </row>
    <row r="1084" spans="1:11" x14ac:dyDescent="0.3">
      <c r="A1084">
        <v>32.544213570143057</v>
      </c>
      <c r="B1084">
        <v>1.0335058029084121</v>
      </c>
      <c r="C1084">
        <v>2.241321630972783</v>
      </c>
      <c r="D1084">
        <v>4.5531269904581428</v>
      </c>
      <c r="E1084">
        <v>5.9563783770709522</v>
      </c>
      <c r="F1084">
        <v>28.95074667982945</v>
      </c>
      <c r="G1084">
        <v>25.717391628290709</v>
      </c>
      <c r="H1084">
        <v>21.392477400091881</v>
      </c>
      <c r="I1084">
        <v>1199.042315451275</v>
      </c>
      <c r="J1084">
        <v>18</v>
      </c>
      <c r="K1084" t="s">
        <v>66</v>
      </c>
    </row>
    <row r="1085" spans="1:11" x14ac:dyDescent="0.3">
      <c r="A1085">
        <v>103.5777641385685</v>
      </c>
      <c r="B1085">
        <v>2.9033038592365981</v>
      </c>
      <c r="C1085">
        <v>4.6013679313716001</v>
      </c>
      <c r="D1085">
        <v>9.9901551913496167</v>
      </c>
      <c r="E1085">
        <v>5.9690345381266603</v>
      </c>
      <c r="F1085">
        <v>31.74440240321346</v>
      </c>
      <c r="G1085">
        <v>16.74812844852201</v>
      </c>
      <c r="H1085">
        <v>18.444562047862131</v>
      </c>
      <c r="I1085">
        <v>2157.3139852597901</v>
      </c>
      <c r="J1085">
        <v>20</v>
      </c>
      <c r="K1085" t="s">
        <v>66</v>
      </c>
    </row>
    <row r="1086" spans="1:11" x14ac:dyDescent="0.3">
      <c r="A1086">
        <v>126.4216245912758</v>
      </c>
      <c r="B1086">
        <v>4.3780606242004572</v>
      </c>
      <c r="C1086">
        <v>7.0773340774354043</v>
      </c>
      <c r="D1086">
        <v>23.05749570108182</v>
      </c>
      <c r="E1086">
        <v>6.1642996464683781</v>
      </c>
      <c r="F1086">
        <v>31.833259791403911</v>
      </c>
      <c r="G1086">
        <v>21.48549913714902</v>
      </c>
      <c r="H1086">
        <v>20.497386262007581</v>
      </c>
      <c r="I1086">
        <v>1675.6476384564569</v>
      </c>
      <c r="J1086">
        <v>12</v>
      </c>
      <c r="K1086" t="s">
        <v>66</v>
      </c>
    </row>
    <row r="1087" spans="1:11" x14ac:dyDescent="0.3">
      <c r="A1087">
        <v>22</v>
      </c>
      <c r="B1087">
        <v>1</v>
      </c>
      <c r="C1087">
        <v>1</v>
      </c>
      <c r="D1087">
        <v>3</v>
      </c>
      <c r="E1087">
        <v>6.3</v>
      </c>
      <c r="F1087">
        <v>25.5</v>
      </c>
      <c r="G1087">
        <v>26.2</v>
      </c>
      <c r="H1087">
        <v>22</v>
      </c>
      <c r="I1087">
        <v>1203</v>
      </c>
      <c r="J1087">
        <v>18</v>
      </c>
      <c r="K1087" t="s">
        <v>67</v>
      </c>
    </row>
    <row r="1088" spans="1:11" x14ac:dyDescent="0.3">
      <c r="A1088">
        <v>30.176954719747179</v>
      </c>
      <c r="B1088">
        <v>1.0472002270919269</v>
      </c>
      <c r="C1088">
        <v>2.210797154236575</v>
      </c>
      <c r="D1088">
        <v>4.7506830521057744</v>
      </c>
      <c r="E1088">
        <v>6.0981013031578239</v>
      </c>
      <c r="F1088">
        <v>28.97579593244814</v>
      </c>
      <c r="G1088">
        <v>25.600800439201699</v>
      </c>
      <c r="H1088">
        <v>21.457950986511911</v>
      </c>
      <c r="I1088">
        <v>1222.1311865114319</v>
      </c>
      <c r="J1088">
        <v>18</v>
      </c>
      <c r="K1088" t="s">
        <v>66</v>
      </c>
    </row>
    <row r="1089" spans="1:11" x14ac:dyDescent="0.3">
      <c r="A1089">
        <v>23.407492100206429</v>
      </c>
      <c r="B1089">
        <v>1.031615595718278</v>
      </c>
      <c r="C1089">
        <v>0.84728321434103526</v>
      </c>
      <c r="D1089">
        <v>2.883610509327764</v>
      </c>
      <c r="E1089">
        <v>6.1571618997086199</v>
      </c>
      <c r="F1089">
        <v>30.39757739648439</v>
      </c>
      <c r="G1089">
        <v>22.39497131821075</v>
      </c>
      <c r="H1089">
        <v>26.868128606618999</v>
      </c>
      <c r="I1089">
        <v>1388.997997349129</v>
      </c>
      <c r="J1089">
        <v>7</v>
      </c>
      <c r="K1089" t="s">
        <v>66</v>
      </c>
    </row>
    <row r="1090" spans="1:11" x14ac:dyDescent="0.3">
      <c r="A1090">
        <v>0</v>
      </c>
      <c r="B1090">
        <v>0</v>
      </c>
      <c r="C1090">
        <v>0</v>
      </c>
      <c r="D1090">
        <v>0</v>
      </c>
      <c r="E1090">
        <v>6.1218231516810011</v>
      </c>
      <c r="F1090">
        <v>21.88077830902267</v>
      </c>
      <c r="G1090">
        <v>27.231598597938561</v>
      </c>
      <c r="H1090">
        <v>34.5</v>
      </c>
      <c r="I1090">
        <v>1814.0294728239739</v>
      </c>
      <c r="J1090">
        <v>26</v>
      </c>
      <c r="K1090" t="s">
        <v>66</v>
      </c>
    </row>
    <row r="1091" spans="1:11" x14ac:dyDescent="0.3">
      <c r="A1091">
        <v>33.533226728404891</v>
      </c>
      <c r="B1091">
        <v>0.99009056997587308</v>
      </c>
      <c r="C1091">
        <v>1.9528166941375751</v>
      </c>
      <c r="D1091">
        <v>4.7437056015107446</v>
      </c>
      <c r="E1091">
        <v>6.020118087373878</v>
      </c>
      <c r="F1091">
        <v>29.917190859951621</v>
      </c>
      <c r="G1091">
        <v>20.327448400441892</v>
      </c>
      <c r="H1091">
        <v>19.863269426970859</v>
      </c>
      <c r="I1091">
        <v>1508.6447901409999</v>
      </c>
      <c r="J1091">
        <v>25</v>
      </c>
      <c r="K1091" t="s">
        <v>66</v>
      </c>
    </row>
    <row r="1092" spans="1:11" x14ac:dyDescent="0.3">
      <c r="A1092">
        <v>706.7117265143919</v>
      </c>
      <c r="B1092">
        <v>30.50590452085174</v>
      </c>
      <c r="C1092">
        <v>56.648968515157819</v>
      </c>
      <c r="D1092">
        <v>106.7668443638746</v>
      </c>
      <c r="E1092">
        <v>6.0932324043517818</v>
      </c>
      <c r="F1092">
        <v>73.305348279923862</v>
      </c>
      <c r="G1092">
        <v>28.61586678190729</v>
      </c>
      <c r="H1092">
        <v>31.115936955869032</v>
      </c>
      <c r="I1092">
        <v>11</v>
      </c>
      <c r="J1092">
        <v>0</v>
      </c>
      <c r="K1092" t="s">
        <v>66</v>
      </c>
    </row>
    <row r="1093" spans="1:11" x14ac:dyDescent="0.3">
      <c r="A1093">
        <v>121.0234770738341</v>
      </c>
      <c r="B1093">
        <v>5.9824423117890131</v>
      </c>
      <c r="C1093">
        <v>8.0984625613249452</v>
      </c>
      <c r="D1093">
        <v>19.698771970740129</v>
      </c>
      <c r="E1093">
        <v>6.1395324460101968</v>
      </c>
      <c r="F1093">
        <v>29.536993387626829</v>
      </c>
      <c r="G1093">
        <v>23.492171958780592</v>
      </c>
      <c r="H1093">
        <v>19.12869917942875</v>
      </c>
      <c r="I1093">
        <v>2127.7272252551702</v>
      </c>
      <c r="J1093">
        <v>20</v>
      </c>
      <c r="K1093" t="s">
        <v>66</v>
      </c>
    </row>
    <row r="1094" spans="1:11" x14ac:dyDescent="0.3">
      <c r="A1094">
        <v>84</v>
      </c>
      <c r="B1094">
        <v>4</v>
      </c>
      <c r="C1094">
        <v>5</v>
      </c>
      <c r="D1094">
        <v>13</v>
      </c>
      <c r="E1094">
        <v>6.2</v>
      </c>
      <c r="F1094">
        <v>22.2</v>
      </c>
      <c r="G1094">
        <v>20</v>
      </c>
      <c r="H1094">
        <v>19</v>
      </c>
      <c r="I1094">
        <v>1638.91</v>
      </c>
      <c r="J1094">
        <v>30</v>
      </c>
      <c r="K1094" t="s">
        <v>67</v>
      </c>
    </row>
    <row r="1095" spans="1:11" x14ac:dyDescent="0.3">
      <c r="A1095">
        <v>6.8853182486907807</v>
      </c>
      <c r="B1095">
        <v>0</v>
      </c>
      <c r="C1095">
        <v>0</v>
      </c>
      <c r="D1095">
        <v>1.141418728833109</v>
      </c>
      <c r="E1095">
        <v>6.7657061709980786</v>
      </c>
      <c r="F1095">
        <v>26.56749671316663</v>
      </c>
      <c r="G1095">
        <v>22.82820330482123</v>
      </c>
      <c r="H1095">
        <v>20.058493363414222</v>
      </c>
      <c r="I1095">
        <v>1619.4648840585569</v>
      </c>
      <c r="J1095">
        <v>25</v>
      </c>
      <c r="K1095" t="s">
        <v>66</v>
      </c>
    </row>
    <row r="1096" spans="1:11" x14ac:dyDescent="0.3">
      <c r="A1096">
        <v>57.485820812987043</v>
      </c>
      <c r="B1096">
        <v>2.255773162662678</v>
      </c>
      <c r="C1096">
        <v>2.758815475581756</v>
      </c>
      <c r="D1096">
        <v>8.1101295526944366</v>
      </c>
      <c r="E1096">
        <v>6.1958121635672541</v>
      </c>
      <c r="F1096">
        <v>38.52230853075028</v>
      </c>
      <c r="G1096">
        <v>26.836025431582978</v>
      </c>
      <c r="H1096">
        <v>25.917441577536039</v>
      </c>
      <c r="I1096">
        <v>1480.113918405654</v>
      </c>
      <c r="J1096">
        <v>18</v>
      </c>
      <c r="K1096" t="s">
        <v>66</v>
      </c>
    </row>
    <row r="1097" spans="1:11" x14ac:dyDescent="0.3">
      <c r="A1097">
        <v>26.774390591572249</v>
      </c>
      <c r="B1097">
        <v>1.294909442530872</v>
      </c>
      <c r="C1097">
        <v>0.97573012521747182</v>
      </c>
      <c r="D1097">
        <v>3.8958596118858742</v>
      </c>
      <c r="E1097">
        <v>5.8956835552945321</v>
      </c>
      <c r="F1097">
        <v>20.19695619516493</v>
      </c>
      <c r="G1097">
        <v>20.971000236565171</v>
      </c>
      <c r="H1097">
        <v>26.538743932839331</v>
      </c>
      <c r="I1097">
        <v>2158.0627469675019</v>
      </c>
      <c r="J1097">
        <v>10</v>
      </c>
      <c r="K1097" t="s">
        <v>66</v>
      </c>
    </row>
    <row r="1098" spans="1:11" x14ac:dyDescent="0.3">
      <c r="A1098">
        <v>5.818315338078941</v>
      </c>
      <c r="B1098">
        <v>0</v>
      </c>
      <c r="C1098">
        <v>0</v>
      </c>
      <c r="D1098">
        <v>0</v>
      </c>
      <c r="E1098">
        <v>5.8470539094509011</v>
      </c>
      <c r="F1098">
        <v>19.913184343693871</v>
      </c>
      <c r="G1098">
        <v>21.10327216006386</v>
      </c>
      <c r="H1098">
        <v>24.599799226636499</v>
      </c>
      <c r="I1098">
        <v>1903.9568861009659</v>
      </c>
      <c r="J1098">
        <v>20</v>
      </c>
      <c r="K1098" t="s">
        <v>66</v>
      </c>
    </row>
    <row r="1099" spans="1:11" x14ac:dyDescent="0.3">
      <c r="A1099">
        <v>252</v>
      </c>
      <c r="B1099">
        <v>12</v>
      </c>
      <c r="C1099">
        <v>17</v>
      </c>
      <c r="D1099">
        <v>40</v>
      </c>
      <c r="E1099">
        <v>5.4</v>
      </c>
      <c r="F1099">
        <v>29.4</v>
      </c>
      <c r="G1099">
        <v>20.3</v>
      </c>
      <c r="H1099">
        <v>18.5</v>
      </c>
      <c r="I1099">
        <v>1551</v>
      </c>
      <c r="J1099">
        <v>25</v>
      </c>
      <c r="K1099" t="s">
        <v>67</v>
      </c>
    </row>
    <row r="1100" spans="1:11" x14ac:dyDescent="0.3">
      <c r="A1100">
        <v>18.735989669280261</v>
      </c>
      <c r="B1100">
        <v>0</v>
      </c>
      <c r="C1100">
        <v>1.0945211534611481</v>
      </c>
      <c r="D1100">
        <v>1.9908142342519679</v>
      </c>
      <c r="E1100">
        <v>5.5348647207682529</v>
      </c>
      <c r="F1100">
        <v>24.30462855081058</v>
      </c>
      <c r="G1100">
        <v>20.686406771002549</v>
      </c>
      <c r="H1100">
        <v>26.78187318951262</v>
      </c>
      <c r="I1100">
        <v>2184.141240180742</v>
      </c>
      <c r="J1100">
        <v>10</v>
      </c>
      <c r="K1100" t="s">
        <v>66</v>
      </c>
    </row>
    <row r="1101" spans="1:11" x14ac:dyDescent="0.3">
      <c r="A1101">
        <v>259.93986264181842</v>
      </c>
      <c r="B1101">
        <v>11.64723966280298</v>
      </c>
      <c r="C1101">
        <v>18.68247561370702</v>
      </c>
      <c r="D1101">
        <v>37.011665481283998</v>
      </c>
      <c r="E1101">
        <v>5.2283126194340488</v>
      </c>
      <c r="F1101">
        <v>28.063594137230709</v>
      </c>
      <c r="G1101">
        <v>21.62355978616317</v>
      </c>
      <c r="H1101">
        <v>18.210000884177649</v>
      </c>
      <c r="I1101">
        <v>1523.3706074351639</v>
      </c>
      <c r="J1101">
        <v>25</v>
      </c>
      <c r="K1101" t="s">
        <v>66</v>
      </c>
    </row>
    <row r="1102" spans="1:11" x14ac:dyDescent="0.3">
      <c r="A1102">
        <v>32.608316561609541</v>
      </c>
      <c r="B1102">
        <v>0.85034707449099212</v>
      </c>
      <c r="C1102">
        <v>2.0036033744088888</v>
      </c>
      <c r="D1102">
        <v>5.5193030346044081</v>
      </c>
      <c r="E1102">
        <v>5.3779539849617466</v>
      </c>
      <c r="F1102">
        <v>25.172187543482739</v>
      </c>
      <c r="G1102">
        <v>19.050140277038711</v>
      </c>
      <c r="H1102">
        <v>26.844378866772669</v>
      </c>
      <c r="I1102">
        <v>1928.292687838421</v>
      </c>
      <c r="J1102">
        <v>20</v>
      </c>
      <c r="K1102" t="s">
        <v>66</v>
      </c>
    </row>
    <row r="1103" spans="1:11" x14ac:dyDescent="0.3">
      <c r="A1103">
        <v>191.9387786880408</v>
      </c>
      <c r="B1103">
        <v>8.2019871699448892</v>
      </c>
      <c r="C1103">
        <v>13.98353407738708</v>
      </c>
      <c r="D1103">
        <v>25.35659533107291</v>
      </c>
      <c r="E1103">
        <v>5.6365653840878993</v>
      </c>
      <c r="F1103">
        <v>42.273647665960837</v>
      </c>
      <c r="G1103">
        <v>24.801538014610731</v>
      </c>
      <c r="H1103">
        <v>19.75993001998663</v>
      </c>
      <c r="I1103">
        <v>2041.0554681108979</v>
      </c>
      <c r="J1103">
        <v>20</v>
      </c>
      <c r="K1103" t="s">
        <v>66</v>
      </c>
    </row>
    <row r="1104" spans="1:11" x14ac:dyDescent="0.3">
      <c r="A1104">
        <v>50.048509640043278</v>
      </c>
      <c r="B1104">
        <v>1.951748469076291</v>
      </c>
      <c r="C1104">
        <v>3.1249338114304361</v>
      </c>
      <c r="D1104">
        <v>7.5990127137678298</v>
      </c>
      <c r="E1104">
        <v>5.0820298374508974</v>
      </c>
      <c r="F1104">
        <v>33.457808955088119</v>
      </c>
      <c r="G1104">
        <v>24.856773292059881</v>
      </c>
      <c r="H1104">
        <v>27.321914767740619</v>
      </c>
      <c r="I1104">
        <v>2018.4218699864271</v>
      </c>
      <c r="J1104">
        <v>20</v>
      </c>
      <c r="K1104" t="s">
        <v>66</v>
      </c>
    </row>
    <row r="1105" spans="1:11" x14ac:dyDescent="0.3">
      <c r="A1105">
        <v>76</v>
      </c>
      <c r="B1105">
        <v>3</v>
      </c>
      <c r="C1105">
        <v>5</v>
      </c>
      <c r="D1105">
        <v>12</v>
      </c>
      <c r="E1105">
        <v>5.5</v>
      </c>
      <c r="F1105">
        <v>32.6</v>
      </c>
      <c r="G1105">
        <v>17.3</v>
      </c>
      <c r="H1105">
        <v>18</v>
      </c>
      <c r="I1105">
        <v>1895</v>
      </c>
      <c r="J1105">
        <v>20</v>
      </c>
      <c r="K1105" t="s">
        <v>67</v>
      </c>
    </row>
    <row r="1106" spans="1:11" x14ac:dyDescent="0.3">
      <c r="A1106">
        <v>25.921090791022159</v>
      </c>
      <c r="B1106">
        <v>1.152323862171226</v>
      </c>
      <c r="C1106">
        <v>0.99859010340933285</v>
      </c>
      <c r="D1106">
        <v>3.4642120900168969</v>
      </c>
      <c r="E1106">
        <v>6.1135115502324453</v>
      </c>
      <c r="F1106">
        <v>21.088053590039141</v>
      </c>
      <c r="G1106">
        <v>29.440692329156551</v>
      </c>
      <c r="H1106">
        <v>26.056429269508961</v>
      </c>
      <c r="I1106">
        <v>732.1186414324111</v>
      </c>
      <c r="J1106">
        <v>0</v>
      </c>
      <c r="K1106" t="s">
        <v>66</v>
      </c>
    </row>
    <row r="1107" spans="1:11" x14ac:dyDescent="0.3">
      <c r="A1107">
        <v>21.121458366007499</v>
      </c>
      <c r="B1107">
        <v>1.1238946352939441</v>
      </c>
      <c r="C1107">
        <v>1.037006111526896</v>
      </c>
      <c r="D1107">
        <v>2.5323639014928481</v>
      </c>
      <c r="E1107">
        <v>5.9648777449229664</v>
      </c>
      <c r="F1107">
        <v>21.508507848284921</v>
      </c>
      <c r="G1107">
        <v>19.6433061244228</v>
      </c>
      <c r="H1107">
        <v>17.58722056170609</v>
      </c>
      <c r="I1107">
        <v>2001.8907750079311</v>
      </c>
      <c r="J1107">
        <v>40</v>
      </c>
      <c r="K1107" t="s">
        <v>66</v>
      </c>
    </row>
    <row r="1108" spans="1:11" x14ac:dyDescent="0.3">
      <c r="A1108">
        <v>41.40293729184873</v>
      </c>
      <c r="B1108">
        <v>1.991304610037228</v>
      </c>
      <c r="C1108">
        <v>1.432184268102914</v>
      </c>
      <c r="D1108">
        <v>6.8155136964984164</v>
      </c>
      <c r="E1108">
        <v>6.1160168525100653</v>
      </c>
      <c r="F1108">
        <v>33.934284367505242</v>
      </c>
      <c r="G1108">
        <v>19.719527079604148</v>
      </c>
      <c r="H1108">
        <v>17.968752274024251</v>
      </c>
      <c r="I1108">
        <v>1879.1246965343489</v>
      </c>
      <c r="J1108">
        <v>20</v>
      </c>
      <c r="K1108" t="s">
        <v>66</v>
      </c>
    </row>
    <row r="1109" spans="1:11" x14ac:dyDescent="0.3">
      <c r="A1109">
        <v>121.92429830045489</v>
      </c>
      <c r="B1109">
        <v>5.9960872108623251</v>
      </c>
      <c r="C1109">
        <v>8.9428101518387386</v>
      </c>
      <c r="D1109">
        <v>21.64110700577579</v>
      </c>
      <c r="E1109">
        <v>4.9772440057981244</v>
      </c>
      <c r="F1109">
        <v>53.48834583282423</v>
      </c>
      <c r="G1109">
        <v>18.970943991690479</v>
      </c>
      <c r="H1109">
        <v>20.154882811445979</v>
      </c>
      <c r="I1109">
        <v>1741.079579897071</v>
      </c>
      <c r="J1109">
        <v>12</v>
      </c>
      <c r="K1109" t="s">
        <v>66</v>
      </c>
    </row>
    <row r="1110" spans="1:11" x14ac:dyDescent="0.3">
      <c r="A1110">
        <v>360.21891332569129</v>
      </c>
      <c r="B1110">
        <v>19.019054960384661</v>
      </c>
      <c r="C1110">
        <v>21.419250256681831</v>
      </c>
      <c r="D1110">
        <v>60.105351302393792</v>
      </c>
      <c r="E1110">
        <v>6.2113324896842386</v>
      </c>
      <c r="F1110">
        <v>35.504935745472132</v>
      </c>
      <c r="G1110">
        <v>25.489729339869079</v>
      </c>
      <c r="H1110">
        <v>21.698578564502281</v>
      </c>
      <c r="I1110">
        <v>1313.34011795943</v>
      </c>
      <c r="J1110">
        <v>20</v>
      </c>
      <c r="K1110" t="s">
        <v>66</v>
      </c>
    </row>
    <row r="1111" spans="1:11" x14ac:dyDescent="0.3">
      <c r="A1111">
        <v>270.30138664432798</v>
      </c>
      <c r="B1111">
        <v>11.51027899300774</v>
      </c>
      <c r="C1111">
        <v>18.884710165044211</v>
      </c>
      <c r="D1111">
        <v>43.423658083488121</v>
      </c>
      <c r="E1111">
        <v>5.0090800493575829</v>
      </c>
      <c r="F1111">
        <v>26.947338167868811</v>
      </c>
      <c r="G1111">
        <v>20.378417900476531</v>
      </c>
      <c r="H1111">
        <v>19.240987530631269</v>
      </c>
      <c r="I1111">
        <v>1601.713445642994</v>
      </c>
      <c r="J1111">
        <v>25</v>
      </c>
      <c r="K1111" t="s">
        <v>66</v>
      </c>
    </row>
    <row r="1112" spans="1:11" x14ac:dyDescent="0.3">
      <c r="A1112">
        <v>51.908224248622929</v>
      </c>
      <c r="B1112">
        <v>2.337002855741702</v>
      </c>
      <c r="C1112">
        <v>3.0575693207619108</v>
      </c>
      <c r="D1112">
        <v>7.0177696945805899</v>
      </c>
      <c r="E1112">
        <v>5.3758550259593259</v>
      </c>
      <c r="F1112">
        <v>19.343009674508149</v>
      </c>
      <c r="G1112">
        <v>22.350097324237542</v>
      </c>
      <c r="H1112">
        <v>28.783817051432059</v>
      </c>
      <c r="I1112">
        <v>1590.2659390861729</v>
      </c>
      <c r="J1112">
        <v>18</v>
      </c>
      <c r="K1112" t="s">
        <v>66</v>
      </c>
    </row>
    <row r="1113" spans="1:11" x14ac:dyDescent="0.3">
      <c r="A1113">
        <v>12.01260230497966</v>
      </c>
      <c r="B1113">
        <v>0</v>
      </c>
      <c r="C1113">
        <v>0</v>
      </c>
      <c r="D1113">
        <v>1.0123479809164599</v>
      </c>
      <c r="E1113">
        <v>6.2851924728185216</v>
      </c>
      <c r="F1113">
        <v>36.531233927178427</v>
      </c>
      <c r="G1113">
        <v>17.11719437080194</v>
      </c>
      <c r="H1113">
        <v>22.92145234301201</v>
      </c>
      <c r="I1113">
        <v>1427.3855409180021</v>
      </c>
      <c r="J1113">
        <v>30</v>
      </c>
      <c r="K1113" t="s">
        <v>66</v>
      </c>
    </row>
    <row r="1114" spans="1:11" x14ac:dyDescent="0.3">
      <c r="A1114">
        <v>25.908533636094202</v>
      </c>
      <c r="B1114">
        <v>1.012637957954641</v>
      </c>
      <c r="C1114">
        <v>1.11008213984226</v>
      </c>
      <c r="D1114">
        <v>3.491232399554911</v>
      </c>
      <c r="E1114">
        <v>6.1343625334264056</v>
      </c>
      <c r="F1114">
        <v>18.100326446788809</v>
      </c>
      <c r="G1114">
        <v>31.227246170249131</v>
      </c>
      <c r="H1114">
        <v>26.572852165191541</v>
      </c>
      <c r="I1114">
        <v>705.8172900852735</v>
      </c>
      <c r="J1114">
        <v>0</v>
      </c>
      <c r="K1114" t="s">
        <v>66</v>
      </c>
    </row>
    <row r="1115" spans="1:11" x14ac:dyDescent="0.3">
      <c r="A1115">
        <v>32.017658093382437</v>
      </c>
      <c r="B1115">
        <v>1.055148537604047</v>
      </c>
      <c r="C1115">
        <v>1.8543455595186771</v>
      </c>
      <c r="D1115">
        <v>6.1960548176369974</v>
      </c>
      <c r="E1115">
        <v>6.3123948613648322</v>
      </c>
      <c r="F1115">
        <v>28.582137768647371</v>
      </c>
      <c r="G1115">
        <v>27.3812134583697</v>
      </c>
      <c r="H1115">
        <v>22.372024611818301</v>
      </c>
      <c r="I1115">
        <v>1245.4724832781819</v>
      </c>
      <c r="J1115">
        <v>18</v>
      </c>
      <c r="K1115" t="s">
        <v>66</v>
      </c>
    </row>
    <row r="1116" spans="1:11" x14ac:dyDescent="0.3">
      <c r="A1116">
        <v>584.13355284518252</v>
      </c>
      <c r="B1116">
        <v>25.142090485356931</v>
      </c>
      <c r="C1116">
        <v>42.365396967033597</v>
      </c>
      <c r="D1116">
        <v>95.319584495470892</v>
      </c>
      <c r="E1116">
        <v>6.4554207802154382</v>
      </c>
      <c r="F1116">
        <v>85.520555755474064</v>
      </c>
      <c r="G1116">
        <v>32.56908907179227</v>
      </c>
      <c r="H1116">
        <v>29.31894162626125</v>
      </c>
      <c r="I1116">
        <v>11</v>
      </c>
      <c r="J1116">
        <v>0</v>
      </c>
      <c r="K1116" t="s">
        <v>66</v>
      </c>
    </row>
    <row r="1117" spans="1:11" x14ac:dyDescent="0.3">
      <c r="A1117">
        <v>723.98033690808234</v>
      </c>
      <c r="B1117">
        <v>41.663728049627359</v>
      </c>
      <c r="C1117">
        <v>62.169342955078918</v>
      </c>
      <c r="D1117">
        <v>153</v>
      </c>
      <c r="E1117">
        <v>5.3106814726943483</v>
      </c>
      <c r="F1117">
        <v>46.701475866427607</v>
      </c>
      <c r="G1117">
        <v>19.727942945535951</v>
      </c>
      <c r="H1117">
        <v>22.093887167378771</v>
      </c>
      <c r="I1117">
        <v>1456.379344629479</v>
      </c>
      <c r="J1117">
        <v>30</v>
      </c>
      <c r="K1117" t="s">
        <v>66</v>
      </c>
    </row>
    <row r="1118" spans="1:11" x14ac:dyDescent="0.3">
      <c r="A1118">
        <v>19.805483599343209</v>
      </c>
      <c r="B1118">
        <v>0</v>
      </c>
      <c r="C1118">
        <v>0.9962106918283169</v>
      </c>
      <c r="D1118">
        <v>1.717454848219889</v>
      </c>
      <c r="E1118">
        <v>5.5934542984151276</v>
      </c>
      <c r="F1118">
        <v>22.5572779523423</v>
      </c>
      <c r="G1118">
        <v>21.494386074062451</v>
      </c>
      <c r="H1118">
        <v>27.603530977188409</v>
      </c>
      <c r="I1118">
        <v>2210.0929031951919</v>
      </c>
      <c r="J1118">
        <v>10</v>
      </c>
      <c r="K1118" t="s">
        <v>66</v>
      </c>
    </row>
    <row r="1119" spans="1:11" x14ac:dyDescent="0.3">
      <c r="A1119">
        <v>91.545485854586332</v>
      </c>
      <c r="B1119">
        <v>4.1109507751832766</v>
      </c>
      <c r="C1119">
        <v>5.6194284913863584</v>
      </c>
      <c r="D1119">
        <v>13.736351054810511</v>
      </c>
      <c r="E1119">
        <v>5.7124355211976567</v>
      </c>
      <c r="F1119">
        <v>31.30563331362735</v>
      </c>
      <c r="G1119">
        <v>23.67940862143973</v>
      </c>
      <c r="H1119">
        <v>24.884098563800489</v>
      </c>
      <c r="I1119">
        <v>694.50387628611418</v>
      </c>
      <c r="J1119">
        <v>25</v>
      </c>
      <c r="K1119" t="s">
        <v>66</v>
      </c>
    </row>
    <row r="1120" spans="1:11" x14ac:dyDescent="0.3">
      <c r="A1120">
        <v>20.591527712254091</v>
      </c>
      <c r="B1120">
        <v>1.0838940500469609</v>
      </c>
      <c r="C1120">
        <v>1.096030479628147</v>
      </c>
      <c r="D1120">
        <v>2.683308153060421</v>
      </c>
      <c r="E1120">
        <v>6.2731152646883181</v>
      </c>
      <c r="F1120">
        <v>27.011215752294628</v>
      </c>
      <c r="G1120">
        <v>22.590051401615</v>
      </c>
      <c r="H1120">
        <v>22.536739906319941</v>
      </c>
      <c r="I1120">
        <v>1699.1080872358</v>
      </c>
      <c r="J1120">
        <v>17</v>
      </c>
      <c r="K1120" t="s">
        <v>66</v>
      </c>
    </row>
    <row r="1121" spans="1:11" x14ac:dyDescent="0.3">
      <c r="A1121">
        <v>582</v>
      </c>
      <c r="B1121">
        <v>29</v>
      </c>
      <c r="C1121">
        <v>40</v>
      </c>
      <c r="D1121">
        <v>93</v>
      </c>
      <c r="E1121">
        <v>6.2</v>
      </c>
      <c r="F1121">
        <v>80</v>
      </c>
      <c r="G1121">
        <v>31.1</v>
      </c>
      <c r="H1121">
        <v>31</v>
      </c>
      <c r="I1121">
        <v>11</v>
      </c>
      <c r="J1121">
        <v>0</v>
      </c>
      <c r="K1121" t="s">
        <v>67</v>
      </c>
    </row>
    <row r="1122" spans="1:11" x14ac:dyDescent="0.3">
      <c r="A1122">
        <v>28.319262140394319</v>
      </c>
      <c r="B1122">
        <v>0.95736424037944567</v>
      </c>
      <c r="C1122">
        <v>2.1558698007810659</v>
      </c>
      <c r="D1122">
        <v>4.5403409322796016</v>
      </c>
      <c r="E1122">
        <v>5.6341703794217022</v>
      </c>
      <c r="F1122">
        <v>22.30222928578419</v>
      </c>
      <c r="G1122">
        <v>16.431062611430331</v>
      </c>
      <c r="H1122">
        <v>21.2684786325771</v>
      </c>
      <c r="I1122">
        <v>1755.2293817036091</v>
      </c>
      <c r="J1122">
        <v>35</v>
      </c>
      <c r="K1122" t="s">
        <v>66</v>
      </c>
    </row>
    <row r="1123" spans="1:11" x14ac:dyDescent="0.3">
      <c r="A1123">
        <v>20.861233445338691</v>
      </c>
      <c r="B1123">
        <v>0.98657208378136962</v>
      </c>
      <c r="C1123">
        <v>0.98497570112017396</v>
      </c>
      <c r="D1123">
        <v>3.409012954061502</v>
      </c>
      <c r="E1123">
        <v>6.0604187839927279</v>
      </c>
      <c r="F1123">
        <v>26.539125571970828</v>
      </c>
      <c r="G1123">
        <v>23.60325083282213</v>
      </c>
      <c r="H1123">
        <v>23.311303711949339</v>
      </c>
      <c r="I1123">
        <v>1699.352974674254</v>
      </c>
      <c r="J1123">
        <v>17</v>
      </c>
      <c r="K1123" t="s">
        <v>66</v>
      </c>
    </row>
    <row r="1124" spans="1:11" x14ac:dyDescent="0.3">
      <c r="A1124">
        <v>12.904448698941479</v>
      </c>
      <c r="B1124">
        <v>0</v>
      </c>
      <c r="C1124">
        <v>0</v>
      </c>
      <c r="D1124">
        <v>2.2051264227745171</v>
      </c>
      <c r="E1124">
        <v>5.347726150648815</v>
      </c>
      <c r="F1124">
        <v>28.55669250248679</v>
      </c>
      <c r="G1124">
        <v>19.395712309774321</v>
      </c>
      <c r="H1124">
        <v>26.47953051456259</v>
      </c>
      <c r="I1124">
        <v>2213.5078356614672</v>
      </c>
      <c r="J1124">
        <v>10</v>
      </c>
      <c r="K1124" t="s">
        <v>66</v>
      </c>
    </row>
    <row r="1125" spans="1:11" x14ac:dyDescent="0.3">
      <c r="A1125">
        <v>17.986221135744309</v>
      </c>
      <c r="B1125">
        <v>0</v>
      </c>
      <c r="C1125">
        <v>1.0209470083647769</v>
      </c>
      <c r="D1125">
        <v>2.2165999877033742</v>
      </c>
      <c r="E1125">
        <v>5.4083041888736956</v>
      </c>
      <c r="F1125">
        <v>22.660341396979451</v>
      </c>
      <c r="G1125">
        <v>21.146094553874249</v>
      </c>
      <c r="H1125">
        <v>28.668496507253099</v>
      </c>
      <c r="I1125">
        <v>2155.7665504148472</v>
      </c>
      <c r="J1125">
        <v>10</v>
      </c>
      <c r="K1125" t="s">
        <v>66</v>
      </c>
    </row>
    <row r="1126" spans="1:11" x14ac:dyDescent="0.3">
      <c r="A1126">
        <v>22.820971179299111</v>
      </c>
      <c r="B1126">
        <v>1.0246504778432</v>
      </c>
      <c r="C1126">
        <v>0.95024291616147927</v>
      </c>
      <c r="D1126">
        <v>2.8140683615238369</v>
      </c>
      <c r="E1126">
        <v>6.4212554913275879</v>
      </c>
      <c r="F1126">
        <v>32.415805139253749</v>
      </c>
      <c r="G1126">
        <v>18.520981399144691</v>
      </c>
      <c r="H1126">
        <v>16</v>
      </c>
      <c r="I1126">
        <v>1789.484924044556</v>
      </c>
      <c r="J1126">
        <v>30</v>
      </c>
      <c r="K1126" t="s">
        <v>66</v>
      </c>
    </row>
    <row r="1127" spans="1:11" x14ac:dyDescent="0.3">
      <c r="A1127">
        <v>18.88358893829243</v>
      </c>
      <c r="B1127">
        <v>0</v>
      </c>
      <c r="C1127">
        <v>1.0295279940620869</v>
      </c>
      <c r="D1127">
        <v>2.08698820767358</v>
      </c>
      <c r="E1127">
        <v>5.6093728709356387</v>
      </c>
      <c r="F1127">
        <v>22.980653098143438</v>
      </c>
      <c r="G1127">
        <v>20.79737800479592</v>
      </c>
      <c r="H1127">
        <v>26.90532300876858</v>
      </c>
      <c r="I1127">
        <v>2212.792093351155</v>
      </c>
      <c r="J1127">
        <v>10</v>
      </c>
      <c r="K1127" t="s">
        <v>66</v>
      </c>
    </row>
    <row r="1128" spans="1:11" x14ac:dyDescent="0.3">
      <c r="A1128">
        <v>119.7977776680986</v>
      </c>
      <c r="B1128">
        <v>5.5420283374928507</v>
      </c>
      <c r="C1128">
        <v>7.7095066710755464</v>
      </c>
      <c r="D1128">
        <v>22.510291576749811</v>
      </c>
      <c r="E1128">
        <v>6.0977481107891371</v>
      </c>
      <c r="F1128">
        <v>32.034194288822199</v>
      </c>
      <c r="G1128">
        <v>20.192529835443349</v>
      </c>
      <c r="H1128">
        <v>20.814978022582149</v>
      </c>
      <c r="I1128">
        <v>1704.480178459095</v>
      </c>
      <c r="J1128">
        <v>12</v>
      </c>
      <c r="K1128" t="s">
        <v>66</v>
      </c>
    </row>
    <row r="1129" spans="1:11" x14ac:dyDescent="0.3">
      <c r="A1129">
        <v>274.52131691972778</v>
      </c>
      <c r="B1129">
        <v>11.72473110711837</v>
      </c>
      <c r="C1129">
        <v>15.927923274204829</v>
      </c>
      <c r="D1129">
        <v>29.38457581041477</v>
      </c>
      <c r="E1129">
        <v>5.3098993907731638</v>
      </c>
      <c r="F1129">
        <v>27.991080262335831</v>
      </c>
      <c r="G1129">
        <v>19.898799401456461</v>
      </c>
      <c r="H1129">
        <v>18.05199529899614</v>
      </c>
      <c r="I1129">
        <v>1606.827881809375</v>
      </c>
      <c r="J1129">
        <v>25</v>
      </c>
      <c r="K1129" t="s">
        <v>66</v>
      </c>
    </row>
    <row r="1130" spans="1:11" x14ac:dyDescent="0.3">
      <c r="A1130">
        <v>12.13288342830317</v>
      </c>
      <c r="B1130">
        <v>0</v>
      </c>
      <c r="C1130">
        <v>0</v>
      </c>
      <c r="D1130">
        <v>2.079845638587865</v>
      </c>
      <c r="E1130">
        <v>5.0129532536480106</v>
      </c>
      <c r="F1130">
        <v>26.812023235814191</v>
      </c>
      <c r="G1130">
        <v>21.130213752988819</v>
      </c>
      <c r="H1130">
        <v>23.548144888963499</v>
      </c>
      <c r="I1130">
        <v>2079.2239019689891</v>
      </c>
      <c r="J1130">
        <v>13</v>
      </c>
      <c r="K1130" t="s">
        <v>66</v>
      </c>
    </row>
    <row r="1131" spans="1:11" x14ac:dyDescent="0.3">
      <c r="A1131">
        <v>67.494458072914398</v>
      </c>
      <c r="B1131">
        <v>2.7223726121821241</v>
      </c>
      <c r="C1131">
        <v>4.7579130243756316</v>
      </c>
      <c r="D1131">
        <v>11.503056709195439</v>
      </c>
      <c r="E1131">
        <v>6.135220152791395</v>
      </c>
      <c r="F1131">
        <v>17.116406076633179</v>
      </c>
      <c r="G1131">
        <v>20.829881388066891</v>
      </c>
      <c r="H1131">
        <v>19.537620182982341</v>
      </c>
      <c r="I1131">
        <v>1639.6765223093939</v>
      </c>
      <c r="J1131">
        <v>30</v>
      </c>
      <c r="K1131" t="s">
        <v>66</v>
      </c>
    </row>
    <row r="1132" spans="1:11" x14ac:dyDescent="0.3">
      <c r="A1132">
        <v>39</v>
      </c>
      <c r="B1132">
        <v>1</v>
      </c>
      <c r="C1132">
        <v>2</v>
      </c>
      <c r="D1132">
        <v>6</v>
      </c>
      <c r="E1132">
        <v>6.3</v>
      </c>
      <c r="F1132">
        <v>27.1</v>
      </c>
      <c r="G1132">
        <v>17.399999999999999</v>
      </c>
      <c r="H1132">
        <v>24.1</v>
      </c>
      <c r="I1132">
        <v>1434</v>
      </c>
      <c r="J1132">
        <v>30</v>
      </c>
      <c r="K1132" t="s">
        <v>67</v>
      </c>
    </row>
    <row r="1133" spans="1:11" x14ac:dyDescent="0.3">
      <c r="A1133">
        <v>348.32952914505438</v>
      </c>
      <c r="B1133">
        <v>16.505200068198182</v>
      </c>
      <c r="C1133">
        <v>30.198424855845619</v>
      </c>
      <c r="D1133">
        <v>67.173188328520254</v>
      </c>
      <c r="E1133">
        <v>4.7234805720745259</v>
      </c>
      <c r="F1133">
        <v>44.786383283239523</v>
      </c>
      <c r="G1133">
        <v>20.26860489266361</v>
      </c>
      <c r="H1133">
        <v>20.086264080592191</v>
      </c>
      <c r="I1133">
        <v>1595.951462015757</v>
      </c>
      <c r="J1133">
        <v>8</v>
      </c>
      <c r="K1133" t="s">
        <v>66</v>
      </c>
    </row>
    <row r="1134" spans="1:11" x14ac:dyDescent="0.3">
      <c r="A1134">
        <v>29.94436993091394</v>
      </c>
      <c r="B1134">
        <v>1.038915919566793</v>
      </c>
      <c r="C1134">
        <v>2.0527101623909569</v>
      </c>
      <c r="D1134">
        <v>4.8808831624721911</v>
      </c>
      <c r="E1134">
        <v>6.1118869614562703</v>
      </c>
      <c r="F1134">
        <v>30.359334482277681</v>
      </c>
      <c r="G1134">
        <v>26.584087454901681</v>
      </c>
      <c r="H1134">
        <v>22.06785740048235</v>
      </c>
      <c r="I1134">
        <v>1208.019603425292</v>
      </c>
      <c r="J1134">
        <v>18</v>
      </c>
      <c r="K1134" t="s">
        <v>66</v>
      </c>
    </row>
    <row r="1135" spans="1:11" x14ac:dyDescent="0.3">
      <c r="A1135">
        <v>65.525850969565099</v>
      </c>
      <c r="B1135">
        <v>2.4949685423337149</v>
      </c>
      <c r="C1135">
        <v>3.6301743542487599</v>
      </c>
      <c r="D1135">
        <v>9.2331359619954476</v>
      </c>
      <c r="E1135">
        <v>5.9696215340680281</v>
      </c>
      <c r="F1135">
        <v>29.912544541103848</v>
      </c>
      <c r="G1135">
        <v>20.412955826463449</v>
      </c>
      <c r="H1135">
        <v>20.375559257583738</v>
      </c>
      <c r="I1135">
        <v>1517.2207447038891</v>
      </c>
      <c r="J1135">
        <v>25</v>
      </c>
      <c r="K1135" t="s">
        <v>66</v>
      </c>
    </row>
    <row r="1136" spans="1:11" x14ac:dyDescent="0.3">
      <c r="A1136">
        <v>15.80340554873125</v>
      </c>
      <c r="B1136">
        <v>0</v>
      </c>
      <c r="C1136">
        <v>0.96281421177213344</v>
      </c>
      <c r="D1136">
        <v>1.966029528464454</v>
      </c>
      <c r="E1136">
        <v>5.46601439839423</v>
      </c>
      <c r="F1136">
        <v>27.053165455011651</v>
      </c>
      <c r="G1136">
        <v>23.36616159600278</v>
      </c>
      <c r="H1136">
        <v>25.912578115667738</v>
      </c>
      <c r="I1136">
        <v>1958.191911529359</v>
      </c>
      <c r="J1136">
        <v>20</v>
      </c>
      <c r="K1136" t="s">
        <v>66</v>
      </c>
    </row>
    <row r="1137" spans="1:11" x14ac:dyDescent="0.3">
      <c r="A1137">
        <v>69.714050649987598</v>
      </c>
      <c r="B1137">
        <v>2.3259331998046182</v>
      </c>
      <c r="C1137">
        <v>4.6868423619084956</v>
      </c>
      <c r="D1137">
        <v>12.82099585033075</v>
      </c>
      <c r="E1137">
        <v>6.2669307995907149</v>
      </c>
      <c r="F1137">
        <v>35.181905010820103</v>
      </c>
      <c r="G1137">
        <v>26.37786572205334</v>
      </c>
      <c r="H1137">
        <v>21.53204092447212</v>
      </c>
      <c r="I1137">
        <v>1389.911054627262</v>
      </c>
      <c r="J1137">
        <v>25</v>
      </c>
      <c r="K1137" t="s">
        <v>66</v>
      </c>
    </row>
    <row r="1138" spans="1:11" x14ac:dyDescent="0.3">
      <c r="A1138">
        <v>46</v>
      </c>
      <c r="B1138">
        <v>2</v>
      </c>
      <c r="C1138">
        <v>3</v>
      </c>
      <c r="D1138">
        <v>7</v>
      </c>
      <c r="E1138">
        <v>6.1</v>
      </c>
      <c r="F1138">
        <v>23.5</v>
      </c>
      <c r="G1138">
        <v>19.5</v>
      </c>
      <c r="H1138">
        <v>30</v>
      </c>
      <c r="I1138">
        <v>2239</v>
      </c>
      <c r="J1138">
        <v>15</v>
      </c>
      <c r="K1138" t="s">
        <v>67</v>
      </c>
    </row>
    <row r="1139" spans="1:11" x14ac:dyDescent="0.3">
      <c r="A1139">
        <v>347.91788488522462</v>
      </c>
      <c r="B1139">
        <v>17.279907043107279</v>
      </c>
      <c r="C1139">
        <v>20.781177520773351</v>
      </c>
      <c r="D1139">
        <v>55.765019163296358</v>
      </c>
      <c r="E1139">
        <v>4.3</v>
      </c>
      <c r="F1139">
        <v>55.853640416503133</v>
      </c>
      <c r="G1139">
        <v>28.225758022806961</v>
      </c>
      <c r="H1139">
        <v>30.224065486478121</v>
      </c>
      <c r="I1139">
        <v>13.9585100106205</v>
      </c>
      <c r="J1139">
        <v>0</v>
      </c>
      <c r="K1139" t="s">
        <v>66</v>
      </c>
    </row>
    <row r="1140" spans="1:11" x14ac:dyDescent="0.3">
      <c r="A1140">
        <v>54.80808996709753</v>
      </c>
      <c r="B1140">
        <v>2.015496103703772</v>
      </c>
      <c r="C1140">
        <v>2.9238971767372859</v>
      </c>
      <c r="D1140">
        <v>6.6868959075183234</v>
      </c>
      <c r="E1140">
        <v>6.5491961465784492</v>
      </c>
      <c r="F1140">
        <v>31.121705749846189</v>
      </c>
      <c r="G1140">
        <v>22.259478679848399</v>
      </c>
      <c r="H1140">
        <v>20.968869952548399</v>
      </c>
      <c r="I1140">
        <v>1241.4947026771549</v>
      </c>
      <c r="J1140">
        <v>18</v>
      </c>
      <c r="K1140" t="s">
        <v>66</v>
      </c>
    </row>
    <row r="1141" spans="1:11" x14ac:dyDescent="0.3">
      <c r="A1141">
        <v>46</v>
      </c>
      <c r="B1141">
        <v>2</v>
      </c>
      <c r="C1141">
        <v>3</v>
      </c>
      <c r="D1141">
        <v>2</v>
      </c>
      <c r="E1141">
        <v>6.3</v>
      </c>
      <c r="F1141">
        <v>21.3</v>
      </c>
      <c r="G1141">
        <v>29.4</v>
      </c>
      <c r="H1141">
        <v>26</v>
      </c>
      <c r="I1141">
        <v>727</v>
      </c>
      <c r="J1141">
        <v>0</v>
      </c>
      <c r="K1141" t="s">
        <v>67</v>
      </c>
    </row>
    <row r="1142" spans="1:11" x14ac:dyDescent="0.3">
      <c r="A1142">
        <v>41</v>
      </c>
      <c r="B1142">
        <v>2</v>
      </c>
      <c r="C1142">
        <v>2</v>
      </c>
      <c r="D1142">
        <v>6</v>
      </c>
      <c r="E1142">
        <v>6</v>
      </c>
      <c r="F1142">
        <v>37</v>
      </c>
      <c r="G1142">
        <v>20.3</v>
      </c>
      <c r="H1142">
        <v>18</v>
      </c>
      <c r="I1142">
        <v>1900</v>
      </c>
      <c r="J1142">
        <v>20</v>
      </c>
      <c r="K1142" t="s">
        <v>67</v>
      </c>
    </row>
    <row r="1143" spans="1:11" x14ac:dyDescent="0.3">
      <c r="A1143">
        <v>19.171970480768518</v>
      </c>
      <c r="B1143">
        <v>0</v>
      </c>
      <c r="C1143">
        <v>0.943442363212601</v>
      </c>
      <c r="D1143">
        <v>2.9724094601390858</v>
      </c>
      <c r="E1143">
        <v>5.5388428813110622</v>
      </c>
      <c r="F1143">
        <v>25.2418692277184</v>
      </c>
      <c r="G1143">
        <v>19.61470897683704</v>
      </c>
      <c r="H1143">
        <v>22.017485254499341</v>
      </c>
      <c r="I1143">
        <v>2161.6353579005099</v>
      </c>
      <c r="J1143">
        <v>13</v>
      </c>
      <c r="K1143" t="s">
        <v>66</v>
      </c>
    </row>
    <row r="1144" spans="1:11" x14ac:dyDescent="0.3">
      <c r="A1144">
        <v>183.52056859783829</v>
      </c>
      <c r="B1144">
        <v>9.5806940273550509</v>
      </c>
      <c r="C1144">
        <v>12.23286233232705</v>
      </c>
      <c r="D1144">
        <v>30.06578019056775</v>
      </c>
      <c r="E1144">
        <v>6.1246995846533254</v>
      </c>
      <c r="F1144">
        <v>25.383328718934241</v>
      </c>
      <c r="G1144">
        <v>29.186235531472018</v>
      </c>
      <c r="H1144">
        <v>30.096793421701669</v>
      </c>
      <c r="I1144">
        <v>14.42983408714754</v>
      </c>
      <c r="J1144">
        <v>0</v>
      </c>
      <c r="K1144" t="s">
        <v>66</v>
      </c>
    </row>
    <row r="1145" spans="1:11" x14ac:dyDescent="0.3">
      <c r="A1145">
        <v>16.053592573779898</v>
      </c>
      <c r="B1145">
        <v>0</v>
      </c>
      <c r="C1145">
        <v>1.0730958976376219</v>
      </c>
      <c r="D1145">
        <v>2.0233660348344369</v>
      </c>
      <c r="E1145">
        <v>5.5111895529318948</v>
      </c>
      <c r="F1145">
        <v>28.475856605354931</v>
      </c>
      <c r="G1145">
        <v>25.089512589882482</v>
      </c>
      <c r="H1145">
        <v>25.984007077077539</v>
      </c>
      <c r="I1145">
        <v>1984.944920956618</v>
      </c>
      <c r="J1145">
        <v>20</v>
      </c>
      <c r="K1145" t="s">
        <v>66</v>
      </c>
    </row>
    <row r="1146" spans="1:11" x14ac:dyDescent="0.3">
      <c r="A1146">
        <v>9.80734320156912</v>
      </c>
      <c r="B1146">
        <v>0</v>
      </c>
      <c r="C1146">
        <v>0</v>
      </c>
      <c r="D1146">
        <v>1.0081082542900821</v>
      </c>
      <c r="E1146">
        <v>6.3066193616219648</v>
      </c>
      <c r="F1146">
        <v>29.315740646897741</v>
      </c>
      <c r="G1146">
        <v>15.9</v>
      </c>
      <c r="H1146">
        <v>22.637676012060499</v>
      </c>
      <c r="I1146">
        <v>1500.807034125947</v>
      </c>
      <c r="J1146">
        <v>30</v>
      </c>
      <c r="K1146" t="s">
        <v>66</v>
      </c>
    </row>
    <row r="1147" spans="1:11" x14ac:dyDescent="0.3">
      <c r="A1147">
        <v>46.911604718297298</v>
      </c>
      <c r="B1147">
        <v>2.0739284384396188</v>
      </c>
      <c r="C1147">
        <v>2.4757090470515219</v>
      </c>
      <c r="D1147">
        <v>6.9512565826899246</v>
      </c>
      <c r="E1147">
        <v>6.1156187380772584</v>
      </c>
      <c r="F1147">
        <v>30.431731203304619</v>
      </c>
      <c r="G1147">
        <v>18.937943958426739</v>
      </c>
      <c r="H1147">
        <v>18.86666463094711</v>
      </c>
      <c r="I1147">
        <v>1919.3437155022909</v>
      </c>
      <c r="J1147">
        <v>20</v>
      </c>
      <c r="K1147" t="s">
        <v>66</v>
      </c>
    </row>
    <row r="1148" spans="1:11" x14ac:dyDescent="0.3">
      <c r="A1148">
        <v>25.85682848060765</v>
      </c>
      <c r="B1148">
        <v>1.10760071385986</v>
      </c>
      <c r="C1148">
        <v>0.97775251032217347</v>
      </c>
      <c r="D1148">
        <v>5.0776624995997004</v>
      </c>
      <c r="E1148">
        <v>5.8302598222234554</v>
      </c>
      <c r="F1148">
        <v>22.048189939924761</v>
      </c>
      <c r="G1148">
        <v>20.28321532814293</v>
      </c>
      <c r="H1148">
        <v>26.49688151010011</v>
      </c>
      <c r="I1148">
        <v>2132.7994796475468</v>
      </c>
      <c r="J1148">
        <v>10</v>
      </c>
      <c r="K1148" t="s">
        <v>66</v>
      </c>
    </row>
    <row r="1149" spans="1:11" x14ac:dyDescent="0.3">
      <c r="A1149">
        <v>91.81654658901202</v>
      </c>
      <c r="B1149">
        <v>3.9162744721682552</v>
      </c>
      <c r="C1149">
        <v>5.8166285333590118</v>
      </c>
      <c r="D1149">
        <v>13.764437211717439</v>
      </c>
      <c r="E1149">
        <v>6.8502808943878906</v>
      </c>
      <c r="F1149">
        <v>14.375717862819331</v>
      </c>
      <c r="G1149">
        <v>33.288167371564327</v>
      </c>
      <c r="H1149">
        <v>30.51290385934518</v>
      </c>
      <c r="I1149">
        <v>46.2057848872062</v>
      </c>
      <c r="J1149">
        <v>0</v>
      </c>
      <c r="K1149" t="s">
        <v>66</v>
      </c>
    </row>
    <row r="1150" spans="1:11" x14ac:dyDescent="0.3">
      <c r="A1150">
        <v>93.754997217499408</v>
      </c>
      <c r="B1150">
        <v>3.9509164265617098</v>
      </c>
      <c r="C1150">
        <v>5.833473446210669</v>
      </c>
      <c r="D1150">
        <v>14.400801764290719</v>
      </c>
      <c r="E1150">
        <v>5.7328415961475248</v>
      </c>
      <c r="F1150">
        <v>33.38371734360512</v>
      </c>
      <c r="G1150">
        <v>24.416338792354001</v>
      </c>
      <c r="H1150">
        <v>26.001708870648748</v>
      </c>
      <c r="I1150">
        <v>693.47235218659148</v>
      </c>
      <c r="J1150">
        <v>25</v>
      </c>
      <c r="K1150" t="s">
        <v>66</v>
      </c>
    </row>
    <row r="1151" spans="1:11" x14ac:dyDescent="0.3">
      <c r="A1151">
        <v>41.428000988184181</v>
      </c>
      <c r="B1151">
        <v>0.92480306682611813</v>
      </c>
      <c r="C1151">
        <v>1.493550782956063</v>
      </c>
      <c r="D1151">
        <v>5.6929418652346184</v>
      </c>
      <c r="E1151">
        <v>5.7540582580574009</v>
      </c>
      <c r="F1151">
        <v>26.609013320494089</v>
      </c>
      <c r="G1151">
        <v>20.154689231185792</v>
      </c>
      <c r="H1151">
        <v>19.551077700218361</v>
      </c>
      <c r="I1151">
        <v>2025.7797795377419</v>
      </c>
      <c r="J1151">
        <v>40</v>
      </c>
      <c r="K1151" t="s">
        <v>66</v>
      </c>
    </row>
    <row r="1152" spans="1:11" x14ac:dyDescent="0.3">
      <c r="A1152">
        <v>573.94473297323236</v>
      </c>
      <c r="B1152">
        <v>28.400827288881469</v>
      </c>
      <c r="C1152">
        <v>39.082470672578133</v>
      </c>
      <c r="D1152">
        <v>89.918423618483004</v>
      </c>
      <c r="E1152">
        <v>6.2899100495114908</v>
      </c>
      <c r="F1152">
        <v>84.176100517769513</v>
      </c>
      <c r="G1152">
        <v>32.597217766471097</v>
      </c>
      <c r="H1152">
        <v>30.51282585160854</v>
      </c>
      <c r="I1152">
        <v>11.0027839821127</v>
      </c>
      <c r="J1152">
        <v>0</v>
      </c>
      <c r="K1152" t="s">
        <v>66</v>
      </c>
    </row>
    <row r="1153" spans="1:11" x14ac:dyDescent="0.3">
      <c r="A1153">
        <v>19.613520556261509</v>
      </c>
      <c r="B1153">
        <v>1.095287454720294</v>
      </c>
      <c r="C1153">
        <v>1.0177750106268031</v>
      </c>
      <c r="D1153">
        <v>3.0347473761680841</v>
      </c>
      <c r="E1153">
        <v>6.1677555049776247</v>
      </c>
      <c r="F1153">
        <v>32.564081573365677</v>
      </c>
      <c r="G1153">
        <v>23.159141947617641</v>
      </c>
      <c r="H1153">
        <v>19.693244325278279</v>
      </c>
      <c r="I1153">
        <v>1250.0880880471441</v>
      </c>
      <c r="J1153">
        <v>30</v>
      </c>
      <c r="K1153" t="s">
        <v>66</v>
      </c>
    </row>
    <row r="1154" spans="1:11" x14ac:dyDescent="0.3">
      <c r="A1154">
        <v>12.120659428028979</v>
      </c>
      <c r="B1154">
        <v>0</v>
      </c>
      <c r="C1154">
        <v>0</v>
      </c>
      <c r="D1154">
        <v>0.83332365932108021</v>
      </c>
      <c r="E1154">
        <v>6.2888991459163739</v>
      </c>
      <c r="F1154">
        <v>26.253060401043641</v>
      </c>
      <c r="G1154">
        <v>19.01992931805226</v>
      </c>
      <c r="H1154">
        <v>29.508106533387171</v>
      </c>
      <c r="I1154">
        <v>2257</v>
      </c>
      <c r="J1154">
        <v>15</v>
      </c>
      <c r="K1154" t="s">
        <v>66</v>
      </c>
    </row>
    <row r="1155" spans="1:11" x14ac:dyDescent="0.3">
      <c r="A1155">
        <v>84.812453169925448</v>
      </c>
      <c r="B1155">
        <v>4.1286372845356958</v>
      </c>
      <c r="C1155">
        <v>5.4224093928486141</v>
      </c>
      <c r="D1155">
        <v>13.13739915873148</v>
      </c>
      <c r="E1155">
        <v>6.0330026091048188</v>
      </c>
      <c r="F1155">
        <v>33.690090908831657</v>
      </c>
      <c r="G1155">
        <v>20.090591823850591</v>
      </c>
      <c r="H1155">
        <v>19.567322653301659</v>
      </c>
      <c r="I1155">
        <v>2168.0759158257538</v>
      </c>
      <c r="J1155">
        <v>20</v>
      </c>
      <c r="K1155" t="s">
        <v>66</v>
      </c>
    </row>
    <row r="1156" spans="1:11" x14ac:dyDescent="0.3">
      <c r="A1156">
        <v>336.3622306774231</v>
      </c>
      <c r="B1156">
        <v>18.419789036274299</v>
      </c>
      <c r="C1156">
        <v>24.40328133097838</v>
      </c>
      <c r="D1156">
        <v>62.106992805762502</v>
      </c>
      <c r="E1156">
        <v>4.5420170648595919</v>
      </c>
      <c r="F1156">
        <v>51.17045644832686</v>
      </c>
      <c r="G1156">
        <v>19.755177927334991</v>
      </c>
      <c r="H1156">
        <v>20.711529311651692</v>
      </c>
      <c r="I1156">
        <v>1570.9286667360429</v>
      </c>
      <c r="J1156">
        <v>8</v>
      </c>
      <c r="K1156" t="s">
        <v>66</v>
      </c>
    </row>
    <row r="1157" spans="1:11" x14ac:dyDescent="0.3">
      <c r="A1157">
        <v>99.381228515445514</v>
      </c>
      <c r="B1157">
        <v>4.1701959732960923</v>
      </c>
      <c r="C1157">
        <v>6.1476501691898449</v>
      </c>
      <c r="D1157">
        <v>16.450767183658421</v>
      </c>
      <c r="E1157">
        <v>5.7324808852452103</v>
      </c>
      <c r="F1157">
        <v>34.257223668097637</v>
      </c>
      <c r="G1157">
        <v>24.912756500869762</v>
      </c>
      <c r="H1157">
        <v>27.572941005569781</v>
      </c>
      <c r="I1157">
        <v>689.79567870572612</v>
      </c>
      <c r="J1157">
        <v>25</v>
      </c>
      <c r="K1157" t="s">
        <v>66</v>
      </c>
    </row>
    <row r="1158" spans="1:11" x14ac:dyDescent="0.3">
      <c r="A1158">
        <v>6.6138770719974112</v>
      </c>
      <c r="B1158">
        <v>0</v>
      </c>
      <c r="C1158">
        <v>0</v>
      </c>
      <c r="D1158">
        <v>0.86547903291913975</v>
      </c>
      <c r="E1158">
        <v>6.3004722455025419</v>
      </c>
      <c r="F1158">
        <v>24.289645209942659</v>
      </c>
      <c r="G1158">
        <v>18.77584705020141</v>
      </c>
      <c r="H1158">
        <v>16</v>
      </c>
      <c r="I1158">
        <v>1743.182350393763</v>
      </c>
      <c r="J1158">
        <v>30</v>
      </c>
      <c r="K1158" t="s">
        <v>66</v>
      </c>
    </row>
    <row r="1159" spans="1:11" x14ac:dyDescent="0.3">
      <c r="A1159">
        <v>114.8634970445468</v>
      </c>
      <c r="B1159">
        <v>6.2927233709226442</v>
      </c>
      <c r="C1159">
        <v>8.6486389164733684</v>
      </c>
      <c r="D1159">
        <v>16.759694392710589</v>
      </c>
      <c r="E1159">
        <v>4.327735400784932</v>
      </c>
      <c r="F1159">
        <v>54.953438104521517</v>
      </c>
      <c r="G1159">
        <v>19.903660475909831</v>
      </c>
      <c r="H1159">
        <v>20.917756805325961</v>
      </c>
      <c r="I1159">
        <v>1690.15863127944</v>
      </c>
      <c r="J1159">
        <v>12</v>
      </c>
      <c r="K1159" t="s">
        <v>66</v>
      </c>
    </row>
    <row r="1160" spans="1:11" x14ac:dyDescent="0.3">
      <c r="A1160">
        <v>238.4665218613878</v>
      </c>
      <c r="B1160">
        <v>10.180028940695051</v>
      </c>
      <c r="C1160">
        <v>17.104369503043419</v>
      </c>
      <c r="D1160">
        <v>43.962032639406019</v>
      </c>
      <c r="E1160">
        <v>4.9904502718193129</v>
      </c>
      <c r="F1160">
        <v>28.752286391814831</v>
      </c>
      <c r="G1160">
        <v>20.486842025386309</v>
      </c>
      <c r="H1160">
        <v>17.935038057394991</v>
      </c>
      <c r="I1160">
        <v>1536.421906774169</v>
      </c>
      <c r="J1160">
        <v>25</v>
      </c>
      <c r="K1160" t="s">
        <v>66</v>
      </c>
    </row>
    <row r="1161" spans="1:11" x14ac:dyDescent="0.3">
      <c r="A1161">
        <v>107.25097237546601</v>
      </c>
      <c r="B1161">
        <v>5.4687850688132791</v>
      </c>
      <c r="C1161">
        <v>7.6262530313017107</v>
      </c>
      <c r="D1161">
        <v>17.532691288345099</v>
      </c>
      <c r="E1161">
        <v>6.1680069415114964</v>
      </c>
      <c r="F1161">
        <v>27.347040788186259</v>
      </c>
      <c r="G1161">
        <v>19.90168452638153</v>
      </c>
      <c r="H1161">
        <v>26.680908861844902</v>
      </c>
      <c r="I1161">
        <v>2002.867483084611</v>
      </c>
      <c r="J1161">
        <v>30</v>
      </c>
      <c r="K1161" t="s">
        <v>66</v>
      </c>
    </row>
    <row r="1162" spans="1:11" x14ac:dyDescent="0.3">
      <c r="A1162">
        <v>30.868937249401629</v>
      </c>
      <c r="B1162">
        <v>0.99313659539145316</v>
      </c>
      <c r="C1162">
        <v>1.803093189903606</v>
      </c>
      <c r="D1162">
        <v>3.5694475250391768</v>
      </c>
      <c r="E1162">
        <v>5.7211329293906026</v>
      </c>
      <c r="F1162">
        <v>30.16642403619182</v>
      </c>
      <c r="G1162">
        <v>26.350524272824359</v>
      </c>
      <c r="H1162">
        <v>19.140805942183139</v>
      </c>
      <c r="I1162">
        <v>1832.355568608358</v>
      </c>
      <c r="J1162">
        <v>40</v>
      </c>
      <c r="K1162" t="s">
        <v>66</v>
      </c>
    </row>
    <row r="1163" spans="1:11" x14ac:dyDescent="0.3">
      <c r="A1163">
        <v>71.411015620427435</v>
      </c>
      <c r="B1163">
        <v>3.0265972772884311</v>
      </c>
      <c r="C1163">
        <v>5.089347358405238</v>
      </c>
      <c r="D1163">
        <v>10.20460942420242</v>
      </c>
      <c r="E1163">
        <v>6.2523819366397788</v>
      </c>
      <c r="F1163">
        <v>34.910255957808133</v>
      </c>
      <c r="G1163">
        <v>26.749580976796182</v>
      </c>
      <c r="H1163">
        <v>22.618010888846971</v>
      </c>
      <c r="I1163">
        <v>1333.881671849505</v>
      </c>
      <c r="J1163">
        <v>25</v>
      </c>
      <c r="K1163" t="s">
        <v>66</v>
      </c>
    </row>
    <row r="1164" spans="1:11" x14ac:dyDescent="0.3">
      <c r="A1164">
        <v>10.185967398424181</v>
      </c>
      <c r="B1164">
        <v>5.4209918477260626</v>
      </c>
      <c r="C1164">
        <v>6.1110009818242874</v>
      </c>
      <c r="D1164">
        <v>15.58569792547457</v>
      </c>
      <c r="E1164">
        <v>6.1829552632099478</v>
      </c>
      <c r="F1164">
        <v>30.897376702166429</v>
      </c>
      <c r="G1164">
        <v>25.166523097584101</v>
      </c>
      <c r="H1164">
        <v>26.176428302870072</v>
      </c>
      <c r="I1164">
        <v>683.85928607148844</v>
      </c>
      <c r="J1164">
        <v>25</v>
      </c>
      <c r="K1164" t="s">
        <v>66</v>
      </c>
    </row>
    <row r="1165" spans="1:11" x14ac:dyDescent="0.3">
      <c r="A1165">
        <v>637.81482414746961</v>
      </c>
      <c r="B1165">
        <v>33.086995797120167</v>
      </c>
      <c r="C1165">
        <v>38.652744755972513</v>
      </c>
      <c r="D1165">
        <v>116.8015032287622</v>
      </c>
      <c r="E1165">
        <v>5.8826030460213001</v>
      </c>
      <c r="F1165">
        <v>70.402296201156958</v>
      </c>
      <c r="G1165">
        <v>29.401609533299641</v>
      </c>
      <c r="H1165">
        <v>30.568106343288779</v>
      </c>
      <c r="I1165">
        <v>11</v>
      </c>
      <c r="J1165">
        <v>0</v>
      </c>
      <c r="K1165" t="s">
        <v>66</v>
      </c>
    </row>
    <row r="1166" spans="1:11" x14ac:dyDescent="0.3">
      <c r="A1166">
        <v>148.47447887540591</v>
      </c>
      <c r="B1166">
        <v>6.5654066812242187</v>
      </c>
      <c r="C1166">
        <v>12.067906338163549</v>
      </c>
      <c r="D1166">
        <v>25.749458866969078</v>
      </c>
      <c r="E1166">
        <v>5.759076960350777</v>
      </c>
      <c r="F1166">
        <v>24.65133787870397</v>
      </c>
      <c r="G1166">
        <v>23.99265196771853</v>
      </c>
      <c r="H1166">
        <v>19.26705845360674</v>
      </c>
      <c r="I1166">
        <v>2125.9932924065529</v>
      </c>
      <c r="J1166">
        <v>20</v>
      </c>
      <c r="K1166" t="s">
        <v>66</v>
      </c>
    </row>
    <row r="1167" spans="1:11" x14ac:dyDescent="0.3">
      <c r="A1167">
        <v>15.538486504381479</v>
      </c>
      <c r="B1167">
        <v>0</v>
      </c>
      <c r="C1167">
        <v>0.9977721020816287</v>
      </c>
      <c r="D1167">
        <v>2.3177880656888159</v>
      </c>
      <c r="E1167">
        <v>5.2853236795828824</v>
      </c>
      <c r="F1167">
        <v>26.81629604396236</v>
      </c>
      <c r="G1167">
        <v>23.413674129763731</v>
      </c>
      <c r="H1167">
        <v>27.49913630499735</v>
      </c>
      <c r="I1167">
        <v>2000.099636593782</v>
      </c>
      <c r="J1167">
        <v>20</v>
      </c>
      <c r="K1167" t="s">
        <v>66</v>
      </c>
    </row>
    <row r="1168" spans="1:11" x14ac:dyDescent="0.3">
      <c r="A1168">
        <v>130.65166880126631</v>
      </c>
      <c r="B1168">
        <v>7.2978114049289209</v>
      </c>
      <c r="C1168">
        <v>8.0859399294125325</v>
      </c>
      <c r="D1168">
        <v>22.027644411788771</v>
      </c>
      <c r="E1168">
        <v>5.8712226380315</v>
      </c>
      <c r="F1168">
        <v>26.28254009368905</v>
      </c>
      <c r="G1168">
        <v>23.925416715854109</v>
      </c>
      <c r="H1168">
        <v>18.713086659311799</v>
      </c>
      <c r="I1168">
        <v>2061.8356139372809</v>
      </c>
      <c r="J1168">
        <v>20</v>
      </c>
      <c r="K1168" t="s">
        <v>66</v>
      </c>
    </row>
    <row r="1169" spans="1:11" x14ac:dyDescent="0.3">
      <c r="A1169">
        <v>65.656264374235988</v>
      </c>
      <c r="B1169">
        <v>2.431915599913864</v>
      </c>
      <c r="C1169">
        <v>4.2771423023271247</v>
      </c>
      <c r="D1169">
        <v>12.93565790232778</v>
      </c>
      <c r="E1169">
        <v>6.2478602914785411</v>
      </c>
      <c r="F1169">
        <v>19.077729322357229</v>
      </c>
      <c r="G1169">
        <v>22.141241594263619</v>
      </c>
      <c r="H1169">
        <v>21.06389646747099</v>
      </c>
      <c r="I1169">
        <v>1571.520511400078</v>
      </c>
      <c r="J1169">
        <v>30</v>
      </c>
      <c r="K1169" t="s">
        <v>66</v>
      </c>
    </row>
    <row r="1170" spans="1:11" x14ac:dyDescent="0.3">
      <c r="A1170">
        <v>54.421328309702119</v>
      </c>
      <c r="B1170">
        <v>1.9954263875402241</v>
      </c>
      <c r="C1170">
        <v>3.4066328403316488</v>
      </c>
      <c r="D1170">
        <v>7.6206574599168277</v>
      </c>
      <c r="E1170">
        <v>6.6503481815145324</v>
      </c>
      <c r="F1170">
        <v>18.92012170553123</v>
      </c>
      <c r="G1170">
        <v>22.854544002966598</v>
      </c>
      <c r="H1170">
        <v>21.575572547067861</v>
      </c>
      <c r="I1170">
        <v>1685.134279611575</v>
      </c>
      <c r="J1170">
        <v>25</v>
      </c>
      <c r="K1170" t="s">
        <v>66</v>
      </c>
    </row>
    <row r="1171" spans="1:11" x14ac:dyDescent="0.3">
      <c r="A1171">
        <v>114.1234388521036</v>
      </c>
      <c r="B1171">
        <v>5.9427214517465563</v>
      </c>
      <c r="C1171">
        <v>8.1603677051309838</v>
      </c>
      <c r="D1171">
        <v>19.36447821196521</v>
      </c>
      <c r="E1171">
        <v>6.5333570456465226</v>
      </c>
      <c r="F1171">
        <v>19.897309569107779</v>
      </c>
      <c r="G1171">
        <v>30.048173932572901</v>
      </c>
      <c r="H1171">
        <v>31.240128543272061</v>
      </c>
      <c r="I1171">
        <v>50.172066056001903</v>
      </c>
      <c r="J1171">
        <v>0</v>
      </c>
      <c r="K1171" t="s">
        <v>66</v>
      </c>
    </row>
    <row r="1172" spans="1:11" x14ac:dyDescent="0.3">
      <c r="A1172">
        <v>31.411156781982321</v>
      </c>
      <c r="B1172">
        <v>0.91515713658091857</v>
      </c>
      <c r="C1172">
        <v>2.1693764207769828</v>
      </c>
      <c r="D1172">
        <v>3.6554761681211572</v>
      </c>
      <c r="E1172">
        <v>6.1013347046486004</v>
      </c>
      <c r="F1172">
        <v>19.528471667896259</v>
      </c>
      <c r="G1172">
        <v>19.87570298654358</v>
      </c>
      <c r="H1172">
        <v>18.910510167990321</v>
      </c>
      <c r="I1172">
        <v>1982.734909104518</v>
      </c>
      <c r="J1172">
        <v>40</v>
      </c>
      <c r="K1172" t="s">
        <v>66</v>
      </c>
    </row>
    <row r="1173" spans="1:11" x14ac:dyDescent="0.3">
      <c r="A1173">
        <v>103.9189761387386</v>
      </c>
      <c r="B1173">
        <v>5.3789609249618104</v>
      </c>
      <c r="C1173">
        <v>8.4525455275439789</v>
      </c>
      <c r="D1173">
        <v>17.05917281884971</v>
      </c>
      <c r="E1173">
        <v>5.8695362796133166</v>
      </c>
      <c r="F1173">
        <v>42.151601831073918</v>
      </c>
      <c r="G1173">
        <v>24.41174438549525</v>
      </c>
      <c r="H1173">
        <v>18.054498463700959</v>
      </c>
      <c r="I1173">
        <v>2051.7337457893991</v>
      </c>
      <c r="J1173">
        <v>20</v>
      </c>
      <c r="K1173" t="s">
        <v>66</v>
      </c>
    </row>
    <row r="1174" spans="1:11" x14ac:dyDescent="0.3">
      <c r="A1174">
        <v>26.158478320374321</v>
      </c>
      <c r="B1174">
        <v>1.098572999567986</v>
      </c>
      <c r="C1174">
        <v>1.8575558472701901</v>
      </c>
      <c r="D1174">
        <v>3.9854677567830632</v>
      </c>
      <c r="E1174">
        <v>6.1852786753550282</v>
      </c>
      <c r="F1174">
        <v>22.594127578596691</v>
      </c>
      <c r="G1174">
        <v>17.721009763128411</v>
      </c>
      <c r="H1174">
        <v>25.795136365092262</v>
      </c>
      <c r="I1174">
        <v>1626.508239565477</v>
      </c>
      <c r="J1174">
        <v>20</v>
      </c>
      <c r="K1174" t="s">
        <v>66</v>
      </c>
    </row>
    <row r="1175" spans="1:11" x14ac:dyDescent="0.3">
      <c r="A1175">
        <v>125.2316275979544</v>
      </c>
      <c r="B1175">
        <v>5.2454532846512301</v>
      </c>
      <c r="C1175">
        <v>7.0172449349873904</v>
      </c>
      <c r="D1175">
        <v>16.97494206940225</v>
      </c>
      <c r="E1175">
        <v>6.0356585344799658</v>
      </c>
      <c r="F1175">
        <v>19.903347096846659</v>
      </c>
      <c r="G1175">
        <v>22.669344021272121</v>
      </c>
      <c r="H1175">
        <v>25.098308610076892</v>
      </c>
      <c r="I1175">
        <v>693.37651636322539</v>
      </c>
      <c r="J1175">
        <v>25</v>
      </c>
      <c r="K1175" t="s">
        <v>66</v>
      </c>
    </row>
    <row r="1176" spans="1:11" x14ac:dyDescent="0.3">
      <c r="A1176">
        <v>95.011460894120006</v>
      </c>
      <c r="B1176">
        <v>4.3271558632100113</v>
      </c>
      <c r="C1176">
        <v>6.0236682289444436</v>
      </c>
      <c r="D1176">
        <v>14.756403121649971</v>
      </c>
      <c r="E1176">
        <v>6.0667420311103264</v>
      </c>
      <c r="F1176">
        <v>35.924265636282058</v>
      </c>
      <c r="G1176">
        <v>21.246385352624991</v>
      </c>
      <c r="H1176">
        <v>20.145470108381492</v>
      </c>
      <c r="I1176">
        <v>1553.1329980729711</v>
      </c>
      <c r="J1176">
        <v>40</v>
      </c>
      <c r="K1176" t="s">
        <v>66</v>
      </c>
    </row>
    <row r="1177" spans="1:11" x14ac:dyDescent="0.3">
      <c r="A1177">
        <v>19.51138127509715</v>
      </c>
      <c r="B1177">
        <v>0</v>
      </c>
      <c r="C1177">
        <v>1.0813980860197741</v>
      </c>
      <c r="D1177">
        <v>2.8290903111222812</v>
      </c>
      <c r="E1177">
        <v>5.6218529348556556</v>
      </c>
      <c r="F1177">
        <v>26.331939200120871</v>
      </c>
      <c r="G1177">
        <v>20.738726576005291</v>
      </c>
      <c r="H1177">
        <v>21.831477659628192</v>
      </c>
      <c r="I1177">
        <v>2093.9836514177932</v>
      </c>
      <c r="J1177">
        <v>13</v>
      </c>
      <c r="K1177" t="s">
        <v>66</v>
      </c>
    </row>
    <row r="1178" spans="1:11" x14ac:dyDescent="0.3">
      <c r="A1178">
        <v>13.752772067775039</v>
      </c>
      <c r="B1178">
        <v>0</v>
      </c>
      <c r="C1178">
        <v>0</v>
      </c>
      <c r="D1178">
        <v>2.0274704958814072</v>
      </c>
      <c r="E1178">
        <v>5.6306433668483562</v>
      </c>
      <c r="F1178">
        <v>26.089740804935811</v>
      </c>
      <c r="G1178">
        <v>19.67823717341065</v>
      </c>
      <c r="H1178">
        <v>24.628204951430519</v>
      </c>
      <c r="I1178">
        <v>2257</v>
      </c>
      <c r="J1178">
        <v>10</v>
      </c>
      <c r="K1178" t="s">
        <v>66</v>
      </c>
    </row>
    <row r="1179" spans="1:11" x14ac:dyDescent="0.3">
      <c r="A1179">
        <v>93.003397390541409</v>
      </c>
      <c r="B1179">
        <v>4.2213004879939131</v>
      </c>
      <c r="C1179">
        <v>6.5576459908744891</v>
      </c>
      <c r="D1179">
        <v>13.4176789119846</v>
      </c>
      <c r="E1179">
        <v>6.4018799468681546</v>
      </c>
      <c r="F1179">
        <v>36.465241165475589</v>
      </c>
      <c r="G1179">
        <v>20.355597597691389</v>
      </c>
      <c r="H1179">
        <v>28.488790254392299</v>
      </c>
      <c r="I1179">
        <v>2072.0480117286779</v>
      </c>
      <c r="J1179">
        <v>25</v>
      </c>
      <c r="K1179" t="s">
        <v>66</v>
      </c>
    </row>
    <row r="1180" spans="1:11" x14ac:dyDescent="0.3">
      <c r="A1180">
        <v>191.2125061723053</v>
      </c>
      <c r="B1180">
        <v>8.9761308666758453</v>
      </c>
      <c r="C1180">
        <v>11.986191169911869</v>
      </c>
      <c r="D1180">
        <v>30.872894190412332</v>
      </c>
      <c r="E1180">
        <v>5.6265171817662081</v>
      </c>
      <c r="F1180">
        <v>41.827091708764961</v>
      </c>
      <c r="G1180">
        <v>25.540814126266842</v>
      </c>
      <c r="H1180">
        <v>19.835526507803689</v>
      </c>
      <c r="I1180">
        <v>2067.013847319904</v>
      </c>
      <c r="J1180">
        <v>20</v>
      </c>
      <c r="K1180" t="s">
        <v>66</v>
      </c>
    </row>
    <row r="1181" spans="1:11" x14ac:dyDescent="0.3">
      <c r="A1181">
        <v>55.341128213130332</v>
      </c>
      <c r="B1181">
        <v>1.941637746216891</v>
      </c>
      <c r="C1181">
        <v>2.6849577781193559</v>
      </c>
      <c r="D1181">
        <v>7.6081407504135399</v>
      </c>
      <c r="E1181">
        <v>5.8682402257352164</v>
      </c>
      <c r="F1181">
        <v>24.595470471937951</v>
      </c>
      <c r="G1181">
        <v>17.572567880964389</v>
      </c>
      <c r="H1181">
        <v>22.178187376477421</v>
      </c>
      <c r="I1181">
        <v>1741.621068500416</v>
      </c>
      <c r="J1181">
        <v>25</v>
      </c>
      <c r="K1181" t="s">
        <v>66</v>
      </c>
    </row>
    <row r="1182" spans="1:11" x14ac:dyDescent="0.3">
      <c r="A1182">
        <v>347.18278725122087</v>
      </c>
      <c r="B1182">
        <v>16.031386652310381</v>
      </c>
      <c r="C1182">
        <v>24.198943781531771</v>
      </c>
      <c r="D1182">
        <v>56.027461631187172</v>
      </c>
      <c r="E1182">
        <v>4.3199601388618536</v>
      </c>
      <c r="F1182">
        <v>58.37648282509312</v>
      </c>
      <c r="G1182">
        <v>29.798907532384131</v>
      </c>
      <c r="H1182">
        <v>32.399832278957497</v>
      </c>
      <c r="I1182">
        <v>13.72622876770823</v>
      </c>
      <c r="J1182">
        <v>0</v>
      </c>
      <c r="K1182" t="s">
        <v>66</v>
      </c>
    </row>
    <row r="1183" spans="1:11" x14ac:dyDescent="0.3">
      <c r="A1183">
        <v>45.219771221734867</v>
      </c>
      <c r="B1183">
        <v>1.8454244664352779</v>
      </c>
      <c r="C1183">
        <v>3.3718752019324691</v>
      </c>
      <c r="D1183">
        <v>6.4074959889787149</v>
      </c>
      <c r="E1183">
        <v>6.1534214260710502</v>
      </c>
      <c r="F1183">
        <v>31.703622523083119</v>
      </c>
      <c r="G1183">
        <v>18.502796154466392</v>
      </c>
      <c r="H1183">
        <v>17.886794403553651</v>
      </c>
      <c r="I1183">
        <v>1949.162619922907</v>
      </c>
      <c r="J1183">
        <v>20</v>
      </c>
      <c r="K1183" t="s">
        <v>66</v>
      </c>
    </row>
    <row r="1184" spans="1:11" x14ac:dyDescent="0.3">
      <c r="A1184">
        <v>111.2564752427993</v>
      </c>
      <c r="B1184">
        <v>5.4475191570380579</v>
      </c>
      <c r="C1184">
        <v>7.574265149498248</v>
      </c>
      <c r="D1184">
        <v>18.026116198672781</v>
      </c>
      <c r="E1184">
        <v>5.4954381044200939</v>
      </c>
      <c r="F1184">
        <v>46.418759284607752</v>
      </c>
      <c r="G1184">
        <v>23.14337645669913</v>
      </c>
      <c r="H1184">
        <v>27.09941041524144</v>
      </c>
      <c r="I1184">
        <v>1842.495306003736</v>
      </c>
      <c r="J1184">
        <v>25</v>
      </c>
      <c r="K1184" t="s">
        <v>66</v>
      </c>
    </row>
    <row r="1185" spans="1:11" x14ac:dyDescent="0.3">
      <c r="A1185">
        <v>30</v>
      </c>
      <c r="B1185">
        <v>1</v>
      </c>
      <c r="C1185">
        <v>2</v>
      </c>
      <c r="D1185">
        <v>4</v>
      </c>
      <c r="E1185">
        <v>5.4</v>
      </c>
      <c r="F1185">
        <v>33.4</v>
      </c>
      <c r="G1185">
        <v>17.399999999999999</v>
      </c>
      <c r="H1185">
        <v>21</v>
      </c>
      <c r="I1185">
        <v>1751</v>
      </c>
      <c r="J1185">
        <v>35</v>
      </c>
      <c r="K1185" t="s">
        <v>67</v>
      </c>
    </row>
    <row r="1186" spans="1:11" x14ac:dyDescent="0.3">
      <c r="A1186">
        <v>40.705581321108163</v>
      </c>
      <c r="B1186">
        <v>2.120241349785823</v>
      </c>
      <c r="C1186">
        <v>3.2518405513555209</v>
      </c>
      <c r="D1186">
        <v>6.7811320879873502</v>
      </c>
      <c r="E1186">
        <v>6.2633978439165592</v>
      </c>
      <c r="F1186">
        <v>39.393898070976768</v>
      </c>
      <c r="G1186">
        <v>23.25384297827652</v>
      </c>
      <c r="H1186">
        <v>20.926031510782732</v>
      </c>
      <c r="I1186">
        <v>1643.1751333239511</v>
      </c>
      <c r="J1186">
        <v>25</v>
      </c>
      <c r="K1186" t="s">
        <v>66</v>
      </c>
    </row>
    <row r="1187" spans="1:11" x14ac:dyDescent="0.3">
      <c r="A1187">
        <v>20.76842082338209</v>
      </c>
      <c r="B1187">
        <v>0.97323589091012064</v>
      </c>
      <c r="C1187">
        <v>1.009781329309331</v>
      </c>
      <c r="D1187">
        <v>2.5502456394126898</v>
      </c>
      <c r="E1187">
        <v>6.340467782449676</v>
      </c>
      <c r="F1187">
        <v>27.23094336037099</v>
      </c>
      <c r="G1187">
        <v>22.093376440591431</v>
      </c>
      <c r="H1187">
        <v>23.479916773543511</v>
      </c>
      <c r="I1187">
        <v>1759.1568817042021</v>
      </c>
      <c r="J1187">
        <v>17</v>
      </c>
      <c r="K1187" t="s">
        <v>66</v>
      </c>
    </row>
    <row r="1188" spans="1:11" x14ac:dyDescent="0.3">
      <c r="A1188">
        <v>742.00619518825113</v>
      </c>
      <c r="B1188">
        <v>34.663838444362177</v>
      </c>
      <c r="C1188">
        <v>67</v>
      </c>
      <c r="D1188">
        <v>130.81086924514031</v>
      </c>
      <c r="E1188">
        <v>5.6053793335628024</v>
      </c>
      <c r="F1188">
        <v>46.456232896578108</v>
      </c>
      <c r="G1188">
        <v>18.45999680654354</v>
      </c>
      <c r="H1188">
        <v>22.29503048252629</v>
      </c>
      <c r="I1188">
        <v>1498.747743693425</v>
      </c>
      <c r="J1188">
        <v>30</v>
      </c>
      <c r="K1188" t="s">
        <v>66</v>
      </c>
    </row>
    <row r="1189" spans="1:11" x14ac:dyDescent="0.3">
      <c r="A1189">
        <v>53.264904273948133</v>
      </c>
      <c r="B1189">
        <v>2.191060111647551</v>
      </c>
      <c r="C1189">
        <v>2.820699695023543</v>
      </c>
      <c r="D1189">
        <v>7.3034177826850071</v>
      </c>
      <c r="E1189">
        <v>6.0728746818122028</v>
      </c>
      <c r="F1189">
        <v>27.548557713317329</v>
      </c>
      <c r="G1189">
        <v>24.793215624244549</v>
      </c>
      <c r="H1189">
        <v>25.048961560344509</v>
      </c>
      <c r="I1189">
        <v>1470.855835467836</v>
      </c>
      <c r="J1189">
        <v>30</v>
      </c>
      <c r="K1189" t="s">
        <v>66</v>
      </c>
    </row>
    <row r="1190" spans="1:11" x14ac:dyDescent="0.3">
      <c r="A1190">
        <v>76.699723705755588</v>
      </c>
      <c r="B1190">
        <v>3.6222248009249922</v>
      </c>
      <c r="C1190">
        <v>6.04792175090458</v>
      </c>
      <c r="D1190">
        <v>11.99875854498975</v>
      </c>
      <c r="E1190">
        <v>6.3437130503181303</v>
      </c>
      <c r="F1190">
        <v>28.60224014822845</v>
      </c>
      <c r="G1190">
        <v>22.163742307989938</v>
      </c>
      <c r="H1190">
        <v>20.33323931639104</v>
      </c>
      <c r="I1190">
        <v>1526.7320173320941</v>
      </c>
      <c r="J1190">
        <v>40</v>
      </c>
      <c r="K1190" t="s">
        <v>66</v>
      </c>
    </row>
    <row r="1191" spans="1:11" x14ac:dyDescent="0.3">
      <c r="A1191">
        <v>44.799479911096228</v>
      </c>
      <c r="B1191">
        <v>1.939254794244667</v>
      </c>
      <c r="C1191">
        <v>3.093713463139971</v>
      </c>
      <c r="D1191">
        <v>7.4892437795565518</v>
      </c>
      <c r="E1191">
        <v>6.1765622270873726</v>
      </c>
      <c r="F1191">
        <v>30.43099761725939</v>
      </c>
      <c r="G1191">
        <v>21.849401975556749</v>
      </c>
      <c r="H1191">
        <v>27.035579081035959</v>
      </c>
      <c r="I1191">
        <v>1406.505314010263</v>
      </c>
      <c r="J1191">
        <v>18</v>
      </c>
      <c r="K1191" t="s">
        <v>66</v>
      </c>
    </row>
    <row r="1192" spans="1:11" x14ac:dyDescent="0.3">
      <c r="A1192">
        <v>104.8687054058427</v>
      </c>
      <c r="B1192">
        <v>5.6643204141241146</v>
      </c>
      <c r="C1192">
        <v>7.7205891706687284</v>
      </c>
      <c r="D1192">
        <v>17.450470651375941</v>
      </c>
      <c r="E1192">
        <v>6.2402700217021589</v>
      </c>
      <c r="F1192">
        <v>27.666325747002119</v>
      </c>
      <c r="G1192">
        <v>21.10378945103572</v>
      </c>
      <c r="H1192">
        <v>27.14879982247842</v>
      </c>
      <c r="I1192">
        <v>1971.466239562938</v>
      </c>
      <c r="J1192">
        <v>30</v>
      </c>
      <c r="K1192" t="s">
        <v>66</v>
      </c>
    </row>
    <row r="1193" spans="1:11" x14ac:dyDescent="0.3">
      <c r="A1193">
        <v>77.911352237009993</v>
      </c>
      <c r="B1193">
        <v>3.3952792606823881</v>
      </c>
      <c r="C1193">
        <v>4.8109960504908917</v>
      </c>
      <c r="D1193">
        <v>12.518660028911111</v>
      </c>
      <c r="E1193">
        <v>6.0255347946991051</v>
      </c>
      <c r="F1193">
        <v>36.505439577624017</v>
      </c>
      <c r="G1193">
        <v>26.98020568894183</v>
      </c>
      <c r="H1193">
        <v>22.267861176017309</v>
      </c>
      <c r="I1193">
        <v>1359.066842273515</v>
      </c>
      <c r="J1193">
        <v>25</v>
      </c>
      <c r="K1193" t="s">
        <v>66</v>
      </c>
    </row>
    <row r="1194" spans="1:11" x14ac:dyDescent="0.3">
      <c r="A1194">
        <v>24</v>
      </c>
      <c r="B1194">
        <v>1</v>
      </c>
      <c r="C1194">
        <v>1</v>
      </c>
      <c r="D1194">
        <v>3</v>
      </c>
      <c r="E1194">
        <v>5.7</v>
      </c>
      <c r="F1194">
        <v>23.2</v>
      </c>
      <c r="G1194">
        <v>20.100000000000001</v>
      </c>
      <c r="H1194">
        <v>20.3</v>
      </c>
      <c r="I1194">
        <v>1894</v>
      </c>
      <c r="J1194">
        <v>12</v>
      </c>
      <c r="K1194" t="s">
        <v>67</v>
      </c>
    </row>
    <row r="1195" spans="1:11" x14ac:dyDescent="0.3">
      <c r="A1195">
        <v>29.3770681291488</v>
      </c>
      <c r="B1195">
        <v>1.0462172666081939</v>
      </c>
      <c r="C1195">
        <v>1.679945779099258</v>
      </c>
      <c r="D1195">
        <v>3.7905696046373669</v>
      </c>
      <c r="E1195">
        <v>5.6114428966568193</v>
      </c>
      <c r="F1195">
        <v>31.144118016922761</v>
      </c>
      <c r="G1195">
        <v>27.162972628634179</v>
      </c>
      <c r="H1195">
        <v>19.287707160465121</v>
      </c>
      <c r="I1195">
        <v>1846.476499410493</v>
      </c>
      <c r="J1195">
        <v>40</v>
      </c>
      <c r="K1195" t="s">
        <v>66</v>
      </c>
    </row>
    <row r="1196" spans="1:11" x14ac:dyDescent="0.3">
      <c r="A1196">
        <v>52</v>
      </c>
      <c r="B1196">
        <v>2</v>
      </c>
      <c r="C1196">
        <v>3</v>
      </c>
      <c r="D1196">
        <v>8</v>
      </c>
      <c r="E1196">
        <v>6.6</v>
      </c>
      <c r="F1196">
        <v>21</v>
      </c>
      <c r="G1196">
        <v>22.9</v>
      </c>
      <c r="H1196">
        <v>21</v>
      </c>
      <c r="I1196">
        <v>1731</v>
      </c>
      <c r="J1196">
        <v>25</v>
      </c>
      <c r="K1196" t="s">
        <v>67</v>
      </c>
    </row>
    <row r="1197" spans="1:11" x14ac:dyDescent="0.3">
      <c r="A1197">
        <v>73.328276218903497</v>
      </c>
      <c r="B1197">
        <v>3.277864620672478</v>
      </c>
      <c r="C1197">
        <v>4.9581410200753941</v>
      </c>
      <c r="D1197">
        <v>13.092502199622681</v>
      </c>
      <c r="E1197">
        <v>5.3378047044246939</v>
      </c>
      <c r="F1197">
        <v>27.49237514211141</v>
      </c>
      <c r="G1197">
        <v>18.07004486595191</v>
      </c>
      <c r="H1197">
        <v>18.287292113427309</v>
      </c>
      <c r="I1197">
        <v>1876.494425833996</v>
      </c>
      <c r="J1197">
        <v>20</v>
      </c>
      <c r="K1197" t="s">
        <v>66</v>
      </c>
    </row>
    <row r="1198" spans="1:11" x14ac:dyDescent="0.3">
      <c r="A1198">
        <v>547.05322972268004</v>
      </c>
      <c r="B1198">
        <v>26.73369727978498</v>
      </c>
      <c r="C1198">
        <v>38.908918214354841</v>
      </c>
      <c r="D1198">
        <v>84.239571161207877</v>
      </c>
      <c r="E1198">
        <v>5.3552199050480853</v>
      </c>
      <c r="F1198">
        <v>67.104308445842733</v>
      </c>
      <c r="G1198">
        <v>30.747291062921171</v>
      </c>
      <c r="H1198">
        <v>30.657705797606379</v>
      </c>
      <c r="I1198">
        <v>11</v>
      </c>
      <c r="J1198">
        <v>0</v>
      </c>
      <c r="K1198" t="s">
        <v>66</v>
      </c>
    </row>
    <row r="1199" spans="1:11" x14ac:dyDescent="0.3">
      <c r="A1199">
        <v>55.393035887801069</v>
      </c>
      <c r="B1199">
        <v>1.8997195706228731</v>
      </c>
      <c r="C1199">
        <v>2.8048020517894852</v>
      </c>
      <c r="D1199">
        <v>6.9715271993951777</v>
      </c>
      <c r="E1199">
        <v>5.664781294733487</v>
      </c>
      <c r="F1199">
        <v>20.8992672564755</v>
      </c>
      <c r="G1199">
        <v>22.364206403897239</v>
      </c>
      <c r="H1199">
        <v>29.166021215336261</v>
      </c>
      <c r="I1199">
        <v>1679.169026600448</v>
      </c>
      <c r="J1199">
        <v>15</v>
      </c>
      <c r="K1199" t="s">
        <v>66</v>
      </c>
    </row>
    <row r="1200" spans="1:11" x14ac:dyDescent="0.3">
      <c r="A1200">
        <v>13</v>
      </c>
      <c r="B1200">
        <v>0</v>
      </c>
      <c r="C1200">
        <v>0</v>
      </c>
      <c r="D1200">
        <v>2</v>
      </c>
      <c r="E1200">
        <v>5.4</v>
      </c>
      <c r="F1200">
        <v>28</v>
      </c>
      <c r="G1200">
        <v>19.899999999999999</v>
      </c>
      <c r="H1200">
        <v>25.9</v>
      </c>
      <c r="I1200">
        <v>2193</v>
      </c>
      <c r="J1200">
        <v>10</v>
      </c>
      <c r="K1200" t="s">
        <v>67</v>
      </c>
    </row>
    <row r="1201" spans="1:11" x14ac:dyDescent="0.3">
      <c r="A1201">
        <v>128</v>
      </c>
      <c r="B1201">
        <v>6</v>
      </c>
      <c r="C1201">
        <v>8</v>
      </c>
      <c r="D1201">
        <v>20</v>
      </c>
      <c r="E1201">
        <v>6.1</v>
      </c>
      <c r="F1201">
        <v>18.3</v>
      </c>
      <c r="G1201">
        <v>24.7</v>
      </c>
      <c r="H1201">
        <v>25.1</v>
      </c>
      <c r="I1201">
        <v>682</v>
      </c>
      <c r="J1201">
        <v>25</v>
      </c>
      <c r="K1201" t="s">
        <v>67</v>
      </c>
    </row>
    <row r="1202" spans="1:11" x14ac:dyDescent="0.3">
      <c r="A1202">
        <v>7.9006759311374513</v>
      </c>
      <c r="B1202">
        <v>0</v>
      </c>
      <c r="C1202">
        <v>0</v>
      </c>
      <c r="D1202">
        <v>0.76156932112142539</v>
      </c>
      <c r="E1202">
        <v>6.2837169949944576</v>
      </c>
      <c r="F1202">
        <v>24.462350004086002</v>
      </c>
      <c r="G1202">
        <v>18.431289495188871</v>
      </c>
      <c r="H1202">
        <v>16</v>
      </c>
      <c r="I1202">
        <v>1768.4148204628921</v>
      </c>
      <c r="J1202">
        <v>30</v>
      </c>
      <c r="K1202" t="s">
        <v>66</v>
      </c>
    </row>
    <row r="1203" spans="1:11" x14ac:dyDescent="0.3">
      <c r="A1203">
        <v>13</v>
      </c>
      <c r="B1203">
        <v>0</v>
      </c>
      <c r="C1203">
        <v>0</v>
      </c>
      <c r="D1203">
        <v>2</v>
      </c>
      <c r="E1203">
        <v>5.0999999999999996</v>
      </c>
      <c r="F1203">
        <v>26.9</v>
      </c>
      <c r="G1203">
        <v>20.7</v>
      </c>
      <c r="H1203">
        <v>22.1</v>
      </c>
      <c r="I1203">
        <v>2088</v>
      </c>
      <c r="J1203">
        <v>13</v>
      </c>
      <c r="K1203" t="s">
        <v>67</v>
      </c>
    </row>
    <row r="1204" spans="1:11" x14ac:dyDescent="0.3">
      <c r="A1204">
        <v>677.83066405754857</v>
      </c>
      <c r="B1204">
        <v>30.735842596049821</v>
      </c>
      <c r="C1204">
        <v>47.743019359018973</v>
      </c>
      <c r="D1204">
        <v>126.2450725892089</v>
      </c>
      <c r="E1204">
        <v>6.0181688875286419</v>
      </c>
      <c r="F1204">
        <v>70.08086521100256</v>
      </c>
      <c r="G1204">
        <v>28.434232356022129</v>
      </c>
      <c r="H1204">
        <v>32.499449720950302</v>
      </c>
      <c r="I1204">
        <v>11</v>
      </c>
      <c r="J1204">
        <v>0</v>
      </c>
      <c r="K1204" t="s">
        <v>66</v>
      </c>
    </row>
    <row r="1205" spans="1:11" x14ac:dyDescent="0.3">
      <c r="A1205">
        <v>264.07438956230118</v>
      </c>
      <c r="B1205">
        <v>13.5819627898232</v>
      </c>
      <c r="C1205">
        <v>18.061214573210659</v>
      </c>
      <c r="D1205">
        <v>46.218130409282189</v>
      </c>
      <c r="E1205">
        <v>5.4245486000787428</v>
      </c>
      <c r="F1205">
        <v>29.339060130128971</v>
      </c>
      <c r="G1205">
        <v>20.765654310412369</v>
      </c>
      <c r="H1205">
        <v>17.37093249332418</v>
      </c>
      <c r="I1205">
        <v>1516.3462625674331</v>
      </c>
      <c r="J1205">
        <v>25</v>
      </c>
      <c r="K1205" t="s">
        <v>66</v>
      </c>
    </row>
    <row r="1206" spans="1:11" x14ac:dyDescent="0.3">
      <c r="A1206">
        <v>15.50427546892557</v>
      </c>
      <c r="B1206">
        <v>0</v>
      </c>
      <c r="C1206">
        <v>0</v>
      </c>
      <c r="D1206">
        <v>2.07663363795178</v>
      </c>
      <c r="E1206">
        <v>5.4216754589831986</v>
      </c>
      <c r="F1206">
        <v>28.37633729897702</v>
      </c>
      <c r="G1206">
        <v>19.71405408464517</v>
      </c>
      <c r="H1206">
        <v>24.947481711307159</v>
      </c>
      <c r="I1206">
        <v>2257</v>
      </c>
      <c r="J1206">
        <v>10</v>
      </c>
      <c r="K1206" t="s">
        <v>66</v>
      </c>
    </row>
    <row r="1207" spans="1:11" x14ac:dyDescent="0.3">
      <c r="A1207">
        <v>120.1836305495013</v>
      </c>
      <c r="B1207">
        <v>5.3823770950907566</v>
      </c>
      <c r="C1207">
        <v>7.6822437470832101</v>
      </c>
      <c r="D1207">
        <v>23.800536848621931</v>
      </c>
      <c r="E1207">
        <v>4.9154932020605253</v>
      </c>
      <c r="F1207">
        <v>52.180726064395927</v>
      </c>
      <c r="G1207">
        <v>20.001755580007661</v>
      </c>
      <c r="H1207">
        <v>20.526104419939369</v>
      </c>
      <c r="I1207">
        <v>1649.9416821988821</v>
      </c>
      <c r="J1207">
        <v>12</v>
      </c>
      <c r="K1207" t="s">
        <v>66</v>
      </c>
    </row>
    <row r="1208" spans="1:11" x14ac:dyDescent="0.3">
      <c r="A1208">
        <v>10.76156203863483</v>
      </c>
      <c r="B1208">
        <v>0</v>
      </c>
      <c r="C1208">
        <v>0</v>
      </c>
      <c r="D1208">
        <v>1.0198393517177491</v>
      </c>
      <c r="E1208">
        <v>6.3089915326607606</v>
      </c>
      <c r="F1208">
        <v>29.589658424439421</v>
      </c>
      <c r="G1208">
        <v>15.93676649762897</v>
      </c>
      <c r="H1208">
        <v>23.251037535834151</v>
      </c>
      <c r="I1208">
        <v>1466.271478583524</v>
      </c>
      <c r="J1208">
        <v>30</v>
      </c>
      <c r="K1208" t="s">
        <v>66</v>
      </c>
    </row>
    <row r="1209" spans="1:11" x14ac:dyDescent="0.3">
      <c r="A1209">
        <v>78.401796106948595</v>
      </c>
      <c r="B1209">
        <v>2.7293845336927469</v>
      </c>
      <c r="C1209">
        <v>4.3420920917862462</v>
      </c>
      <c r="D1209">
        <v>9.6817686625527504</v>
      </c>
      <c r="E1209">
        <v>6.0006735061567573</v>
      </c>
      <c r="F1209">
        <v>29.075212341466582</v>
      </c>
      <c r="G1209">
        <v>17.830811071676472</v>
      </c>
      <c r="H1209">
        <v>29.199383244865022</v>
      </c>
      <c r="I1209">
        <v>1626.3314291762899</v>
      </c>
      <c r="J1209">
        <v>20</v>
      </c>
      <c r="K1209" t="s">
        <v>66</v>
      </c>
    </row>
    <row r="1210" spans="1:11" x14ac:dyDescent="0.3">
      <c r="A1210">
        <v>253.6080429547346</v>
      </c>
      <c r="B1210">
        <v>13.256781247945741</v>
      </c>
      <c r="C1210">
        <v>19.552002321396561</v>
      </c>
      <c r="D1210">
        <v>44.224265469182853</v>
      </c>
      <c r="E1210">
        <v>5.2349729004817469</v>
      </c>
      <c r="F1210">
        <v>29.02318453369492</v>
      </c>
      <c r="G1210">
        <v>20.517543367084102</v>
      </c>
      <c r="H1210">
        <v>19.19868184418727</v>
      </c>
      <c r="I1210">
        <v>1612.061358995956</v>
      </c>
      <c r="J1210">
        <v>25</v>
      </c>
      <c r="K1210" t="s">
        <v>66</v>
      </c>
    </row>
    <row r="1211" spans="1:11" x14ac:dyDescent="0.3">
      <c r="A1211">
        <v>27</v>
      </c>
      <c r="B1211">
        <v>1</v>
      </c>
      <c r="C1211">
        <v>1</v>
      </c>
      <c r="D1211">
        <v>4</v>
      </c>
      <c r="E1211">
        <v>6</v>
      </c>
      <c r="F1211">
        <v>19.600000000000001</v>
      </c>
      <c r="G1211">
        <v>30.7</v>
      </c>
      <c r="H1211">
        <v>26</v>
      </c>
      <c r="I1211">
        <v>727</v>
      </c>
      <c r="J1211">
        <v>0</v>
      </c>
      <c r="K1211" t="s">
        <v>67</v>
      </c>
    </row>
    <row r="1212" spans="1:11" x14ac:dyDescent="0.3">
      <c r="A1212">
        <v>42.709217265128487</v>
      </c>
      <c r="B1212">
        <v>2.3517240968390269</v>
      </c>
      <c r="C1212">
        <v>2.981063096066626</v>
      </c>
      <c r="D1212">
        <v>6.5454446262702826</v>
      </c>
      <c r="E1212">
        <v>6.2439586006221539</v>
      </c>
      <c r="F1212">
        <v>24.282406442855009</v>
      </c>
      <c r="G1212">
        <v>20.559155649876281</v>
      </c>
      <c r="H1212">
        <v>29.64647908480697</v>
      </c>
      <c r="I1212">
        <v>2257</v>
      </c>
      <c r="J1212">
        <v>15</v>
      </c>
      <c r="K1212" t="s">
        <v>66</v>
      </c>
    </row>
    <row r="1213" spans="1:11" x14ac:dyDescent="0.3">
      <c r="A1213">
        <v>12.116453995738979</v>
      </c>
      <c r="B1213">
        <v>0</v>
      </c>
      <c r="C1213">
        <v>0</v>
      </c>
      <c r="D1213">
        <v>0.90235999513362031</v>
      </c>
      <c r="E1213">
        <v>6.2332234657346639</v>
      </c>
      <c r="F1213">
        <v>20.2033754653886</v>
      </c>
      <c r="G1213">
        <v>18.54930326897075</v>
      </c>
      <c r="H1213">
        <v>18.67695342484226</v>
      </c>
      <c r="I1213">
        <v>1743.166886925776</v>
      </c>
      <c r="J1213">
        <v>40</v>
      </c>
      <c r="K1213" t="s">
        <v>66</v>
      </c>
    </row>
    <row r="1214" spans="1:11" x14ac:dyDescent="0.3">
      <c r="A1214">
        <v>22.197883566268821</v>
      </c>
      <c r="B1214">
        <v>1.0595029465835559</v>
      </c>
      <c r="C1214">
        <v>1.048730523704499</v>
      </c>
      <c r="D1214">
        <v>2.982383871868612</v>
      </c>
      <c r="E1214">
        <v>6.1005182925921204</v>
      </c>
      <c r="F1214">
        <v>27.626934175418938</v>
      </c>
      <c r="G1214">
        <v>22.40552615400388</v>
      </c>
      <c r="H1214">
        <v>22.26856134483732</v>
      </c>
      <c r="I1214">
        <v>1757.274069202479</v>
      </c>
      <c r="J1214">
        <v>17</v>
      </c>
      <c r="K1214" t="s">
        <v>66</v>
      </c>
    </row>
    <row r="1215" spans="1:11" x14ac:dyDescent="0.3">
      <c r="A1215">
        <v>99.602072741316462</v>
      </c>
      <c r="B1215">
        <v>3.2056523216370612</v>
      </c>
      <c r="C1215">
        <v>4.4720512694966112</v>
      </c>
      <c r="D1215">
        <v>9.1978005919648211</v>
      </c>
      <c r="E1215">
        <v>6.046285300863774</v>
      </c>
      <c r="F1215">
        <v>28.541913781916222</v>
      </c>
      <c r="G1215">
        <v>17.046694825160991</v>
      </c>
      <c r="H1215">
        <v>19.43263739323185</v>
      </c>
      <c r="I1215">
        <v>2135.2153889558358</v>
      </c>
      <c r="J1215">
        <v>20</v>
      </c>
      <c r="K1215" t="s">
        <v>66</v>
      </c>
    </row>
    <row r="1216" spans="1:11" x14ac:dyDescent="0.3">
      <c r="A1216">
        <v>43</v>
      </c>
      <c r="B1216">
        <v>2</v>
      </c>
      <c r="C1216">
        <v>2</v>
      </c>
      <c r="D1216">
        <v>6</v>
      </c>
      <c r="E1216">
        <v>4.8</v>
      </c>
      <c r="F1216">
        <v>34.5</v>
      </c>
      <c r="G1216">
        <v>18.399999999999999</v>
      </c>
      <c r="H1216">
        <v>19.2</v>
      </c>
      <c r="I1216">
        <v>1960</v>
      </c>
      <c r="J1216">
        <v>40</v>
      </c>
      <c r="K1216" t="s">
        <v>67</v>
      </c>
    </row>
    <row r="1217" spans="1:11" x14ac:dyDescent="0.3">
      <c r="A1217">
        <v>25.111413057037971</v>
      </c>
      <c r="B1217">
        <v>0.94558859978858079</v>
      </c>
      <c r="C1217">
        <v>1.0995581514002031</v>
      </c>
      <c r="D1217">
        <v>2.8383717487961708</v>
      </c>
      <c r="E1217">
        <v>6.0476643524805649</v>
      </c>
      <c r="F1217">
        <v>28.286553429606482</v>
      </c>
      <c r="G1217">
        <v>23.689066779716551</v>
      </c>
      <c r="H1217">
        <v>24.68674390090624</v>
      </c>
      <c r="I1217">
        <v>1404.8567891244591</v>
      </c>
      <c r="J1217">
        <v>7</v>
      </c>
      <c r="K1217" t="s">
        <v>66</v>
      </c>
    </row>
    <row r="1218" spans="1:11" x14ac:dyDescent="0.3">
      <c r="A1218">
        <v>118</v>
      </c>
      <c r="B1218">
        <v>5</v>
      </c>
      <c r="C1218">
        <v>8</v>
      </c>
      <c r="D1218">
        <v>18</v>
      </c>
      <c r="E1218">
        <v>5.5</v>
      </c>
      <c r="F1218">
        <v>44.9</v>
      </c>
      <c r="G1218">
        <v>21.8</v>
      </c>
      <c r="H1218">
        <v>27</v>
      </c>
      <c r="I1218">
        <v>1823</v>
      </c>
      <c r="J1218">
        <v>25</v>
      </c>
      <c r="K1218" t="s">
        <v>67</v>
      </c>
    </row>
    <row r="1219" spans="1:11" x14ac:dyDescent="0.3">
      <c r="A1219">
        <v>16.75861269478693</v>
      </c>
      <c r="B1219">
        <v>0</v>
      </c>
      <c r="C1219">
        <v>0.98865193541178586</v>
      </c>
      <c r="D1219">
        <v>2.011674058163579</v>
      </c>
      <c r="E1219">
        <v>5.5246319561341268</v>
      </c>
      <c r="F1219">
        <v>21.465405253473591</v>
      </c>
      <c r="G1219">
        <v>20.52868811133574</v>
      </c>
      <c r="H1219">
        <v>27.398663963856912</v>
      </c>
      <c r="I1219">
        <v>2157.6786950240671</v>
      </c>
      <c r="J1219">
        <v>10</v>
      </c>
      <c r="K1219" t="s">
        <v>66</v>
      </c>
    </row>
    <row r="1220" spans="1:11" x14ac:dyDescent="0.3">
      <c r="A1220">
        <v>72.836611291265982</v>
      </c>
      <c r="B1220">
        <v>2.7765292065580649</v>
      </c>
      <c r="C1220">
        <v>4.7923931160473643</v>
      </c>
      <c r="D1220">
        <v>10.561258322407349</v>
      </c>
      <c r="E1220">
        <v>6.5424790863998776</v>
      </c>
      <c r="F1220">
        <v>16.100821541972099</v>
      </c>
      <c r="G1220">
        <v>26.642226863775999</v>
      </c>
      <c r="H1220">
        <v>24.762206554548829</v>
      </c>
      <c r="I1220">
        <v>682.46199429429669</v>
      </c>
      <c r="J1220">
        <v>25</v>
      </c>
      <c r="K1220" t="s">
        <v>66</v>
      </c>
    </row>
    <row r="1221" spans="1:11" x14ac:dyDescent="0.3">
      <c r="A1221">
        <v>108.410429113627</v>
      </c>
      <c r="B1221">
        <v>5.2291933517757423</v>
      </c>
      <c r="C1221">
        <v>7.2000623007563131</v>
      </c>
      <c r="D1221">
        <v>17.158989943945642</v>
      </c>
      <c r="E1221">
        <v>5.6708577992427029</v>
      </c>
      <c r="F1221">
        <v>39.808145431567461</v>
      </c>
      <c r="G1221">
        <v>23.211423927883398</v>
      </c>
      <c r="H1221">
        <v>18.682349653519701</v>
      </c>
      <c r="I1221">
        <v>2053.4605035683821</v>
      </c>
      <c r="J1221">
        <v>20</v>
      </c>
      <c r="K1221" t="s">
        <v>66</v>
      </c>
    </row>
    <row r="1222" spans="1:11" x14ac:dyDescent="0.3">
      <c r="A1222">
        <v>29.06277213345648</v>
      </c>
      <c r="B1222">
        <v>1.0683569323200479</v>
      </c>
      <c r="C1222">
        <v>2.0098616663040452</v>
      </c>
      <c r="D1222">
        <v>3.8623744173183092</v>
      </c>
      <c r="E1222">
        <v>5.8846536606959674</v>
      </c>
      <c r="F1222">
        <v>31.699906791490701</v>
      </c>
      <c r="G1222">
        <v>28.695844281149341</v>
      </c>
      <c r="H1222">
        <v>18.827599595821528</v>
      </c>
      <c r="I1222">
        <v>1861.0163274633251</v>
      </c>
      <c r="J1222">
        <v>40</v>
      </c>
      <c r="K1222" t="s">
        <v>66</v>
      </c>
    </row>
    <row r="1223" spans="1:11" x14ac:dyDescent="0.3">
      <c r="A1223">
        <v>23.791477100128422</v>
      </c>
      <c r="B1223">
        <v>1.0000207064918201</v>
      </c>
      <c r="C1223">
        <v>1.000717846690794</v>
      </c>
      <c r="D1223">
        <v>3.3276320351947279</v>
      </c>
      <c r="E1223">
        <v>6.5716322178294186</v>
      </c>
      <c r="F1223">
        <v>38.588310163159932</v>
      </c>
      <c r="G1223">
        <v>25.70888907132812</v>
      </c>
      <c r="H1223">
        <v>19.544800879074341</v>
      </c>
      <c r="I1223">
        <v>1687.2170665224739</v>
      </c>
      <c r="J1223">
        <v>25</v>
      </c>
      <c r="K1223" t="s">
        <v>66</v>
      </c>
    </row>
    <row r="1224" spans="1:11" x14ac:dyDescent="0.3">
      <c r="A1224">
        <v>700.9752268983483</v>
      </c>
      <c r="B1224">
        <v>31.347322961000629</v>
      </c>
      <c r="C1224">
        <v>46.294450329107107</v>
      </c>
      <c r="D1224">
        <v>114.68379844974891</v>
      </c>
      <c r="E1224">
        <v>5.9547136179045346</v>
      </c>
      <c r="F1224">
        <v>65.705450729490124</v>
      </c>
      <c r="G1224">
        <v>29.217134281553982</v>
      </c>
      <c r="H1224">
        <v>33.006210775326387</v>
      </c>
      <c r="I1224">
        <v>11</v>
      </c>
      <c r="J1224">
        <v>0</v>
      </c>
      <c r="K1224" t="s">
        <v>66</v>
      </c>
    </row>
    <row r="1225" spans="1:11" x14ac:dyDescent="0.3">
      <c r="A1225">
        <v>23.154467462149402</v>
      </c>
      <c r="B1225">
        <v>1.058202656708473</v>
      </c>
      <c r="C1225">
        <v>0.84881165804367864</v>
      </c>
      <c r="D1225">
        <v>4.2861972387077936</v>
      </c>
      <c r="E1225">
        <v>6.0146213356958942</v>
      </c>
      <c r="F1225">
        <v>20.129217445688681</v>
      </c>
      <c r="G1225">
        <v>28.87790749183619</v>
      </c>
      <c r="H1225">
        <v>26.111606250881831</v>
      </c>
      <c r="I1225">
        <v>713.93037478984365</v>
      </c>
      <c r="J1225">
        <v>0</v>
      </c>
      <c r="K1225" t="s">
        <v>66</v>
      </c>
    </row>
    <row r="1226" spans="1:11" x14ac:dyDescent="0.3">
      <c r="A1226">
        <v>61.880623744547798</v>
      </c>
      <c r="B1226">
        <v>3.3091741756872168</v>
      </c>
      <c r="C1226">
        <v>3.883296547096585</v>
      </c>
      <c r="D1226">
        <v>9.0893549128175106</v>
      </c>
      <c r="E1226">
        <v>6.1613030804254612</v>
      </c>
      <c r="F1226">
        <v>20.11077052757922</v>
      </c>
      <c r="G1226">
        <v>23.774000406769819</v>
      </c>
      <c r="H1226">
        <v>20.174707867608991</v>
      </c>
      <c r="I1226">
        <v>1620.0240786573941</v>
      </c>
      <c r="J1226">
        <v>30</v>
      </c>
      <c r="K1226" t="s">
        <v>66</v>
      </c>
    </row>
    <row r="1227" spans="1:11" x14ac:dyDescent="0.3">
      <c r="A1227">
        <v>91</v>
      </c>
      <c r="B1227">
        <v>4</v>
      </c>
      <c r="C1227">
        <v>6</v>
      </c>
      <c r="D1227">
        <v>14</v>
      </c>
      <c r="E1227">
        <v>6.2</v>
      </c>
      <c r="F1227">
        <v>34.799999999999997</v>
      </c>
      <c r="G1227">
        <v>21.5</v>
      </c>
      <c r="H1227">
        <v>20</v>
      </c>
      <c r="I1227">
        <v>1558</v>
      </c>
      <c r="J1227">
        <v>40</v>
      </c>
      <c r="K1227" t="s">
        <v>67</v>
      </c>
    </row>
    <row r="1228" spans="1:11" x14ac:dyDescent="0.3">
      <c r="A1228">
        <v>72.654139869339261</v>
      </c>
      <c r="B1228">
        <v>2.647321618312545</v>
      </c>
      <c r="C1228">
        <v>4.9339317055492264</v>
      </c>
      <c r="D1228">
        <v>9.1155976786793627</v>
      </c>
      <c r="E1228">
        <v>6.5651050300171416</v>
      </c>
      <c r="F1228">
        <v>15.43224204826884</v>
      </c>
      <c r="G1228">
        <v>27.22688706038387</v>
      </c>
      <c r="H1228">
        <v>25.568945151296351</v>
      </c>
      <c r="I1228">
        <v>684.49941965865696</v>
      </c>
      <c r="J1228">
        <v>25</v>
      </c>
      <c r="K1228" t="s">
        <v>66</v>
      </c>
    </row>
    <row r="1229" spans="1:11" x14ac:dyDescent="0.3">
      <c r="A1229">
        <v>30.39337477319669</v>
      </c>
      <c r="B1229">
        <v>0.87077373048943807</v>
      </c>
      <c r="C1229">
        <v>2.0920543249964609</v>
      </c>
      <c r="D1229">
        <v>4.0029450725694264</v>
      </c>
      <c r="E1229">
        <v>6.3122152931452806</v>
      </c>
      <c r="F1229">
        <v>24.65285091579516</v>
      </c>
      <c r="G1229">
        <v>22.34609014260829</v>
      </c>
      <c r="H1229">
        <v>19.113670252691229</v>
      </c>
      <c r="I1229">
        <v>1868.4116608744839</v>
      </c>
      <c r="J1229">
        <v>40</v>
      </c>
      <c r="K1229" t="s">
        <v>66</v>
      </c>
    </row>
    <row r="1230" spans="1:11" x14ac:dyDescent="0.3">
      <c r="A1230">
        <v>62.17674068718096</v>
      </c>
      <c r="B1230">
        <v>3.057127166977518</v>
      </c>
      <c r="C1230">
        <v>4.2092892742948136</v>
      </c>
      <c r="D1230">
        <v>10.53741200282038</v>
      </c>
      <c r="E1230">
        <v>6.0504532259453931</v>
      </c>
      <c r="F1230">
        <v>20.254783760332892</v>
      </c>
      <c r="G1230">
        <v>22.52014120084571</v>
      </c>
      <c r="H1230">
        <v>19.44992543207939</v>
      </c>
      <c r="I1230">
        <v>1556.4039089283481</v>
      </c>
      <c r="J1230">
        <v>30</v>
      </c>
      <c r="K1230" t="s">
        <v>66</v>
      </c>
    </row>
    <row r="1231" spans="1:11" x14ac:dyDescent="0.3">
      <c r="A1231">
        <v>91.902836808939725</v>
      </c>
      <c r="B1231">
        <v>3.5632264398418751</v>
      </c>
      <c r="C1231">
        <v>6.1745382345540039</v>
      </c>
      <c r="D1231">
        <v>11.735079140658531</v>
      </c>
      <c r="E1231">
        <v>6.8646667777268764</v>
      </c>
      <c r="F1231">
        <v>13.9</v>
      </c>
      <c r="G1231">
        <v>31.330296657314211</v>
      </c>
      <c r="H1231">
        <v>32.698781783760097</v>
      </c>
      <c r="I1231">
        <v>46.080012902102119</v>
      </c>
      <c r="J1231">
        <v>0</v>
      </c>
      <c r="K1231" t="s">
        <v>66</v>
      </c>
    </row>
    <row r="1232" spans="1:11" x14ac:dyDescent="0.3">
      <c r="A1232">
        <v>24.248735823611391</v>
      </c>
      <c r="B1232">
        <v>1.048603628941764</v>
      </c>
      <c r="C1232">
        <v>1.114602757501342</v>
      </c>
      <c r="D1232">
        <v>3.4295927531518191</v>
      </c>
      <c r="E1232">
        <v>6.9970819164550537</v>
      </c>
      <c r="F1232">
        <v>52.031396387066273</v>
      </c>
      <c r="G1232">
        <v>20.56852790049826</v>
      </c>
      <c r="H1232">
        <v>21.086150296668531</v>
      </c>
      <c r="I1232">
        <v>1299.580826464716</v>
      </c>
      <c r="J1232">
        <v>18</v>
      </c>
      <c r="K1232" t="s">
        <v>66</v>
      </c>
    </row>
    <row r="1233" spans="1:11" x14ac:dyDescent="0.3">
      <c r="A1233">
        <v>23.424990914585649</v>
      </c>
      <c r="B1233">
        <v>0.97610679008303058</v>
      </c>
      <c r="C1233">
        <v>0.91382969297437422</v>
      </c>
      <c r="D1233">
        <v>2.753377196451622</v>
      </c>
      <c r="E1233">
        <v>6.1472728586497514</v>
      </c>
      <c r="F1233">
        <v>35.598448841958671</v>
      </c>
      <c r="G1233">
        <v>22.776012424665421</v>
      </c>
      <c r="H1233">
        <v>21.220099038693899</v>
      </c>
      <c r="I1233">
        <v>1631.0430084919119</v>
      </c>
      <c r="J1233">
        <v>25</v>
      </c>
      <c r="K1233" t="s">
        <v>66</v>
      </c>
    </row>
    <row r="1234" spans="1:11" x14ac:dyDescent="0.3">
      <c r="A1234">
        <v>78.785221287976412</v>
      </c>
      <c r="B1234">
        <v>3.8051085743545792</v>
      </c>
      <c r="C1234">
        <v>5.0877681147892986</v>
      </c>
      <c r="D1234">
        <v>13.225947580887651</v>
      </c>
      <c r="E1234">
        <v>5.7852208028027654</v>
      </c>
      <c r="F1234">
        <v>29.320964777235702</v>
      </c>
      <c r="G1234">
        <v>25.65290764408288</v>
      </c>
      <c r="H1234">
        <v>28.550543931829448</v>
      </c>
      <c r="I1234">
        <v>1417.2882020214131</v>
      </c>
      <c r="J1234">
        <v>18</v>
      </c>
      <c r="K1234" t="s">
        <v>66</v>
      </c>
    </row>
    <row r="1235" spans="1:11" x14ac:dyDescent="0.3">
      <c r="A1235">
        <v>77.790291009347555</v>
      </c>
      <c r="B1235">
        <v>3.7415090760624792</v>
      </c>
      <c r="C1235">
        <v>5.8478614389054329</v>
      </c>
      <c r="D1235">
        <v>10.58529181044201</v>
      </c>
      <c r="E1235">
        <v>6.1609069745943854</v>
      </c>
      <c r="F1235">
        <v>14.635045633668099</v>
      </c>
      <c r="G1235">
        <v>35.672975550337434</v>
      </c>
      <c r="H1235">
        <v>31.937826852046982</v>
      </c>
      <c r="I1235">
        <v>48.302172058996959</v>
      </c>
      <c r="J1235">
        <v>0</v>
      </c>
      <c r="K1235" t="s">
        <v>66</v>
      </c>
    </row>
    <row r="1236" spans="1:11" x14ac:dyDescent="0.3">
      <c r="A1236">
        <v>26.963138871661592</v>
      </c>
      <c r="B1236">
        <v>1.126370667765467</v>
      </c>
      <c r="C1236">
        <v>1.102151539278186</v>
      </c>
      <c r="D1236">
        <v>3.4276675193501309</v>
      </c>
      <c r="E1236">
        <v>6.0513555151863159</v>
      </c>
      <c r="F1236">
        <v>21.299361115334172</v>
      </c>
      <c r="G1236">
        <v>30.899598790395171</v>
      </c>
      <c r="H1236">
        <v>26.808014643356991</v>
      </c>
      <c r="I1236">
        <v>749.11045707514643</v>
      </c>
      <c r="J1236">
        <v>0</v>
      </c>
      <c r="K1236" t="s">
        <v>66</v>
      </c>
    </row>
    <row r="1237" spans="1:11" x14ac:dyDescent="0.3">
      <c r="A1237">
        <v>26.742578758969479</v>
      </c>
      <c r="B1237">
        <v>1.195415743375029</v>
      </c>
      <c r="C1237">
        <v>1.068136232657531</v>
      </c>
      <c r="D1237">
        <v>3.4716486578490731</v>
      </c>
      <c r="E1237">
        <v>5.4369474522822454</v>
      </c>
      <c r="F1237">
        <v>29.187790490239252</v>
      </c>
      <c r="G1237">
        <v>19.60164242351291</v>
      </c>
      <c r="H1237">
        <v>25.939717514776291</v>
      </c>
      <c r="I1237">
        <v>1821.6995618881881</v>
      </c>
      <c r="J1237">
        <v>20</v>
      </c>
      <c r="K1237" t="s">
        <v>66</v>
      </c>
    </row>
    <row r="1238" spans="1:11" x14ac:dyDescent="0.3">
      <c r="A1238">
        <v>55.787752821206823</v>
      </c>
      <c r="B1238">
        <v>2.001284453962187</v>
      </c>
      <c r="C1238">
        <v>2.8118059662146089</v>
      </c>
      <c r="D1238">
        <v>10.031505298226289</v>
      </c>
      <c r="E1238">
        <v>5.1086380711205841</v>
      </c>
      <c r="F1238">
        <v>35.415191829475503</v>
      </c>
      <c r="G1238">
        <v>25.402505038862671</v>
      </c>
      <c r="H1238">
        <v>26.72744472332198</v>
      </c>
      <c r="I1238">
        <v>1972.4312138746079</v>
      </c>
      <c r="J1238">
        <v>20</v>
      </c>
      <c r="K1238" t="s">
        <v>66</v>
      </c>
    </row>
    <row r="1239" spans="1:11" x14ac:dyDescent="0.3">
      <c r="A1239">
        <v>0</v>
      </c>
      <c r="B1239">
        <v>0</v>
      </c>
      <c r="C1239">
        <v>0</v>
      </c>
      <c r="D1239">
        <v>0</v>
      </c>
      <c r="E1239">
        <v>6.9331024209014691</v>
      </c>
      <c r="F1239">
        <v>14.103516046292739</v>
      </c>
      <c r="G1239">
        <v>37.061440014709071</v>
      </c>
      <c r="H1239">
        <v>32.206540797747842</v>
      </c>
      <c r="I1239">
        <v>1696.504413574108</v>
      </c>
      <c r="J1239">
        <v>7</v>
      </c>
      <c r="K1239" t="s">
        <v>66</v>
      </c>
    </row>
    <row r="1240" spans="1:11" x14ac:dyDescent="0.3">
      <c r="A1240">
        <v>140.29364885860269</v>
      </c>
      <c r="B1240">
        <v>7.0485410359253757</v>
      </c>
      <c r="C1240">
        <v>10.63332682607124</v>
      </c>
      <c r="D1240">
        <v>23.63062745526075</v>
      </c>
      <c r="E1240">
        <v>5.7754979799661967</v>
      </c>
      <c r="F1240">
        <v>26.56382693136754</v>
      </c>
      <c r="G1240">
        <v>23.837479705239261</v>
      </c>
      <c r="H1240">
        <v>19.161838895934689</v>
      </c>
      <c r="I1240">
        <v>2140.7901108598098</v>
      </c>
      <c r="J1240">
        <v>20</v>
      </c>
      <c r="K1240" t="s">
        <v>66</v>
      </c>
    </row>
    <row r="1241" spans="1:11" x14ac:dyDescent="0.3">
      <c r="A1241">
        <v>40.126220613642289</v>
      </c>
      <c r="B1241">
        <v>2.116708860602377</v>
      </c>
      <c r="C1241">
        <v>2.8547644516245541</v>
      </c>
      <c r="D1241">
        <v>6.629737266092711</v>
      </c>
      <c r="E1241">
        <v>5.9167536298371326</v>
      </c>
      <c r="F1241">
        <v>23.856039980383201</v>
      </c>
      <c r="G1241">
        <v>21.114716701243911</v>
      </c>
      <c r="H1241">
        <v>20.382891794852021</v>
      </c>
      <c r="I1241">
        <v>1507.710736553282</v>
      </c>
      <c r="J1241">
        <v>18</v>
      </c>
      <c r="K1241" t="s">
        <v>66</v>
      </c>
    </row>
    <row r="1242" spans="1:11" x14ac:dyDescent="0.3">
      <c r="A1242">
        <v>54.952470664469558</v>
      </c>
      <c r="B1242">
        <v>2.0153703765917541</v>
      </c>
      <c r="C1242">
        <v>3.403867726860824</v>
      </c>
      <c r="D1242">
        <v>6.646183334685337</v>
      </c>
      <c r="E1242">
        <v>6.5545290084446757</v>
      </c>
      <c r="F1242">
        <v>22.804282195552069</v>
      </c>
      <c r="G1242">
        <v>22.05648177511884</v>
      </c>
      <c r="H1242">
        <v>21.211883470672412</v>
      </c>
      <c r="I1242">
        <v>1736.3151551900071</v>
      </c>
      <c r="J1242">
        <v>25</v>
      </c>
      <c r="K1242" t="s">
        <v>66</v>
      </c>
    </row>
    <row r="1243" spans="1:11" x14ac:dyDescent="0.3">
      <c r="A1243">
        <v>27.08627690661174</v>
      </c>
      <c r="B1243">
        <v>1.1511154930247349</v>
      </c>
      <c r="C1243">
        <v>0.92106614942803255</v>
      </c>
      <c r="D1243">
        <v>4.1526936675850026</v>
      </c>
      <c r="E1243">
        <v>6.456677110171591</v>
      </c>
      <c r="F1243">
        <v>26.16125155796087</v>
      </c>
      <c r="G1243">
        <v>24.364044819534769</v>
      </c>
      <c r="H1243">
        <v>18.442704656461199</v>
      </c>
      <c r="I1243">
        <v>1806.8257304719241</v>
      </c>
      <c r="J1243">
        <v>40</v>
      </c>
      <c r="K1243" t="s">
        <v>66</v>
      </c>
    </row>
    <row r="1244" spans="1:11" x14ac:dyDescent="0.3">
      <c r="A1244">
        <v>91.665406917297645</v>
      </c>
      <c r="B1244">
        <v>3.7367006350664611</v>
      </c>
      <c r="C1244">
        <v>6.0771704702429803</v>
      </c>
      <c r="D1244">
        <v>12.53482368652635</v>
      </c>
      <c r="E1244">
        <v>6.3186254131186024</v>
      </c>
      <c r="F1244">
        <v>40.347442626876379</v>
      </c>
      <c r="G1244">
        <v>21.774651648085161</v>
      </c>
      <c r="H1244">
        <v>28.811432063737971</v>
      </c>
      <c r="I1244">
        <v>2042.608750375975</v>
      </c>
      <c r="J1244">
        <v>25</v>
      </c>
      <c r="K1244" t="s">
        <v>66</v>
      </c>
    </row>
    <row r="1245" spans="1:11" x14ac:dyDescent="0.3">
      <c r="A1245">
        <v>16.081176465493421</v>
      </c>
      <c r="B1245">
        <v>0</v>
      </c>
      <c r="C1245">
        <v>1.082327991567771</v>
      </c>
      <c r="D1245">
        <v>1.9864257236601039</v>
      </c>
      <c r="E1245">
        <v>6.0180500637105139</v>
      </c>
      <c r="F1245">
        <v>36.848616299866308</v>
      </c>
      <c r="G1245">
        <v>23.639060811613</v>
      </c>
      <c r="H1245">
        <v>28.374614497463881</v>
      </c>
      <c r="I1245">
        <v>1476.774314901453</v>
      </c>
      <c r="J1245">
        <v>18</v>
      </c>
      <c r="K1245" t="s">
        <v>66</v>
      </c>
    </row>
    <row r="1246" spans="1:11" x14ac:dyDescent="0.3">
      <c r="A1246">
        <v>80.710336172187809</v>
      </c>
      <c r="B1246">
        <v>4.3900790519129718</v>
      </c>
      <c r="C1246">
        <v>5.0392885148595754</v>
      </c>
      <c r="D1246">
        <v>11.77869778541822</v>
      </c>
      <c r="E1246">
        <v>6.124546755937331</v>
      </c>
      <c r="F1246">
        <v>22.81872349810482</v>
      </c>
      <c r="G1246">
        <v>19.969094483747639</v>
      </c>
      <c r="H1246">
        <v>18.560747768428559</v>
      </c>
      <c r="I1246">
        <v>1581.8086074858149</v>
      </c>
      <c r="J1246">
        <v>30</v>
      </c>
      <c r="K1246" t="s">
        <v>66</v>
      </c>
    </row>
    <row r="1247" spans="1:11" x14ac:dyDescent="0.3">
      <c r="A1247">
        <v>42.453061239489237</v>
      </c>
      <c r="B1247">
        <v>0.8673952313917962</v>
      </c>
      <c r="C1247">
        <v>1.890359940366646</v>
      </c>
      <c r="D1247">
        <v>5.8339969369685134</v>
      </c>
      <c r="E1247">
        <v>6.4876895255904037</v>
      </c>
      <c r="F1247">
        <v>27.210149880932558</v>
      </c>
      <c r="G1247">
        <v>17.137960196785411</v>
      </c>
      <c r="H1247">
        <v>22.411021675569629</v>
      </c>
      <c r="I1247">
        <v>1375.3686019425529</v>
      </c>
      <c r="J1247">
        <v>30</v>
      </c>
      <c r="K1247" t="s">
        <v>66</v>
      </c>
    </row>
    <row r="1248" spans="1:11" x14ac:dyDescent="0.3">
      <c r="A1248">
        <v>25.872779142016991</v>
      </c>
      <c r="B1248">
        <v>1.059879438956191</v>
      </c>
      <c r="C1248">
        <v>0.86265971110302508</v>
      </c>
      <c r="D1248">
        <v>4.0737236256312412</v>
      </c>
      <c r="E1248">
        <v>5.8827636679052864</v>
      </c>
      <c r="F1248">
        <v>38.519035605041218</v>
      </c>
      <c r="G1248">
        <v>23.97773415685705</v>
      </c>
      <c r="H1248">
        <v>21.122093189673269</v>
      </c>
      <c r="I1248">
        <v>1673.0120295798811</v>
      </c>
      <c r="J1248">
        <v>25</v>
      </c>
      <c r="K1248" t="s">
        <v>66</v>
      </c>
    </row>
    <row r="1249" spans="1:11" x14ac:dyDescent="0.3">
      <c r="A1249">
        <v>115.3786697655509</v>
      </c>
      <c r="B1249">
        <v>4.8434709847384232</v>
      </c>
      <c r="C1249">
        <v>7.6818562451083174</v>
      </c>
      <c r="D1249">
        <v>16.611839460811279</v>
      </c>
      <c r="E1249">
        <v>5.2485645031055546</v>
      </c>
      <c r="F1249">
        <v>45.454304112370288</v>
      </c>
      <c r="G1249">
        <v>21.515045115620381</v>
      </c>
      <c r="H1249">
        <v>27.272891643821058</v>
      </c>
      <c r="I1249">
        <v>1835.7482301455971</v>
      </c>
      <c r="J1249">
        <v>25</v>
      </c>
      <c r="K1249" t="s">
        <v>66</v>
      </c>
    </row>
    <row r="1250" spans="1:11" x14ac:dyDescent="0.3">
      <c r="A1250">
        <v>75.754930973142351</v>
      </c>
      <c r="B1250">
        <v>4.3686600447697836</v>
      </c>
      <c r="C1250">
        <v>4.9023048244114884</v>
      </c>
      <c r="D1250">
        <v>12.149702519596721</v>
      </c>
      <c r="E1250">
        <v>5.7818486243697134</v>
      </c>
      <c r="F1250">
        <v>30.220615241168961</v>
      </c>
      <c r="G1250">
        <v>25.536994447520151</v>
      </c>
      <c r="H1250">
        <v>26.757217201236521</v>
      </c>
      <c r="I1250">
        <v>1389.9895632784051</v>
      </c>
      <c r="J1250">
        <v>18</v>
      </c>
      <c r="K1250" t="s">
        <v>66</v>
      </c>
    </row>
    <row r="1251" spans="1:11" x14ac:dyDescent="0.3">
      <c r="A1251">
        <v>23.169531399737721</v>
      </c>
      <c r="B1251">
        <v>0.85944329808213582</v>
      </c>
      <c r="C1251">
        <v>1.1424495821246949</v>
      </c>
      <c r="D1251">
        <v>3.7209124384407022</v>
      </c>
      <c r="E1251">
        <v>6.3246208058816986</v>
      </c>
      <c r="F1251">
        <v>28.479762257709201</v>
      </c>
      <c r="G1251">
        <v>26.717975839334599</v>
      </c>
      <c r="H1251">
        <v>19.800038123129049</v>
      </c>
      <c r="I1251">
        <v>1785.8660947121441</v>
      </c>
      <c r="J1251">
        <v>40</v>
      </c>
      <c r="K1251" t="s">
        <v>66</v>
      </c>
    </row>
    <row r="1252" spans="1:11" x14ac:dyDescent="0.3">
      <c r="A1252">
        <v>188</v>
      </c>
      <c r="B1252">
        <v>9</v>
      </c>
      <c r="C1252">
        <v>13</v>
      </c>
      <c r="D1252">
        <v>30</v>
      </c>
      <c r="E1252">
        <v>5.8</v>
      </c>
      <c r="F1252">
        <v>41.5</v>
      </c>
      <c r="G1252">
        <v>25.2</v>
      </c>
      <c r="H1252">
        <v>19</v>
      </c>
      <c r="I1252">
        <v>2077</v>
      </c>
      <c r="J1252">
        <v>20</v>
      </c>
      <c r="K1252" t="s">
        <v>67</v>
      </c>
    </row>
    <row r="1253" spans="1:11" x14ac:dyDescent="0.3">
      <c r="A1253">
        <v>55.696532875013553</v>
      </c>
      <c r="B1253">
        <v>2.0195966306941791</v>
      </c>
      <c r="C1253">
        <v>2.989252326388061</v>
      </c>
      <c r="D1253">
        <v>7.0958570164122534</v>
      </c>
      <c r="E1253">
        <v>5.4307866635517614</v>
      </c>
      <c r="F1253">
        <v>22.45609004147321</v>
      </c>
      <c r="G1253">
        <v>20.90513764914575</v>
      </c>
      <c r="H1253">
        <v>29.592636804215669</v>
      </c>
      <c r="I1253">
        <v>1751.9600911226489</v>
      </c>
      <c r="J1253">
        <v>15</v>
      </c>
      <c r="K1253" t="s">
        <v>66</v>
      </c>
    </row>
    <row r="1254" spans="1:11" x14ac:dyDescent="0.3">
      <c r="A1254">
        <v>183.14274572659099</v>
      </c>
      <c r="B1254">
        <v>8.8642460595899735</v>
      </c>
      <c r="C1254">
        <v>13.434576780990581</v>
      </c>
      <c r="D1254">
        <v>22.754181336004759</v>
      </c>
      <c r="E1254">
        <v>6.3691764542771878</v>
      </c>
      <c r="F1254">
        <v>37.641074983879051</v>
      </c>
      <c r="G1254">
        <v>24.432135190246321</v>
      </c>
      <c r="H1254">
        <v>22.398585247379032</v>
      </c>
      <c r="I1254">
        <v>1367.5472882904151</v>
      </c>
      <c r="J1254">
        <v>20</v>
      </c>
      <c r="K1254" t="s">
        <v>66</v>
      </c>
    </row>
    <row r="1255" spans="1:11" x14ac:dyDescent="0.3">
      <c r="A1255">
        <v>0</v>
      </c>
      <c r="B1255">
        <v>0</v>
      </c>
      <c r="C1255">
        <v>0</v>
      </c>
      <c r="D1255">
        <v>0</v>
      </c>
      <c r="E1255">
        <v>6.9380374990116183</v>
      </c>
      <c r="F1255">
        <v>13.9</v>
      </c>
      <c r="G1255">
        <v>37.785977026033159</v>
      </c>
      <c r="H1255">
        <v>32.910380655323742</v>
      </c>
      <c r="I1255">
        <v>1775.1567655336039</v>
      </c>
      <c r="J1255">
        <v>7</v>
      </c>
      <c r="K1255" t="s">
        <v>66</v>
      </c>
    </row>
    <row r="1256" spans="1:11" x14ac:dyDescent="0.3">
      <c r="A1256">
        <v>33.94441892824004</v>
      </c>
      <c r="B1256">
        <v>0.91328697842890993</v>
      </c>
      <c r="C1256">
        <v>1.8543845804289361</v>
      </c>
      <c r="D1256">
        <v>6.2939544867653421</v>
      </c>
      <c r="E1256">
        <v>6.2944215616995738</v>
      </c>
      <c r="F1256">
        <v>20.74154238827257</v>
      </c>
      <c r="G1256">
        <v>24.748145043079688</v>
      </c>
      <c r="H1256">
        <v>20.02643878094776</v>
      </c>
      <c r="I1256">
        <v>1244.1080418846559</v>
      </c>
      <c r="J1256">
        <v>45</v>
      </c>
      <c r="K1256" t="s">
        <v>66</v>
      </c>
    </row>
    <row r="1257" spans="1:11" x14ac:dyDescent="0.3">
      <c r="A1257">
        <v>94.220271306322417</v>
      </c>
      <c r="B1257">
        <v>3.6144964295157558</v>
      </c>
      <c r="C1257">
        <v>4.9864901772196433</v>
      </c>
      <c r="D1257">
        <v>13.73651658571805</v>
      </c>
      <c r="E1257">
        <v>6.493559381139363</v>
      </c>
      <c r="F1257">
        <v>35.462637967920742</v>
      </c>
      <c r="G1257">
        <v>21.22749014744608</v>
      </c>
      <c r="H1257">
        <v>20.1961465185435</v>
      </c>
      <c r="I1257">
        <v>1569.7694984451471</v>
      </c>
      <c r="J1257">
        <v>40</v>
      </c>
      <c r="K1257" t="s">
        <v>66</v>
      </c>
    </row>
    <row r="1258" spans="1:11" x14ac:dyDescent="0.3">
      <c r="A1258">
        <v>479.79076766049559</v>
      </c>
      <c r="B1258">
        <v>21.906433404443568</v>
      </c>
      <c r="C1258">
        <v>30.859303353429642</v>
      </c>
      <c r="D1258">
        <v>84.932823206374934</v>
      </c>
      <c r="E1258">
        <v>5.4238281268651738</v>
      </c>
      <c r="F1258">
        <v>61.74317348856831</v>
      </c>
      <c r="G1258">
        <v>31.418550844202191</v>
      </c>
      <c r="H1258">
        <v>31.08963072449605</v>
      </c>
      <c r="I1258">
        <v>11</v>
      </c>
      <c r="J1258">
        <v>0</v>
      </c>
      <c r="K1258" t="s">
        <v>66</v>
      </c>
    </row>
    <row r="1259" spans="1:11" x14ac:dyDescent="0.3">
      <c r="A1259">
        <v>64.764125308884843</v>
      </c>
      <c r="B1259">
        <v>2.6063342419705782</v>
      </c>
      <c r="C1259">
        <v>4.2927822010039387</v>
      </c>
      <c r="D1259">
        <v>8.1265586960453824</v>
      </c>
      <c r="E1259">
        <v>5.7532079494676323</v>
      </c>
      <c r="F1259">
        <v>45.258187037394173</v>
      </c>
      <c r="G1259">
        <v>19.435171108316439</v>
      </c>
      <c r="H1259">
        <v>20.528865823525361</v>
      </c>
      <c r="I1259">
        <v>1805.1949724989749</v>
      </c>
      <c r="J1259">
        <v>10</v>
      </c>
      <c r="K1259" t="s">
        <v>66</v>
      </c>
    </row>
    <row r="1260" spans="1:11" x14ac:dyDescent="0.3">
      <c r="A1260">
        <v>45.36547861461149</v>
      </c>
      <c r="B1260">
        <v>2.2070498669447511</v>
      </c>
      <c r="C1260">
        <v>3.108194367430738</v>
      </c>
      <c r="D1260">
        <v>7.0263876011867463</v>
      </c>
      <c r="E1260">
        <v>5.6947737920436099</v>
      </c>
      <c r="F1260">
        <v>21.28686686132297</v>
      </c>
      <c r="G1260">
        <v>20.48660376749471</v>
      </c>
      <c r="H1260">
        <v>20.609751430062069</v>
      </c>
      <c r="I1260">
        <v>1524.083985668846</v>
      </c>
      <c r="J1260">
        <v>18</v>
      </c>
      <c r="K1260" t="s">
        <v>66</v>
      </c>
    </row>
    <row r="1261" spans="1:11" x14ac:dyDescent="0.3">
      <c r="A1261">
        <v>50.309427514278362</v>
      </c>
      <c r="B1261">
        <v>2.227124029436589</v>
      </c>
      <c r="C1261">
        <v>3.4356353097547681</v>
      </c>
      <c r="D1261">
        <v>9.2731202942102442</v>
      </c>
      <c r="E1261">
        <v>6.3925969136156686</v>
      </c>
      <c r="F1261">
        <v>32.607235519961527</v>
      </c>
      <c r="G1261">
        <v>21.663611400234551</v>
      </c>
      <c r="H1261">
        <v>20.240220973677541</v>
      </c>
      <c r="I1261">
        <v>1241.7251381612909</v>
      </c>
      <c r="J1261">
        <v>18</v>
      </c>
      <c r="K1261" t="s">
        <v>66</v>
      </c>
    </row>
    <row r="1262" spans="1:11" x14ac:dyDescent="0.3">
      <c r="A1262">
        <v>44</v>
      </c>
      <c r="B1262">
        <v>2</v>
      </c>
      <c r="C1262">
        <v>3</v>
      </c>
      <c r="D1262">
        <v>7</v>
      </c>
      <c r="E1262">
        <v>5.9</v>
      </c>
      <c r="F1262">
        <v>22.7</v>
      </c>
      <c r="G1262">
        <v>20.9</v>
      </c>
      <c r="H1262">
        <v>20.9</v>
      </c>
      <c r="I1262">
        <v>1518</v>
      </c>
      <c r="J1262">
        <v>18</v>
      </c>
      <c r="K1262" t="s">
        <v>67</v>
      </c>
    </row>
    <row r="1263" spans="1:11" x14ac:dyDescent="0.3">
      <c r="A1263">
        <v>0</v>
      </c>
      <c r="B1263">
        <v>0</v>
      </c>
      <c r="C1263">
        <v>0</v>
      </c>
      <c r="D1263">
        <v>0</v>
      </c>
      <c r="E1263">
        <v>6.2877247561471838</v>
      </c>
      <c r="F1263">
        <v>22.28662296074009</v>
      </c>
      <c r="G1263">
        <v>31.458659689750849</v>
      </c>
      <c r="H1263">
        <v>33.005533565220553</v>
      </c>
      <c r="I1263">
        <v>1931.736400796977</v>
      </c>
      <c r="J1263">
        <v>26</v>
      </c>
      <c r="K1263" t="s">
        <v>66</v>
      </c>
    </row>
    <row r="1264" spans="1:11" x14ac:dyDescent="0.3">
      <c r="A1264">
        <v>26.2998808592451</v>
      </c>
      <c r="B1264">
        <v>1.009337237427665</v>
      </c>
      <c r="C1264">
        <v>1.1291273839015881</v>
      </c>
      <c r="D1264">
        <v>4.0516749893326844</v>
      </c>
      <c r="E1264">
        <v>6.1870576889740274</v>
      </c>
      <c r="F1264">
        <v>25.10691235628337</v>
      </c>
      <c r="G1264">
        <v>25.426028614816861</v>
      </c>
      <c r="H1264">
        <v>18.93705852892564</v>
      </c>
      <c r="I1264">
        <v>1884.19261787132</v>
      </c>
      <c r="J1264">
        <v>40</v>
      </c>
      <c r="K1264" t="s">
        <v>66</v>
      </c>
    </row>
    <row r="1265" spans="1:11" x14ac:dyDescent="0.3">
      <c r="A1265">
        <v>260.1482748082534</v>
      </c>
      <c r="B1265">
        <v>13.580538080807839</v>
      </c>
      <c r="C1265">
        <v>17.61179825241426</v>
      </c>
      <c r="D1265">
        <v>45.074507079574801</v>
      </c>
      <c r="E1265">
        <v>5.2112334685818684</v>
      </c>
      <c r="F1265">
        <v>25.173602327687501</v>
      </c>
      <c r="G1265">
        <v>19.56556541943521</v>
      </c>
      <c r="H1265">
        <v>18.711188769450551</v>
      </c>
      <c r="I1265">
        <v>1528.6819666378369</v>
      </c>
      <c r="J1265">
        <v>25</v>
      </c>
      <c r="K1265" t="s">
        <v>66</v>
      </c>
    </row>
    <row r="1266" spans="1:11" x14ac:dyDescent="0.3">
      <c r="A1266">
        <v>52.429461532338657</v>
      </c>
      <c r="B1266">
        <v>1.779027441387496</v>
      </c>
      <c r="C1266">
        <v>3.2529315996969719</v>
      </c>
      <c r="D1266">
        <v>8.1479764600585245</v>
      </c>
      <c r="E1266">
        <v>6.1733258887788596</v>
      </c>
      <c r="F1266">
        <v>22.488309567175829</v>
      </c>
      <c r="G1266">
        <v>18.13678398443307</v>
      </c>
      <c r="H1266">
        <v>29.681203245675029</v>
      </c>
      <c r="I1266">
        <v>2257</v>
      </c>
      <c r="J1266">
        <v>15</v>
      </c>
      <c r="K1266" t="s">
        <v>66</v>
      </c>
    </row>
    <row r="1267" spans="1:11" x14ac:dyDescent="0.3">
      <c r="A1267">
        <v>126.39120307649419</v>
      </c>
      <c r="B1267">
        <v>5.5742520871504961</v>
      </c>
      <c r="C1267">
        <v>8.9456366437227821</v>
      </c>
      <c r="D1267">
        <v>20.058861183355109</v>
      </c>
      <c r="E1267">
        <v>5.2217207684235696</v>
      </c>
      <c r="F1267">
        <v>19.397362467723191</v>
      </c>
      <c r="G1267">
        <v>19.13825620695404</v>
      </c>
      <c r="H1267">
        <v>20.501495890419751</v>
      </c>
      <c r="I1267">
        <v>1967.6229652298621</v>
      </c>
      <c r="J1267">
        <v>12</v>
      </c>
      <c r="K1267" t="s">
        <v>66</v>
      </c>
    </row>
    <row r="1268" spans="1:11" x14ac:dyDescent="0.3">
      <c r="A1268">
        <v>62.143953299284057</v>
      </c>
      <c r="B1268">
        <v>3.0983638572478069</v>
      </c>
      <c r="C1268">
        <v>3.5617922444617749</v>
      </c>
      <c r="D1268">
        <v>9.7188745151119136</v>
      </c>
      <c r="E1268">
        <v>6.0737789751808329</v>
      </c>
      <c r="F1268">
        <v>19.89298170449614</v>
      </c>
      <c r="G1268">
        <v>21.909798220693538</v>
      </c>
      <c r="H1268">
        <v>20.792227098061119</v>
      </c>
      <c r="I1268">
        <v>1601.704860202924</v>
      </c>
      <c r="J1268">
        <v>30</v>
      </c>
      <c r="K1268" t="s">
        <v>66</v>
      </c>
    </row>
    <row r="1269" spans="1:11" x14ac:dyDescent="0.3">
      <c r="A1269">
        <v>28.570271065409191</v>
      </c>
      <c r="B1269">
        <v>0.87656511281200777</v>
      </c>
      <c r="C1269">
        <v>1.049619918736332</v>
      </c>
      <c r="D1269">
        <v>5.1241625712579424</v>
      </c>
      <c r="E1269">
        <v>6.069248540983545</v>
      </c>
      <c r="F1269">
        <v>22.243783421784102</v>
      </c>
      <c r="G1269">
        <v>21.209904792743458</v>
      </c>
      <c r="H1269">
        <v>27.323897138358429</v>
      </c>
      <c r="I1269">
        <v>2136.5613871480941</v>
      </c>
      <c r="J1269">
        <v>10</v>
      </c>
      <c r="K1269" t="s">
        <v>66</v>
      </c>
    </row>
    <row r="1270" spans="1:11" x14ac:dyDescent="0.3">
      <c r="A1270">
        <v>128.03539942063099</v>
      </c>
      <c r="B1270">
        <v>5.5588179235908282</v>
      </c>
      <c r="C1270">
        <v>8.7388068928378946</v>
      </c>
      <c r="D1270">
        <v>21.010674295294699</v>
      </c>
      <c r="E1270">
        <v>4.7732740194603132</v>
      </c>
      <c r="F1270">
        <v>57.949150556228567</v>
      </c>
      <c r="G1270">
        <v>20.656737472768281</v>
      </c>
      <c r="H1270">
        <v>21.418941258603969</v>
      </c>
      <c r="I1270">
        <v>1642.368984743239</v>
      </c>
      <c r="J1270">
        <v>12</v>
      </c>
      <c r="K1270" t="s">
        <v>66</v>
      </c>
    </row>
    <row r="1271" spans="1:11" x14ac:dyDescent="0.3">
      <c r="A1271">
        <v>345.76014333896057</v>
      </c>
      <c r="B1271">
        <v>14.3936682046696</v>
      </c>
      <c r="C1271">
        <v>21.551265529563231</v>
      </c>
      <c r="D1271">
        <v>52.239532522589023</v>
      </c>
      <c r="E1271">
        <v>4.3</v>
      </c>
      <c r="F1271">
        <v>53.3400019431704</v>
      </c>
      <c r="G1271">
        <v>28.666764244424201</v>
      </c>
      <c r="H1271">
        <v>32.483275793519987</v>
      </c>
      <c r="I1271">
        <v>14.432991632413151</v>
      </c>
      <c r="J1271">
        <v>0</v>
      </c>
      <c r="K1271" t="s">
        <v>66</v>
      </c>
    </row>
    <row r="1272" spans="1:11" x14ac:dyDescent="0.3">
      <c r="A1272">
        <v>66.994294573607348</v>
      </c>
      <c r="B1272">
        <v>2.5354145103408761</v>
      </c>
      <c r="C1272">
        <v>5.098958333671038</v>
      </c>
      <c r="D1272">
        <v>11.570672319196889</v>
      </c>
      <c r="E1272">
        <v>6.1930127887752313</v>
      </c>
      <c r="F1272">
        <v>66.834562549339012</v>
      </c>
      <c r="G1272">
        <v>20.62771386494444</v>
      </c>
      <c r="H1272">
        <v>21.10540064242663</v>
      </c>
      <c r="I1272">
        <v>1495.440837132968</v>
      </c>
      <c r="J1272">
        <v>18</v>
      </c>
      <c r="K1272" t="s">
        <v>66</v>
      </c>
    </row>
    <row r="1273" spans="1:11" x14ac:dyDescent="0.3">
      <c r="A1273">
        <v>23.39971896116592</v>
      </c>
      <c r="B1273">
        <v>1.0049773687180961</v>
      </c>
      <c r="C1273">
        <v>1.042818624781058</v>
      </c>
      <c r="D1273">
        <v>3.3146592425626089</v>
      </c>
      <c r="E1273">
        <v>6.2856596201598656</v>
      </c>
      <c r="F1273">
        <v>35.624619457012173</v>
      </c>
      <c r="G1273">
        <v>18.073854144322109</v>
      </c>
      <c r="H1273">
        <v>16.402246746177429</v>
      </c>
      <c r="I1273">
        <v>1793.625944497916</v>
      </c>
      <c r="J1273">
        <v>30</v>
      </c>
      <c r="K1273" t="s">
        <v>66</v>
      </c>
    </row>
    <row r="1274" spans="1:11" x14ac:dyDescent="0.3">
      <c r="A1274">
        <v>60.110334063130509</v>
      </c>
      <c r="B1274">
        <v>2.6797401257237179</v>
      </c>
      <c r="C1274">
        <v>3.2568394194406851</v>
      </c>
      <c r="D1274">
        <v>8.8726268219697459</v>
      </c>
      <c r="E1274">
        <v>6.019060788819222</v>
      </c>
      <c r="F1274">
        <v>36.268189630093573</v>
      </c>
      <c r="G1274">
        <v>18.15837359166262</v>
      </c>
      <c r="H1274">
        <v>18.74522279490056</v>
      </c>
      <c r="I1274">
        <v>2123.793644477114</v>
      </c>
      <c r="J1274">
        <v>20</v>
      </c>
      <c r="K1274" t="s">
        <v>66</v>
      </c>
    </row>
    <row r="1275" spans="1:11" x14ac:dyDescent="0.3">
      <c r="A1275">
        <v>55.522554624141371</v>
      </c>
      <c r="B1275">
        <v>1.9517005108258441</v>
      </c>
      <c r="C1275">
        <v>2.5701986130781038</v>
      </c>
      <c r="D1275">
        <v>7.0260769652024386</v>
      </c>
      <c r="E1275">
        <v>6.3184016083423993</v>
      </c>
      <c r="F1275">
        <v>33.950663260801313</v>
      </c>
      <c r="G1275">
        <v>21.882860123417359</v>
      </c>
      <c r="H1275">
        <v>19.872368049841452</v>
      </c>
      <c r="I1275">
        <v>1249.8450281618709</v>
      </c>
      <c r="J1275">
        <v>18</v>
      </c>
      <c r="K1275" t="s">
        <v>66</v>
      </c>
    </row>
    <row r="1276" spans="1:11" x14ac:dyDescent="0.3">
      <c r="A1276">
        <v>54.033999482110843</v>
      </c>
      <c r="B1276">
        <v>2.1895052924245721</v>
      </c>
      <c r="C1276">
        <v>2.7245619049750269</v>
      </c>
      <c r="D1276">
        <v>6.7641734112504031</v>
      </c>
      <c r="E1276">
        <v>6.1848101602962764</v>
      </c>
      <c r="F1276">
        <v>26.120816348487871</v>
      </c>
      <c r="G1276">
        <v>17.46526117344046</v>
      </c>
      <c r="H1276">
        <v>20.841379435426379</v>
      </c>
      <c r="I1276">
        <v>1725.15711545666</v>
      </c>
      <c r="J1276">
        <v>25</v>
      </c>
      <c r="K1276" t="s">
        <v>66</v>
      </c>
    </row>
    <row r="1277" spans="1:11" x14ac:dyDescent="0.3">
      <c r="A1277">
        <v>122.3783626948549</v>
      </c>
      <c r="B1277">
        <v>4.5240407699888818</v>
      </c>
      <c r="C1277">
        <v>7.1262867252570139</v>
      </c>
      <c r="D1277">
        <v>16.39152897530558</v>
      </c>
      <c r="E1277">
        <v>5.6058752851148634</v>
      </c>
      <c r="F1277">
        <v>48.363018489534888</v>
      </c>
      <c r="G1277">
        <v>21.797212038780909</v>
      </c>
      <c r="H1277">
        <v>27.130155253481782</v>
      </c>
      <c r="I1277">
        <v>1835.175636450045</v>
      </c>
      <c r="J1277">
        <v>25</v>
      </c>
      <c r="K1277" t="s">
        <v>66</v>
      </c>
    </row>
    <row r="1278" spans="1:11" x14ac:dyDescent="0.3">
      <c r="A1278">
        <v>61.031575490522307</v>
      </c>
      <c r="B1278">
        <v>3.0275257453345121</v>
      </c>
      <c r="C1278">
        <v>4.2969835654370483</v>
      </c>
      <c r="D1278">
        <v>9.5316699019592939</v>
      </c>
      <c r="E1278">
        <v>6.1065943028672116</v>
      </c>
      <c r="F1278">
        <v>35.888548946048537</v>
      </c>
      <c r="G1278">
        <v>17.477098633843081</v>
      </c>
      <c r="H1278">
        <v>18.60143088338943</v>
      </c>
      <c r="I1278">
        <v>2074.0378501222622</v>
      </c>
      <c r="J1278">
        <v>20</v>
      </c>
      <c r="K1278" t="s">
        <v>66</v>
      </c>
    </row>
    <row r="1279" spans="1:11" x14ac:dyDescent="0.3">
      <c r="A1279">
        <v>33.877558171976517</v>
      </c>
      <c r="B1279">
        <v>0.92905589975724534</v>
      </c>
      <c r="C1279">
        <v>1.943356392210954</v>
      </c>
      <c r="D1279">
        <v>5.3709111471950637</v>
      </c>
      <c r="E1279">
        <v>5.3742147189771492</v>
      </c>
      <c r="F1279">
        <v>25.741893087765909</v>
      </c>
      <c r="G1279">
        <v>18.531965393249781</v>
      </c>
      <c r="H1279">
        <v>26.67784439491405</v>
      </c>
      <c r="I1279">
        <v>1852.302951824114</v>
      </c>
      <c r="J1279">
        <v>20</v>
      </c>
      <c r="K1279" t="s">
        <v>66</v>
      </c>
    </row>
    <row r="1280" spans="1:11" x14ac:dyDescent="0.3">
      <c r="A1280">
        <v>14.47490938879562</v>
      </c>
      <c r="B1280">
        <v>0</v>
      </c>
      <c r="C1280">
        <v>1.031165285600478</v>
      </c>
      <c r="D1280">
        <v>1.7288059310280071</v>
      </c>
      <c r="E1280">
        <v>6.0322557793775493</v>
      </c>
      <c r="F1280">
        <v>39.031422933126699</v>
      </c>
      <c r="G1280">
        <v>22.02993277125238</v>
      </c>
      <c r="H1280">
        <v>27.75030836653097</v>
      </c>
      <c r="I1280">
        <v>1471.096701346253</v>
      </c>
      <c r="J1280">
        <v>18</v>
      </c>
      <c r="K1280" t="s">
        <v>66</v>
      </c>
    </row>
    <row r="1281" spans="1:11" x14ac:dyDescent="0.3">
      <c r="A1281">
        <v>77.755551520634626</v>
      </c>
      <c r="B1281">
        <v>3.2552693886503921</v>
      </c>
      <c r="C1281">
        <v>5.5147287407991783</v>
      </c>
      <c r="D1281">
        <v>11.230702480153971</v>
      </c>
      <c r="E1281">
        <v>5.6111923708522342</v>
      </c>
      <c r="F1281">
        <v>30.04477428865145</v>
      </c>
      <c r="G1281">
        <v>18.30928532862967</v>
      </c>
      <c r="H1281">
        <v>17.88456406604633</v>
      </c>
      <c r="I1281">
        <v>1863.6035178957411</v>
      </c>
      <c r="J1281">
        <v>20</v>
      </c>
      <c r="K1281" t="s">
        <v>66</v>
      </c>
    </row>
    <row r="1282" spans="1:11" x14ac:dyDescent="0.3">
      <c r="A1282">
        <v>35.560365309993117</v>
      </c>
      <c r="B1282">
        <v>1.081080827315978</v>
      </c>
      <c r="C1282">
        <v>1.983824300426908</v>
      </c>
      <c r="D1282">
        <v>5.067962283609174</v>
      </c>
      <c r="E1282">
        <v>6.2114331588070142</v>
      </c>
      <c r="F1282">
        <v>21.276838539443691</v>
      </c>
      <c r="G1282">
        <v>25.314333778188569</v>
      </c>
      <c r="H1282">
        <v>18.254803553311699</v>
      </c>
      <c r="I1282">
        <v>1295.7689941525909</v>
      </c>
      <c r="J1282">
        <v>45</v>
      </c>
      <c r="K1282" t="s">
        <v>66</v>
      </c>
    </row>
    <row r="1283" spans="1:11" x14ac:dyDescent="0.3">
      <c r="A1283">
        <v>44.744203668903829</v>
      </c>
      <c r="B1283">
        <v>1.933842155134488</v>
      </c>
      <c r="C1283">
        <v>3.0792804814936909</v>
      </c>
      <c r="D1283">
        <v>7.352989523626869</v>
      </c>
      <c r="E1283">
        <v>7.491622172602078</v>
      </c>
      <c r="F1283">
        <v>46.902265289610263</v>
      </c>
      <c r="G1283">
        <v>30.368240020402979</v>
      </c>
      <c r="H1283">
        <v>21.879972356578492</v>
      </c>
      <c r="I1283">
        <v>1370.6575899043689</v>
      </c>
      <c r="J1283">
        <v>25</v>
      </c>
      <c r="K1283" t="s">
        <v>66</v>
      </c>
    </row>
    <row r="1284" spans="1:11" x14ac:dyDescent="0.3">
      <c r="A1284">
        <v>43.477587609012481</v>
      </c>
      <c r="B1284">
        <v>2.1102952550479048</v>
      </c>
      <c r="C1284">
        <v>1.843768724373777</v>
      </c>
      <c r="D1284">
        <v>7.2508277527386102</v>
      </c>
      <c r="E1284">
        <v>4.7887051265661924</v>
      </c>
      <c r="F1284">
        <v>34.858559364340707</v>
      </c>
      <c r="G1284">
        <v>17.94772344081051</v>
      </c>
      <c r="H1284">
        <v>19.193699106070991</v>
      </c>
      <c r="I1284">
        <v>1995.575266191074</v>
      </c>
      <c r="J1284">
        <v>40</v>
      </c>
      <c r="K1284" t="s">
        <v>66</v>
      </c>
    </row>
    <row r="1285" spans="1:11" x14ac:dyDescent="0.3">
      <c r="A1285">
        <v>112.2031498112998</v>
      </c>
      <c r="B1285">
        <v>4.4191080780438181</v>
      </c>
      <c r="C1285">
        <v>7.7050100404176689</v>
      </c>
      <c r="D1285">
        <v>19.24093501429784</v>
      </c>
      <c r="E1285">
        <v>5.5712376729093167</v>
      </c>
      <c r="F1285">
        <v>42.553979527247407</v>
      </c>
      <c r="G1285">
        <v>25.16195337949053</v>
      </c>
      <c r="H1285">
        <v>19.73982591031503</v>
      </c>
      <c r="I1285">
        <v>2072.6164940434551</v>
      </c>
      <c r="J1285">
        <v>20</v>
      </c>
      <c r="K1285" t="s">
        <v>66</v>
      </c>
    </row>
    <row r="1286" spans="1:11" x14ac:dyDescent="0.3">
      <c r="A1286">
        <v>32.994895939547511</v>
      </c>
      <c r="B1286">
        <v>1.003279699541159</v>
      </c>
      <c r="C1286">
        <v>1.5869833907487361</v>
      </c>
      <c r="D1286">
        <v>5.2093799800637486</v>
      </c>
      <c r="E1286">
        <v>5.4015125364761092</v>
      </c>
      <c r="F1286">
        <v>26.939852753932481</v>
      </c>
      <c r="G1286">
        <v>19.24382503022504</v>
      </c>
      <c r="H1286">
        <v>27.303584719036831</v>
      </c>
      <c r="I1286">
        <v>1887.688463320276</v>
      </c>
      <c r="J1286">
        <v>20</v>
      </c>
      <c r="K1286" t="s">
        <v>66</v>
      </c>
    </row>
    <row r="1287" spans="1:11" x14ac:dyDescent="0.3">
      <c r="A1287">
        <v>50.65963876017004</v>
      </c>
      <c r="B1287">
        <v>2.0735298585982842</v>
      </c>
      <c r="C1287">
        <v>2.771244228256021</v>
      </c>
      <c r="D1287">
        <v>8.1714093199360889</v>
      </c>
      <c r="E1287">
        <v>7.5</v>
      </c>
      <c r="F1287">
        <v>44.237598853886333</v>
      </c>
      <c r="G1287">
        <v>31.92412067254817</v>
      </c>
      <c r="H1287">
        <v>21.442513006226459</v>
      </c>
      <c r="I1287">
        <v>1360.520019790599</v>
      </c>
      <c r="J1287">
        <v>25</v>
      </c>
      <c r="K1287" t="s">
        <v>66</v>
      </c>
    </row>
    <row r="1288" spans="1:11" x14ac:dyDescent="0.3">
      <c r="A1288">
        <v>27.55356061760229</v>
      </c>
      <c r="B1288">
        <v>0.95826331863949155</v>
      </c>
      <c r="C1288">
        <v>0.84810891749099326</v>
      </c>
      <c r="D1288">
        <v>3.921685891612567</v>
      </c>
      <c r="E1288">
        <v>7.0432457287696044</v>
      </c>
      <c r="F1288">
        <v>56.415335913352592</v>
      </c>
      <c r="G1288">
        <v>20.56695152940636</v>
      </c>
      <c r="H1288">
        <v>21.44583729373716</v>
      </c>
      <c r="I1288">
        <v>1303.1668648500761</v>
      </c>
      <c r="J1288">
        <v>18</v>
      </c>
      <c r="K1288" t="s">
        <v>66</v>
      </c>
    </row>
    <row r="1289" spans="1:11" x14ac:dyDescent="0.3">
      <c r="A1289">
        <v>33.750706429553517</v>
      </c>
      <c r="B1289">
        <v>1.06863184569567</v>
      </c>
      <c r="C1289">
        <v>1.713369637095058</v>
      </c>
      <c r="D1289">
        <v>4.8982694294598472</v>
      </c>
      <c r="E1289">
        <v>5.1752800232577743</v>
      </c>
      <c r="F1289">
        <v>23.729930537360818</v>
      </c>
      <c r="G1289">
        <v>18.669581183155518</v>
      </c>
      <c r="H1289">
        <v>26.808993748574959</v>
      </c>
      <c r="I1289">
        <v>1932.3756426943689</v>
      </c>
      <c r="J1289">
        <v>20</v>
      </c>
      <c r="K1289" t="s">
        <v>66</v>
      </c>
    </row>
    <row r="1290" spans="1:11" x14ac:dyDescent="0.3">
      <c r="A1290">
        <v>93.811786829668051</v>
      </c>
      <c r="B1290">
        <v>4.0761998719116264</v>
      </c>
      <c r="C1290">
        <v>5.6464370089264166</v>
      </c>
      <c r="D1290">
        <v>15.721986515814161</v>
      </c>
      <c r="E1290">
        <v>5.4100318973647648</v>
      </c>
      <c r="F1290">
        <v>27.023754251735539</v>
      </c>
      <c r="G1290">
        <v>21.340603277014441</v>
      </c>
      <c r="H1290">
        <v>21.614777241723001</v>
      </c>
      <c r="I1290">
        <v>1680.4621854181989</v>
      </c>
      <c r="J1290">
        <v>25</v>
      </c>
      <c r="K1290" t="s">
        <v>66</v>
      </c>
    </row>
    <row r="1291" spans="1:11" x14ac:dyDescent="0.3">
      <c r="A1291">
        <v>59.381263223258337</v>
      </c>
      <c r="B1291">
        <v>1.757765614143844</v>
      </c>
      <c r="C1291">
        <v>3.4826342567203121</v>
      </c>
      <c r="D1291">
        <v>8.7808325754847569</v>
      </c>
      <c r="E1291">
        <v>6.1288192848442362</v>
      </c>
      <c r="F1291">
        <v>37.742774700577627</v>
      </c>
      <c r="G1291">
        <v>26.395846599090628</v>
      </c>
      <c r="H1291">
        <v>26.784971716761738</v>
      </c>
      <c r="I1291">
        <v>1506.3200330011889</v>
      </c>
      <c r="J1291">
        <v>18</v>
      </c>
      <c r="K1291" t="s">
        <v>66</v>
      </c>
    </row>
    <row r="1292" spans="1:11" x14ac:dyDescent="0.3">
      <c r="A1292">
        <v>20.91041004235624</v>
      </c>
      <c r="B1292">
        <v>0.89463175808536455</v>
      </c>
      <c r="C1292">
        <v>0.97156153503934906</v>
      </c>
      <c r="D1292">
        <v>2.941290440655929</v>
      </c>
      <c r="E1292">
        <v>6.3829139331744216</v>
      </c>
      <c r="F1292">
        <v>29.91613551784636</v>
      </c>
      <c r="G1292">
        <v>23.434899759599279</v>
      </c>
      <c r="H1292">
        <v>22.479531335154949</v>
      </c>
      <c r="I1292">
        <v>1691.9436430700609</v>
      </c>
      <c r="J1292">
        <v>17</v>
      </c>
      <c r="K1292" t="s">
        <v>66</v>
      </c>
    </row>
    <row r="1293" spans="1:11" x14ac:dyDescent="0.3">
      <c r="A1293">
        <v>55.599988360118722</v>
      </c>
      <c r="B1293">
        <v>1.925536189412415</v>
      </c>
      <c r="C1293">
        <v>3.428191609286765</v>
      </c>
      <c r="D1293">
        <v>8.3931564087155213</v>
      </c>
      <c r="E1293">
        <v>5.611485933969627</v>
      </c>
      <c r="F1293">
        <v>55.258407571941348</v>
      </c>
      <c r="G1293">
        <v>22.92037617313267</v>
      </c>
      <c r="H1293">
        <v>19.206041078020149</v>
      </c>
      <c r="I1293">
        <v>1869.7431540878731</v>
      </c>
      <c r="J1293">
        <v>40</v>
      </c>
      <c r="K1293" t="s">
        <v>66</v>
      </c>
    </row>
    <row r="1294" spans="1:11" x14ac:dyDescent="0.3">
      <c r="A1294">
        <v>31.072819920335348</v>
      </c>
      <c r="B1294">
        <v>0.90600968988911357</v>
      </c>
      <c r="C1294">
        <v>2.0093869804120739</v>
      </c>
      <c r="D1294">
        <v>4.8715274374391093</v>
      </c>
      <c r="E1294">
        <v>5.9961921411372536</v>
      </c>
      <c r="F1294">
        <v>27.22210736109955</v>
      </c>
      <c r="G1294">
        <v>27.91643940524115</v>
      </c>
      <c r="H1294">
        <v>23.389357181960769</v>
      </c>
      <c r="I1294">
        <v>1189.8133992792229</v>
      </c>
      <c r="J1294">
        <v>18</v>
      </c>
      <c r="K1294" t="s">
        <v>66</v>
      </c>
    </row>
    <row r="1295" spans="1:11" x14ac:dyDescent="0.3">
      <c r="A1295">
        <v>104.25969511476239</v>
      </c>
      <c r="B1295">
        <v>4.8851001847124031</v>
      </c>
      <c r="C1295">
        <v>6.4853592756657266</v>
      </c>
      <c r="D1295">
        <v>14.994970017329321</v>
      </c>
      <c r="E1295">
        <v>6.0883443907891248</v>
      </c>
      <c r="F1295">
        <v>28.181797775097891</v>
      </c>
      <c r="G1295">
        <v>20.500776403349771</v>
      </c>
      <c r="H1295">
        <v>26.81803175051844</v>
      </c>
      <c r="I1295">
        <v>2034.7652820022511</v>
      </c>
      <c r="J1295">
        <v>30</v>
      </c>
      <c r="K1295" t="s">
        <v>66</v>
      </c>
    </row>
    <row r="1296" spans="1:11" x14ac:dyDescent="0.3">
      <c r="A1296">
        <v>20.098724330809731</v>
      </c>
      <c r="B1296">
        <v>0.88834755600513404</v>
      </c>
      <c r="C1296">
        <v>1.0568103205128649</v>
      </c>
      <c r="D1296">
        <v>3.3558436422126898</v>
      </c>
      <c r="E1296">
        <v>6.4201608653057658</v>
      </c>
      <c r="F1296">
        <v>30.218646837079881</v>
      </c>
      <c r="G1296">
        <v>23.077060147779569</v>
      </c>
      <c r="H1296">
        <v>19.157830273356911</v>
      </c>
      <c r="I1296">
        <v>1292.9827052409571</v>
      </c>
      <c r="J1296">
        <v>30</v>
      </c>
      <c r="K1296" t="s">
        <v>66</v>
      </c>
    </row>
    <row r="1297" spans="1:11" x14ac:dyDescent="0.3">
      <c r="A1297">
        <v>20.49090874277551</v>
      </c>
      <c r="B1297">
        <v>1.07324921027798</v>
      </c>
      <c r="C1297">
        <v>1.054578671353235</v>
      </c>
      <c r="D1297">
        <v>3.6875733800456061</v>
      </c>
      <c r="E1297">
        <v>6.5201701945724961</v>
      </c>
      <c r="F1297">
        <v>38.352199085311852</v>
      </c>
      <c r="G1297">
        <v>23.93924505875971</v>
      </c>
      <c r="H1297">
        <v>19.85847712127979</v>
      </c>
      <c r="I1297">
        <v>1578.335405353424</v>
      </c>
      <c r="J1297">
        <v>25</v>
      </c>
      <c r="K1297" t="s">
        <v>66</v>
      </c>
    </row>
    <row r="1298" spans="1:11" x14ac:dyDescent="0.3">
      <c r="A1298">
        <v>18</v>
      </c>
      <c r="B1298">
        <v>0</v>
      </c>
      <c r="C1298">
        <v>1</v>
      </c>
      <c r="D1298">
        <v>2</v>
      </c>
      <c r="E1298">
        <v>5.5</v>
      </c>
      <c r="F1298">
        <v>22.7</v>
      </c>
      <c r="G1298">
        <v>20.8</v>
      </c>
      <c r="H1298">
        <v>27.1</v>
      </c>
      <c r="I1298">
        <v>2176</v>
      </c>
      <c r="J1298">
        <v>10</v>
      </c>
      <c r="K1298" t="s">
        <v>67</v>
      </c>
    </row>
    <row r="1299" spans="1:11" x14ac:dyDescent="0.3">
      <c r="A1299">
        <v>28.434972158608058</v>
      </c>
      <c r="B1299">
        <v>1.0104355937523211</v>
      </c>
      <c r="C1299">
        <v>1.9697401559534951</v>
      </c>
      <c r="D1299">
        <v>4.9893776103618794</v>
      </c>
      <c r="E1299">
        <v>6.2530512816905048</v>
      </c>
      <c r="F1299">
        <v>28.559674626793299</v>
      </c>
      <c r="G1299">
        <v>26.28431923229763</v>
      </c>
      <c r="H1299">
        <v>23.702992653135912</v>
      </c>
      <c r="I1299">
        <v>1176.2433116465879</v>
      </c>
      <c r="J1299">
        <v>18</v>
      </c>
      <c r="K1299" t="s">
        <v>66</v>
      </c>
    </row>
    <row r="1300" spans="1:11" x14ac:dyDescent="0.3">
      <c r="A1300">
        <v>45.376880755859673</v>
      </c>
      <c r="B1300">
        <v>2.2461749026309472</v>
      </c>
      <c r="C1300">
        <v>2.1882363732839938</v>
      </c>
      <c r="D1300">
        <v>6.0819584373532516</v>
      </c>
      <c r="E1300">
        <v>4.6528623387913211</v>
      </c>
      <c r="F1300">
        <v>32.604778080825689</v>
      </c>
      <c r="G1300">
        <v>17.711897794679999</v>
      </c>
      <c r="H1300">
        <v>19.907657519267708</v>
      </c>
      <c r="I1300">
        <v>1951.2097545425111</v>
      </c>
      <c r="J1300">
        <v>40</v>
      </c>
      <c r="K1300" t="s">
        <v>66</v>
      </c>
    </row>
    <row r="1301" spans="1:11" x14ac:dyDescent="0.3">
      <c r="A1301">
        <v>10.96298259885948</v>
      </c>
      <c r="B1301">
        <v>4.8764871496270006</v>
      </c>
      <c r="C1301">
        <v>7.336635664924227</v>
      </c>
      <c r="D1301">
        <v>15.9039399332983</v>
      </c>
      <c r="E1301">
        <v>6.1547113742007884</v>
      </c>
      <c r="F1301">
        <v>29.78694252158876</v>
      </c>
      <c r="G1301">
        <v>24.87136708723304</v>
      </c>
      <c r="H1301">
        <v>24.63043154910952</v>
      </c>
      <c r="I1301">
        <v>673.85709689653891</v>
      </c>
      <c r="J1301">
        <v>25</v>
      </c>
      <c r="K1301" t="s">
        <v>66</v>
      </c>
    </row>
    <row r="1302" spans="1:11" x14ac:dyDescent="0.3">
      <c r="A1302">
        <v>92.276974994909452</v>
      </c>
      <c r="B1302">
        <v>2.9009980629099061</v>
      </c>
      <c r="C1302">
        <v>6.5140214881455334</v>
      </c>
      <c r="D1302">
        <v>11.83603931424304</v>
      </c>
      <c r="E1302">
        <v>6.4636928773890059</v>
      </c>
      <c r="F1302">
        <v>34.696881063716241</v>
      </c>
      <c r="G1302">
        <v>20.853912541061032</v>
      </c>
      <c r="H1302">
        <v>28.139666662986059</v>
      </c>
      <c r="I1302">
        <v>2097.930658635184</v>
      </c>
      <c r="J1302">
        <v>25</v>
      </c>
      <c r="K1302" t="s">
        <v>66</v>
      </c>
    </row>
    <row r="1303" spans="1:11" x14ac:dyDescent="0.3">
      <c r="A1303">
        <v>123.2201210953822</v>
      </c>
      <c r="B1303">
        <v>5.4276363483620127</v>
      </c>
      <c r="C1303">
        <v>7.6296483903797938</v>
      </c>
      <c r="D1303">
        <v>19.44497276227953</v>
      </c>
      <c r="E1303">
        <v>6.2740733587966764</v>
      </c>
      <c r="F1303">
        <v>20.65013468615274</v>
      </c>
      <c r="G1303">
        <v>30.808525741527809</v>
      </c>
      <c r="H1303">
        <v>31.259693294135531</v>
      </c>
      <c r="I1303">
        <v>47.845933228484583</v>
      </c>
      <c r="J1303">
        <v>0</v>
      </c>
      <c r="K1303" t="s">
        <v>66</v>
      </c>
    </row>
    <row r="1304" spans="1:11" x14ac:dyDescent="0.3">
      <c r="A1304">
        <v>43.16591896982753</v>
      </c>
      <c r="B1304">
        <v>1.8903462410149841</v>
      </c>
      <c r="C1304">
        <v>3.356579046926103</v>
      </c>
      <c r="D1304">
        <v>7.4035159415856961</v>
      </c>
      <c r="E1304">
        <v>5.9628684187000696</v>
      </c>
      <c r="F1304">
        <v>21.936833281789418</v>
      </c>
      <c r="G1304">
        <v>20.319076189253099</v>
      </c>
      <c r="H1304">
        <v>20.410686312082749</v>
      </c>
      <c r="I1304">
        <v>1436.6356710061191</v>
      </c>
      <c r="J1304">
        <v>18</v>
      </c>
      <c r="K1304" t="s">
        <v>66</v>
      </c>
    </row>
    <row r="1305" spans="1:11" x14ac:dyDescent="0.3">
      <c r="A1305">
        <v>49.260754057845148</v>
      </c>
      <c r="B1305">
        <v>1.782834974222963</v>
      </c>
      <c r="C1305">
        <v>3.1608872728551569</v>
      </c>
      <c r="D1305">
        <v>6.1070221380029874</v>
      </c>
      <c r="E1305">
        <v>5.4573607184070427</v>
      </c>
      <c r="F1305">
        <v>19.84677107319898</v>
      </c>
      <c r="G1305">
        <v>22.573489331615711</v>
      </c>
      <c r="H1305">
        <v>27.211559478436499</v>
      </c>
      <c r="I1305">
        <v>1632.90362287677</v>
      </c>
      <c r="J1305">
        <v>18</v>
      </c>
      <c r="K1305" t="s">
        <v>66</v>
      </c>
    </row>
    <row r="1306" spans="1:11" x14ac:dyDescent="0.3">
      <c r="A1306">
        <v>135</v>
      </c>
      <c r="B1306">
        <v>6</v>
      </c>
      <c r="C1306">
        <v>9</v>
      </c>
      <c r="D1306">
        <v>21</v>
      </c>
      <c r="E1306">
        <v>6.1</v>
      </c>
      <c r="F1306">
        <v>27.6</v>
      </c>
      <c r="G1306">
        <v>21.5</v>
      </c>
      <c r="H1306">
        <v>20.9</v>
      </c>
      <c r="I1306">
        <v>1681</v>
      </c>
      <c r="J1306">
        <v>12</v>
      </c>
      <c r="K1306" t="s">
        <v>67</v>
      </c>
    </row>
    <row r="1307" spans="1:11" x14ac:dyDescent="0.3">
      <c r="A1307">
        <v>519.15980929079797</v>
      </c>
      <c r="B1307">
        <v>25.36698252996387</v>
      </c>
      <c r="C1307">
        <v>34.729726341719342</v>
      </c>
      <c r="D1307">
        <v>92.285574558210186</v>
      </c>
      <c r="E1307">
        <v>5.5940398417809023</v>
      </c>
      <c r="F1307">
        <v>61.47291795798791</v>
      </c>
      <c r="G1307">
        <v>31.439554979580709</v>
      </c>
      <c r="H1307">
        <v>30.884169913891629</v>
      </c>
      <c r="I1307">
        <v>11</v>
      </c>
      <c r="J1307">
        <v>0</v>
      </c>
      <c r="K1307" t="s">
        <v>66</v>
      </c>
    </row>
    <row r="1308" spans="1:11" x14ac:dyDescent="0.3">
      <c r="A1308">
        <v>37.371073246143467</v>
      </c>
      <c r="B1308">
        <v>1.095144927705809</v>
      </c>
      <c r="C1308">
        <v>1.9318802586180279</v>
      </c>
      <c r="D1308">
        <v>5.1929913096415987</v>
      </c>
      <c r="E1308">
        <v>6.3957331918560874</v>
      </c>
      <c r="F1308">
        <v>29.521710152039329</v>
      </c>
      <c r="G1308">
        <v>16.70118622539723</v>
      </c>
      <c r="H1308">
        <v>24.09236769758115</v>
      </c>
      <c r="I1308">
        <v>1431.751869451761</v>
      </c>
      <c r="J1308">
        <v>30</v>
      </c>
      <c r="K1308" t="s">
        <v>66</v>
      </c>
    </row>
    <row r="1309" spans="1:11" x14ac:dyDescent="0.3">
      <c r="A1309">
        <v>32</v>
      </c>
      <c r="B1309">
        <v>1</v>
      </c>
      <c r="C1309">
        <v>2</v>
      </c>
      <c r="D1309">
        <v>5</v>
      </c>
      <c r="E1309">
        <v>5.8</v>
      </c>
      <c r="F1309">
        <v>29.3</v>
      </c>
      <c r="G1309">
        <v>22.7</v>
      </c>
      <c r="H1309">
        <v>27</v>
      </c>
      <c r="I1309">
        <v>1597</v>
      </c>
      <c r="J1309">
        <v>18</v>
      </c>
      <c r="K1309" t="s">
        <v>67</v>
      </c>
    </row>
    <row r="1310" spans="1:11" x14ac:dyDescent="0.3">
      <c r="A1310">
        <v>380.61759300577143</v>
      </c>
      <c r="B1310">
        <v>13.72295661511246</v>
      </c>
      <c r="C1310">
        <v>22.841213782063399</v>
      </c>
      <c r="D1310">
        <v>60.576914740934633</v>
      </c>
      <c r="E1310">
        <v>5.0898601393107423</v>
      </c>
      <c r="F1310">
        <v>74.451649336305806</v>
      </c>
      <c r="G1310">
        <v>31.14633042866884</v>
      </c>
      <c r="H1310">
        <v>29.34627146336376</v>
      </c>
      <c r="I1310">
        <v>11</v>
      </c>
      <c r="J1310">
        <v>0</v>
      </c>
      <c r="K1310" t="s">
        <v>66</v>
      </c>
    </row>
    <row r="1311" spans="1:11" x14ac:dyDescent="0.3">
      <c r="A1311">
        <v>31.265620835844459</v>
      </c>
      <c r="B1311">
        <v>1.032579631658217</v>
      </c>
      <c r="C1311">
        <v>2.0092005494506551</v>
      </c>
      <c r="D1311">
        <v>4.5440463600721248</v>
      </c>
      <c r="E1311">
        <v>5.6607340819428398</v>
      </c>
      <c r="F1311">
        <v>22.201116169800169</v>
      </c>
      <c r="G1311">
        <v>30.40203324972823</v>
      </c>
      <c r="H1311">
        <v>25.162988763877159</v>
      </c>
      <c r="I1311">
        <v>732.89218997148453</v>
      </c>
      <c r="J1311">
        <v>0</v>
      </c>
      <c r="K1311" t="s">
        <v>66</v>
      </c>
    </row>
    <row r="1312" spans="1:11" x14ac:dyDescent="0.3">
      <c r="A1312">
        <v>128.9702506499568</v>
      </c>
      <c r="B1312">
        <v>6.4743753594976612</v>
      </c>
      <c r="C1312">
        <v>7.4321688062131717</v>
      </c>
      <c r="D1312">
        <v>20.221772765656841</v>
      </c>
      <c r="E1312">
        <v>4.9585586951776834</v>
      </c>
      <c r="F1312">
        <v>58.669389756475418</v>
      </c>
      <c r="G1312">
        <v>19.962746781071431</v>
      </c>
      <c r="H1312">
        <v>22.173536513096909</v>
      </c>
      <c r="I1312">
        <v>1682.924163486098</v>
      </c>
      <c r="J1312">
        <v>12</v>
      </c>
      <c r="K1312" t="s">
        <v>66</v>
      </c>
    </row>
    <row r="1313" spans="1:11" x14ac:dyDescent="0.3">
      <c r="A1313">
        <v>330.89109404526539</v>
      </c>
      <c r="B1313">
        <v>15.80739013767424</v>
      </c>
      <c r="C1313">
        <v>20.920642933607201</v>
      </c>
      <c r="D1313">
        <v>42.167229203707478</v>
      </c>
      <c r="E1313">
        <v>4.3</v>
      </c>
      <c r="F1313">
        <v>55.643313021541132</v>
      </c>
      <c r="G1313">
        <v>28.838591122562072</v>
      </c>
      <c r="H1313">
        <v>29.329736056836861</v>
      </c>
      <c r="I1313">
        <v>13.97992222304021</v>
      </c>
      <c r="J1313">
        <v>0</v>
      </c>
      <c r="K1313" t="s">
        <v>66</v>
      </c>
    </row>
    <row r="1314" spans="1:11" x14ac:dyDescent="0.3">
      <c r="A1314">
        <v>97.833816358171774</v>
      </c>
      <c r="B1314">
        <v>4.7932674194383624</v>
      </c>
      <c r="C1314">
        <v>8.3464120563774671</v>
      </c>
      <c r="D1314">
        <v>16.181431027146701</v>
      </c>
      <c r="E1314">
        <v>6.0424751062556892</v>
      </c>
      <c r="F1314">
        <v>27.551775404538819</v>
      </c>
      <c r="G1314">
        <v>21.49043214498673</v>
      </c>
      <c r="H1314">
        <v>29.562405034603181</v>
      </c>
      <c r="I1314">
        <v>1949.2235948867481</v>
      </c>
      <c r="J1314">
        <v>30</v>
      </c>
      <c r="K1314" t="s">
        <v>66</v>
      </c>
    </row>
    <row r="1315" spans="1:11" x14ac:dyDescent="0.3">
      <c r="A1315">
        <v>78.019942480905598</v>
      </c>
      <c r="B1315">
        <v>2.9602098760852278</v>
      </c>
      <c r="C1315">
        <v>5.560928928115235</v>
      </c>
      <c r="D1315">
        <v>10.45132629366454</v>
      </c>
      <c r="E1315">
        <v>5.4431724381363882</v>
      </c>
      <c r="F1315">
        <v>27.05211370573814</v>
      </c>
      <c r="G1315">
        <v>18.628941480657961</v>
      </c>
      <c r="H1315">
        <v>17.30357490710103</v>
      </c>
      <c r="I1315">
        <v>1914.8896386115</v>
      </c>
      <c r="J1315">
        <v>20</v>
      </c>
      <c r="K1315" t="s">
        <v>66</v>
      </c>
    </row>
    <row r="1316" spans="1:11" x14ac:dyDescent="0.3">
      <c r="A1316">
        <v>33.216914089368359</v>
      </c>
      <c r="B1316">
        <v>1.0168460976269611</v>
      </c>
      <c r="C1316">
        <v>1.824335384564052</v>
      </c>
      <c r="D1316">
        <v>4.3299639644380328</v>
      </c>
      <c r="E1316">
        <v>5.4749193700509311</v>
      </c>
      <c r="F1316">
        <v>27.18225116196928</v>
      </c>
      <c r="G1316">
        <v>21.562785557172749</v>
      </c>
      <c r="H1316">
        <v>26.70729172800684</v>
      </c>
      <c r="I1316">
        <v>1916.257836412291</v>
      </c>
      <c r="J1316">
        <v>20</v>
      </c>
      <c r="K1316" t="s">
        <v>66</v>
      </c>
    </row>
    <row r="1317" spans="1:11" x14ac:dyDescent="0.3">
      <c r="A1317">
        <v>29.093175665299</v>
      </c>
      <c r="B1317">
        <v>1.0294224129013489</v>
      </c>
      <c r="C1317">
        <v>1.1462195938717641</v>
      </c>
      <c r="D1317">
        <v>4.2775692932765033</v>
      </c>
      <c r="E1317">
        <v>5.286091918863681</v>
      </c>
      <c r="F1317">
        <v>30.508137243420549</v>
      </c>
      <c r="G1317">
        <v>18.056658688888941</v>
      </c>
      <c r="H1317">
        <v>25.890553342123219</v>
      </c>
      <c r="I1317">
        <v>1905.4010209172379</v>
      </c>
      <c r="J1317">
        <v>20</v>
      </c>
      <c r="K1317" t="s">
        <v>66</v>
      </c>
    </row>
    <row r="1318" spans="1:11" x14ac:dyDescent="0.3">
      <c r="A1318">
        <v>244.54902653159041</v>
      </c>
      <c r="B1318">
        <v>10.408233446026699</v>
      </c>
      <c r="C1318">
        <v>19.443831225512611</v>
      </c>
      <c r="D1318">
        <v>41.949590644089177</v>
      </c>
      <c r="E1318">
        <v>5.0470028538411542</v>
      </c>
      <c r="F1318">
        <v>26.00471612384159</v>
      </c>
      <c r="G1318">
        <v>20.775273678015441</v>
      </c>
      <c r="H1318">
        <v>18.902949979572281</v>
      </c>
      <c r="I1318">
        <v>1575.9396611025229</v>
      </c>
      <c r="J1318">
        <v>25</v>
      </c>
      <c r="K1318" t="s">
        <v>66</v>
      </c>
    </row>
    <row r="1319" spans="1:11" x14ac:dyDescent="0.3">
      <c r="A1319">
        <v>86.40484768169587</v>
      </c>
      <c r="B1319">
        <v>4.509950016511489</v>
      </c>
      <c r="C1319">
        <v>4.0980686037188176</v>
      </c>
      <c r="D1319">
        <v>14.7707721247906</v>
      </c>
      <c r="E1319">
        <v>6.2782285748459232</v>
      </c>
      <c r="F1319">
        <v>23.19544503855689</v>
      </c>
      <c r="G1319">
        <v>19.292856329137891</v>
      </c>
      <c r="H1319">
        <v>18.559596972897729</v>
      </c>
      <c r="I1319">
        <v>1622.111389135028</v>
      </c>
      <c r="J1319">
        <v>30</v>
      </c>
      <c r="K1319" t="s">
        <v>66</v>
      </c>
    </row>
    <row r="1320" spans="1:11" x14ac:dyDescent="0.3">
      <c r="A1320">
        <v>54</v>
      </c>
      <c r="B1320">
        <v>2</v>
      </c>
      <c r="C1320">
        <v>3</v>
      </c>
      <c r="D1320">
        <v>8</v>
      </c>
      <c r="E1320">
        <v>6.2</v>
      </c>
      <c r="F1320">
        <v>24.4</v>
      </c>
      <c r="G1320">
        <v>19</v>
      </c>
      <c r="H1320">
        <v>30</v>
      </c>
      <c r="I1320">
        <v>2239</v>
      </c>
      <c r="J1320">
        <v>15</v>
      </c>
      <c r="K1320" t="s">
        <v>67</v>
      </c>
    </row>
    <row r="1321" spans="1:11" x14ac:dyDescent="0.3">
      <c r="A1321">
        <v>73.571945358779885</v>
      </c>
      <c r="B1321">
        <v>3.2686066292287799</v>
      </c>
      <c r="C1321">
        <v>4.4539393998257166</v>
      </c>
      <c r="D1321">
        <v>14.389644502100291</v>
      </c>
      <c r="E1321">
        <v>5.4168951228552658</v>
      </c>
      <c r="F1321">
        <v>31.800302058536559</v>
      </c>
      <c r="G1321">
        <v>17.248010332999669</v>
      </c>
      <c r="H1321">
        <v>17.340499412313179</v>
      </c>
      <c r="I1321">
        <v>1936.1921262604581</v>
      </c>
      <c r="J1321">
        <v>20</v>
      </c>
      <c r="K1321" t="s">
        <v>66</v>
      </c>
    </row>
    <row r="1322" spans="1:11" x14ac:dyDescent="0.3">
      <c r="A1322">
        <v>25.93991629085847</v>
      </c>
      <c r="B1322">
        <v>1.183818367679512</v>
      </c>
      <c r="C1322">
        <v>1.1796360822926959</v>
      </c>
      <c r="D1322">
        <v>4.1738010584365224</v>
      </c>
      <c r="E1322">
        <v>6.4766531750658096</v>
      </c>
      <c r="F1322">
        <v>25.75289815059595</v>
      </c>
      <c r="G1322">
        <v>25.377478682889802</v>
      </c>
      <c r="H1322">
        <v>19.03855715726754</v>
      </c>
      <c r="I1322">
        <v>1793.7246108875031</v>
      </c>
      <c r="J1322">
        <v>40</v>
      </c>
      <c r="K1322" t="s">
        <v>66</v>
      </c>
    </row>
    <row r="1323" spans="1:11" x14ac:dyDescent="0.3">
      <c r="A1323">
        <v>22</v>
      </c>
      <c r="B1323">
        <v>1</v>
      </c>
      <c r="C1323">
        <v>1</v>
      </c>
      <c r="D1323">
        <v>3</v>
      </c>
      <c r="E1323">
        <v>6.5</v>
      </c>
      <c r="F1323">
        <v>37.799999999999997</v>
      </c>
      <c r="G1323">
        <v>25.2</v>
      </c>
      <c r="H1323">
        <v>20</v>
      </c>
      <c r="I1323">
        <v>1612</v>
      </c>
      <c r="J1323">
        <v>25</v>
      </c>
      <c r="K1323" t="s">
        <v>67</v>
      </c>
    </row>
    <row r="1324" spans="1:11" x14ac:dyDescent="0.3">
      <c r="A1324">
        <v>25.003469382154929</v>
      </c>
      <c r="B1324">
        <v>0.81793966994514822</v>
      </c>
      <c r="C1324">
        <v>0.94336054087852772</v>
      </c>
      <c r="D1324">
        <v>3.9907797775658129</v>
      </c>
      <c r="E1324">
        <v>6.0173172023322099</v>
      </c>
      <c r="F1324">
        <v>19.218384509705128</v>
      </c>
      <c r="G1324">
        <v>29.473308025329811</v>
      </c>
      <c r="H1324">
        <v>26.17141130547331</v>
      </c>
      <c r="I1324">
        <v>741.45278965442128</v>
      </c>
      <c r="J1324">
        <v>0</v>
      </c>
      <c r="K1324" t="s">
        <v>66</v>
      </c>
    </row>
    <row r="1325" spans="1:11" x14ac:dyDescent="0.3">
      <c r="A1325">
        <v>12.167412915462201</v>
      </c>
      <c r="B1325">
        <v>0</v>
      </c>
      <c r="C1325">
        <v>0</v>
      </c>
      <c r="D1325">
        <v>1.036674640789226</v>
      </c>
      <c r="E1325">
        <v>6.5106009577137858</v>
      </c>
      <c r="F1325">
        <v>23.899151952408669</v>
      </c>
      <c r="G1325">
        <v>19.044248065962101</v>
      </c>
      <c r="H1325">
        <v>31.730002104242509</v>
      </c>
      <c r="I1325">
        <v>2257</v>
      </c>
      <c r="J1325">
        <v>15</v>
      </c>
      <c r="K1325" t="s">
        <v>66</v>
      </c>
    </row>
    <row r="1326" spans="1:11" x14ac:dyDescent="0.3">
      <c r="A1326">
        <v>49.343128377461831</v>
      </c>
      <c r="B1326">
        <v>1.849568718881883</v>
      </c>
      <c r="C1326">
        <v>3.4467339324984869</v>
      </c>
      <c r="D1326">
        <v>2.0975549642168678</v>
      </c>
      <c r="E1326">
        <v>6.5980413792719963</v>
      </c>
      <c r="F1326">
        <v>23.627803106809541</v>
      </c>
      <c r="G1326">
        <v>30.430687881289121</v>
      </c>
      <c r="H1326">
        <v>26.643934518398261</v>
      </c>
      <c r="I1326">
        <v>711.22204196241967</v>
      </c>
      <c r="J1326">
        <v>0</v>
      </c>
      <c r="K1326" t="s">
        <v>66</v>
      </c>
    </row>
    <row r="1327" spans="1:11" x14ac:dyDescent="0.3">
      <c r="A1327">
        <v>120.2210243466124</v>
      </c>
      <c r="B1327">
        <v>6.9468708345373109</v>
      </c>
      <c r="C1327">
        <v>7.8249069986114996</v>
      </c>
      <c r="D1327">
        <v>17.044775186161111</v>
      </c>
      <c r="E1327">
        <v>6.1226810261199569</v>
      </c>
      <c r="F1327">
        <v>21.184952547101609</v>
      </c>
      <c r="G1327">
        <v>31.806487556164331</v>
      </c>
      <c r="H1327">
        <v>29.505859456117051</v>
      </c>
      <c r="I1327">
        <v>48.096732309985534</v>
      </c>
      <c r="J1327">
        <v>0</v>
      </c>
      <c r="K1327" t="s">
        <v>66</v>
      </c>
    </row>
    <row r="1328" spans="1:11" x14ac:dyDescent="0.3">
      <c r="A1328">
        <v>60.749438905902657</v>
      </c>
      <c r="B1328">
        <v>2.7313961032910932</v>
      </c>
      <c r="C1328">
        <v>3.9298486176405238</v>
      </c>
      <c r="D1328">
        <v>8.8757258988046672</v>
      </c>
      <c r="E1328">
        <v>6.1053756332236047</v>
      </c>
      <c r="F1328">
        <v>33.735781864702808</v>
      </c>
      <c r="G1328">
        <v>18.098161865597071</v>
      </c>
      <c r="H1328">
        <v>18.654030835852598</v>
      </c>
      <c r="I1328">
        <v>2070.7420365363091</v>
      </c>
      <c r="J1328">
        <v>20</v>
      </c>
      <c r="K1328" t="s">
        <v>66</v>
      </c>
    </row>
    <row r="1329" spans="1:11" x14ac:dyDescent="0.3">
      <c r="A1329">
        <v>42.259041735089021</v>
      </c>
      <c r="B1329">
        <v>2.123154229954229</v>
      </c>
      <c r="C1329">
        <v>2.4970379833357779</v>
      </c>
      <c r="D1329">
        <v>6.0477441209652998</v>
      </c>
      <c r="E1329">
        <v>5.8603139241113009</v>
      </c>
      <c r="F1329">
        <v>35.284359939462533</v>
      </c>
      <c r="G1329">
        <v>20.587944377586052</v>
      </c>
      <c r="H1329">
        <v>17.816408789930179</v>
      </c>
      <c r="I1329">
        <v>1899.432835847168</v>
      </c>
      <c r="J1329">
        <v>20</v>
      </c>
      <c r="K1329" t="s">
        <v>66</v>
      </c>
    </row>
    <row r="1330" spans="1:11" x14ac:dyDescent="0.3">
      <c r="A1330">
        <v>79.432725476583101</v>
      </c>
      <c r="B1330">
        <v>2.474451357974484</v>
      </c>
      <c r="C1330">
        <v>5.3913149131582587</v>
      </c>
      <c r="D1330">
        <v>13.521552584523709</v>
      </c>
      <c r="E1330">
        <v>5.7430841232323306</v>
      </c>
      <c r="F1330">
        <v>28.73539252630448</v>
      </c>
      <c r="G1330">
        <v>19.323805835442691</v>
      </c>
      <c r="H1330">
        <v>18.26007147667157</v>
      </c>
      <c r="I1330">
        <v>1975.8083508394459</v>
      </c>
      <c r="J1330">
        <v>20</v>
      </c>
      <c r="K1330" t="s">
        <v>66</v>
      </c>
    </row>
    <row r="1331" spans="1:11" x14ac:dyDescent="0.3">
      <c r="A1331">
        <v>33.040441787527257</v>
      </c>
      <c r="B1331">
        <v>0.90283432654587137</v>
      </c>
      <c r="C1331">
        <v>2.2136758667388028</v>
      </c>
      <c r="D1331">
        <v>4.8346125519884744</v>
      </c>
      <c r="E1331">
        <v>6.1538828328306989</v>
      </c>
      <c r="F1331">
        <v>32.86538147272443</v>
      </c>
      <c r="G1331">
        <v>21.006405258505819</v>
      </c>
      <c r="H1331">
        <v>20.220319879265229</v>
      </c>
      <c r="I1331">
        <v>1518.726249709651</v>
      </c>
      <c r="J1331">
        <v>25</v>
      </c>
      <c r="K1331" t="s">
        <v>66</v>
      </c>
    </row>
    <row r="1332" spans="1:11" x14ac:dyDescent="0.3">
      <c r="A1332">
        <v>31.290379611309529</v>
      </c>
      <c r="B1332">
        <v>0.98685274043283322</v>
      </c>
      <c r="C1332">
        <v>2.1401401224241172</v>
      </c>
      <c r="D1332">
        <v>4.4041098347344061</v>
      </c>
      <c r="E1332">
        <v>6.4101227086268668</v>
      </c>
      <c r="F1332">
        <v>22.584099398951</v>
      </c>
      <c r="G1332">
        <v>17.273480010869129</v>
      </c>
      <c r="H1332">
        <v>27.777438856063039</v>
      </c>
      <c r="I1332">
        <v>1586.826143203079</v>
      </c>
      <c r="J1332">
        <v>20</v>
      </c>
      <c r="K1332" t="s">
        <v>66</v>
      </c>
    </row>
    <row r="1333" spans="1:11" x14ac:dyDescent="0.3">
      <c r="A1333">
        <v>618.54250325418946</v>
      </c>
      <c r="B1333">
        <v>30.133018170691621</v>
      </c>
      <c r="C1333">
        <v>46.394152448385363</v>
      </c>
      <c r="D1333">
        <v>89.840241228878028</v>
      </c>
      <c r="E1333">
        <v>5.9622487381347229</v>
      </c>
      <c r="F1333">
        <v>73.587132613543616</v>
      </c>
      <c r="G1333">
        <v>32.241799449804788</v>
      </c>
      <c r="H1333">
        <v>32.559073778594993</v>
      </c>
      <c r="I1333">
        <v>11</v>
      </c>
      <c r="J1333">
        <v>0</v>
      </c>
      <c r="K1333" t="s">
        <v>66</v>
      </c>
    </row>
    <row r="1334" spans="1:11" x14ac:dyDescent="0.3">
      <c r="A1334">
        <v>54</v>
      </c>
      <c r="B1334">
        <v>2</v>
      </c>
      <c r="C1334">
        <v>3</v>
      </c>
      <c r="D1334">
        <v>8</v>
      </c>
      <c r="E1334">
        <v>5.5</v>
      </c>
      <c r="F1334">
        <v>22.2</v>
      </c>
      <c r="G1334">
        <v>21.4</v>
      </c>
      <c r="H1334">
        <v>29.7</v>
      </c>
      <c r="I1334">
        <v>1709</v>
      </c>
      <c r="J1334">
        <v>15</v>
      </c>
      <c r="K1334" t="s">
        <v>67</v>
      </c>
    </row>
    <row r="1335" spans="1:11" x14ac:dyDescent="0.3">
      <c r="A1335">
        <v>18.27656956878895</v>
      </c>
      <c r="B1335">
        <v>0</v>
      </c>
      <c r="C1335">
        <v>1.042439393786101</v>
      </c>
      <c r="D1335">
        <v>1.9971459294101219</v>
      </c>
      <c r="E1335">
        <v>6.2411578875157776</v>
      </c>
      <c r="F1335">
        <v>22.55083533540024</v>
      </c>
      <c r="G1335">
        <v>22.092334995629049</v>
      </c>
      <c r="H1335">
        <v>28.48654430183527</v>
      </c>
      <c r="I1335">
        <v>2156.4989348155509</v>
      </c>
      <c r="J1335">
        <v>25</v>
      </c>
      <c r="K1335" t="s">
        <v>66</v>
      </c>
    </row>
    <row r="1336" spans="1:11" x14ac:dyDescent="0.3">
      <c r="A1336">
        <v>39.844364666751851</v>
      </c>
      <c r="B1336">
        <v>1.9897212552823029</v>
      </c>
      <c r="C1336">
        <v>1.7401567273108349</v>
      </c>
      <c r="D1336">
        <v>5.3231624671153837</v>
      </c>
      <c r="E1336">
        <v>5.9803020704733871</v>
      </c>
      <c r="F1336">
        <v>34.681206821154213</v>
      </c>
      <c r="G1336">
        <v>20.692432568204751</v>
      </c>
      <c r="H1336">
        <v>17.59564169764727</v>
      </c>
      <c r="I1336">
        <v>1847.283112489627</v>
      </c>
      <c r="J1336">
        <v>20</v>
      </c>
      <c r="K1336" t="s">
        <v>66</v>
      </c>
    </row>
    <row r="1337" spans="1:11" x14ac:dyDescent="0.3">
      <c r="A1337">
        <v>17.970593689988231</v>
      </c>
      <c r="B1337">
        <v>0</v>
      </c>
      <c r="C1337">
        <v>1.0574071220893999</v>
      </c>
      <c r="D1337">
        <v>1.854365619806037</v>
      </c>
      <c r="E1337">
        <v>5.4177798780645956</v>
      </c>
      <c r="F1337">
        <v>27.070149251739551</v>
      </c>
      <c r="G1337">
        <v>23.05213361491171</v>
      </c>
      <c r="H1337">
        <v>25.65760123588035</v>
      </c>
      <c r="I1337">
        <v>1895.404975961023</v>
      </c>
      <c r="J1337">
        <v>20</v>
      </c>
      <c r="K1337" t="s">
        <v>66</v>
      </c>
    </row>
    <row r="1338" spans="1:11" x14ac:dyDescent="0.3">
      <c r="A1338">
        <v>50.41389766797424</v>
      </c>
      <c r="B1338">
        <v>2.2374772103129499</v>
      </c>
      <c r="C1338">
        <v>3.3560203860531992</v>
      </c>
      <c r="D1338">
        <v>8.1175482387093503</v>
      </c>
      <c r="E1338">
        <v>6.1697404843307799</v>
      </c>
      <c r="F1338">
        <v>24.937231872531051</v>
      </c>
      <c r="G1338">
        <v>19.68603949108407</v>
      </c>
      <c r="H1338">
        <v>29.558274180153219</v>
      </c>
      <c r="I1338">
        <v>2201.7398844549248</v>
      </c>
      <c r="J1338">
        <v>15</v>
      </c>
      <c r="K1338" t="s">
        <v>66</v>
      </c>
    </row>
    <row r="1339" spans="1:11" x14ac:dyDescent="0.3">
      <c r="A1339">
        <v>31.56976481517113</v>
      </c>
      <c r="B1339">
        <v>0.96307927995525544</v>
      </c>
      <c r="C1339">
        <v>2.133768026109244</v>
      </c>
      <c r="D1339">
        <v>3.9248562395965121</v>
      </c>
      <c r="E1339">
        <v>6.2364797871198903</v>
      </c>
      <c r="F1339">
        <v>22.54300551862185</v>
      </c>
      <c r="G1339">
        <v>16.64214226302208</v>
      </c>
      <c r="H1339">
        <v>26.457222731526929</v>
      </c>
      <c r="I1339">
        <v>1605.496810771227</v>
      </c>
      <c r="J1339">
        <v>20</v>
      </c>
      <c r="K1339" t="s">
        <v>66</v>
      </c>
    </row>
    <row r="1340" spans="1:11" x14ac:dyDescent="0.3">
      <c r="A1340">
        <v>23.61558323016682</v>
      </c>
      <c r="B1340">
        <v>0.95569559788715175</v>
      </c>
      <c r="C1340">
        <v>1.1453275476042539</v>
      </c>
      <c r="D1340">
        <v>2.723564692971324</v>
      </c>
      <c r="E1340">
        <v>5.9259869566176349</v>
      </c>
      <c r="F1340">
        <v>40.189430115959382</v>
      </c>
      <c r="G1340">
        <v>22.6344602829131</v>
      </c>
      <c r="H1340">
        <v>20.79066819821244</v>
      </c>
      <c r="I1340">
        <v>1628.652090184019</v>
      </c>
      <c r="J1340">
        <v>25</v>
      </c>
      <c r="K1340" t="s">
        <v>66</v>
      </c>
    </row>
    <row r="1341" spans="1:11" x14ac:dyDescent="0.3">
      <c r="A1341">
        <v>39.131007545135368</v>
      </c>
      <c r="B1341">
        <v>1.10176614668435</v>
      </c>
      <c r="C1341">
        <v>1.864271387741179</v>
      </c>
      <c r="D1341">
        <v>5.5304408415488462</v>
      </c>
      <c r="E1341">
        <v>6.0838743686060903</v>
      </c>
      <c r="F1341">
        <v>25.407400778886419</v>
      </c>
      <c r="G1341">
        <v>20.13684967089748</v>
      </c>
      <c r="H1341">
        <v>18.598272078356398</v>
      </c>
      <c r="I1341">
        <v>1987.290636860389</v>
      </c>
      <c r="J1341">
        <v>40</v>
      </c>
      <c r="K1341" t="s">
        <v>66</v>
      </c>
    </row>
    <row r="1342" spans="1:11" x14ac:dyDescent="0.3">
      <c r="A1342">
        <v>83.679969625025663</v>
      </c>
      <c r="B1342">
        <v>3.212464326976967</v>
      </c>
      <c r="C1342">
        <v>5.0727605988841207</v>
      </c>
      <c r="D1342">
        <v>12.87487637400284</v>
      </c>
      <c r="E1342">
        <v>6.7099768251950849</v>
      </c>
      <c r="F1342">
        <v>14.54082407953833</v>
      </c>
      <c r="G1342">
        <v>26.336263178542609</v>
      </c>
      <c r="H1342">
        <v>24.487198327627521</v>
      </c>
      <c r="I1342">
        <v>685.59943906293427</v>
      </c>
      <c r="J1342">
        <v>25</v>
      </c>
      <c r="K1342" t="s">
        <v>66</v>
      </c>
    </row>
    <row r="1343" spans="1:11" x14ac:dyDescent="0.3">
      <c r="A1343">
        <v>29.482916240537421</v>
      </c>
      <c r="B1343">
        <v>1.0355613348785659</v>
      </c>
      <c r="C1343">
        <v>1.975254210745033</v>
      </c>
      <c r="D1343">
        <v>4.9899506241151741</v>
      </c>
      <c r="E1343">
        <v>5.9862507083317968</v>
      </c>
      <c r="F1343">
        <v>27.790104853924429</v>
      </c>
      <c r="G1343">
        <v>26.291524312340631</v>
      </c>
      <c r="H1343">
        <v>20.53190648831815</v>
      </c>
      <c r="I1343">
        <v>1188.832448901841</v>
      </c>
      <c r="J1343">
        <v>18</v>
      </c>
      <c r="K1343" t="s">
        <v>66</v>
      </c>
    </row>
    <row r="1344" spans="1:11" x14ac:dyDescent="0.3">
      <c r="A1344">
        <v>74.931818887033373</v>
      </c>
      <c r="B1344">
        <v>2.944642392703245</v>
      </c>
      <c r="C1344">
        <v>5.2791682116058531</v>
      </c>
      <c r="D1344">
        <v>9.990636647456105</v>
      </c>
      <c r="E1344">
        <v>5.532334432673748</v>
      </c>
      <c r="F1344">
        <v>30.18036431884472</v>
      </c>
      <c r="G1344">
        <v>18.05490546120075</v>
      </c>
      <c r="H1344">
        <v>18.07895599004388</v>
      </c>
      <c r="I1344">
        <v>1885.808626562964</v>
      </c>
      <c r="J1344">
        <v>20</v>
      </c>
      <c r="K1344" t="s">
        <v>66</v>
      </c>
    </row>
    <row r="1345" spans="1:11" x14ac:dyDescent="0.3">
      <c r="A1345">
        <v>91.199342197504947</v>
      </c>
      <c r="B1345">
        <v>4.7616546358292027</v>
      </c>
      <c r="C1345">
        <v>5.4730420483059197</v>
      </c>
      <c r="D1345">
        <v>14.104313431357481</v>
      </c>
      <c r="E1345">
        <v>6.0723176662855014</v>
      </c>
      <c r="F1345">
        <v>34.061199191121467</v>
      </c>
      <c r="G1345">
        <v>20.959604125546779</v>
      </c>
      <c r="H1345">
        <v>20.55155665500877</v>
      </c>
      <c r="I1345">
        <v>1614.6824452465009</v>
      </c>
      <c r="J1345">
        <v>40</v>
      </c>
      <c r="K1345" t="s">
        <v>66</v>
      </c>
    </row>
    <row r="1346" spans="1:11" x14ac:dyDescent="0.3">
      <c r="A1346">
        <v>4</v>
      </c>
      <c r="B1346">
        <v>0</v>
      </c>
      <c r="C1346">
        <v>0</v>
      </c>
      <c r="D1346">
        <v>0</v>
      </c>
      <c r="E1346">
        <v>6.3</v>
      </c>
      <c r="F1346">
        <v>22.8</v>
      </c>
      <c r="G1346">
        <v>17.899999999999999</v>
      </c>
      <c r="H1346">
        <v>24.1</v>
      </c>
      <c r="I1346">
        <v>1434</v>
      </c>
      <c r="J1346">
        <v>30</v>
      </c>
      <c r="K1346" t="s">
        <v>67</v>
      </c>
    </row>
    <row r="1347" spans="1:11" x14ac:dyDescent="0.3">
      <c r="A1347">
        <v>128.6581007516823</v>
      </c>
      <c r="B1347">
        <v>6.2779731180708636</v>
      </c>
      <c r="C1347">
        <v>8.0379947746013141</v>
      </c>
      <c r="D1347">
        <v>24.210594858916629</v>
      </c>
      <c r="E1347">
        <v>4.9029200241819</v>
      </c>
      <c r="F1347">
        <v>53.343334653581572</v>
      </c>
      <c r="G1347">
        <v>19.701768507898588</v>
      </c>
      <c r="H1347">
        <v>21.33259255361385</v>
      </c>
      <c r="I1347">
        <v>1739.295923554839</v>
      </c>
      <c r="J1347">
        <v>12</v>
      </c>
      <c r="K1347" t="s">
        <v>66</v>
      </c>
    </row>
    <row r="1348" spans="1:11" x14ac:dyDescent="0.3">
      <c r="A1348">
        <v>10.199999999999999</v>
      </c>
      <c r="B1348">
        <v>5</v>
      </c>
      <c r="C1348">
        <v>7</v>
      </c>
      <c r="D1348">
        <v>16</v>
      </c>
      <c r="E1348">
        <v>6.3</v>
      </c>
      <c r="F1348">
        <v>29.6</v>
      </c>
      <c r="G1348">
        <v>24.5</v>
      </c>
      <c r="H1348">
        <v>25.1</v>
      </c>
      <c r="I1348">
        <v>682</v>
      </c>
      <c r="J1348">
        <v>25</v>
      </c>
      <c r="K1348" t="s">
        <v>67</v>
      </c>
    </row>
    <row r="1349" spans="1:11" x14ac:dyDescent="0.3">
      <c r="A1349">
        <v>51.413774114078862</v>
      </c>
      <c r="B1349">
        <v>1.6971059381638469</v>
      </c>
      <c r="C1349">
        <v>3.2468348342502011</v>
      </c>
      <c r="D1349">
        <v>7.5246313020946669</v>
      </c>
      <c r="E1349">
        <v>5.5754901246731983</v>
      </c>
      <c r="F1349">
        <v>33.86446229724482</v>
      </c>
      <c r="G1349">
        <v>19.631155383595061</v>
      </c>
      <c r="H1349">
        <v>20.92297476686549</v>
      </c>
      <c r="I1349">
        <v>1745.729752679908</v>
      </c>
      <c r="J1349">
        <v>10</v>
      </c>
      <c r="K1349" t="s">
        <v>66</v>
      </c>
    </row>
    <row r="1350" spans="1:11" x14ac:dyDescent="0.3">
      <c r="A1350">
        <v>925.05585882100149</v>
      </c>
      <c r="B1350">
        <v>47</v>
      </c>
      <c r="C1350">
        <v>65.127299995913219</v>
      </c>
      <c r="D1350">
        <v>145.8614167105975</v>
      </c>
      <c r="E1350">
        <v>5.5389280395456382</v>
      </c>
      <c r="F1350">
        <v>25.87517800634182</v>
      </c>
      <c r="G1350">
        <v>18.781183444438799</v>
      </c>
      <c r="H1350">
        <v>21.447073376282049</v>
      </c>
      <c r="I1350">
        <v>1493.2604213234461</v>
      </c>
      <c r="J1350">
        <v>30</v>
      </c>
      <c r="K1350" t="s">
        <v>66</v>
      </c>
    </row>
    <row r="1351" spans="1:11" x14ac:dyDescent="0.3">
      <c r="A1351">
        <v>101.5871890646726</v>
      </c>
      <c r="B1351">
        <v>4.3252820746991896</v>
      </c>
      <c r="C1351">
        <v>6.1458740751077361</v>
      </c>
      <c r="D1351">
        <v>13.403942153487771</v>
      </c>
      <c r="E1351">
        <v>6.1863262022809034</v>
      </c>
      <c r="F1351">
        <v>32.021731128791799</v>
      </c>
      <c r="G1351">
        <v>20.066357470190589</v>
      </c>
      <c r="H1351">
        <v>18.45841305787043</v>
      </c>
      <c r="I1351">
        <v>2073.4999629043532</v>
      </c>
      <c r="J1351">
        <v>20</v>
      </c>
      <c r="K1351" t="s">
        <v>66</v>
      </c>
    </row>
    <row r="1352" spans="1:11" x14ac:dyDescent="0.3">
      <c r="A1352">
        <v>44.715519543893713</v>
      </c>
      <c r="B1352">
        <v>2.0520561013165768</v>
      </c>
      <c r="C1352">
        <v>1.845077005996284</v>
      </c>
      <c r="D1352">
        <v>6.2753964010045742</v>
      </c>
      <c r="E1352">
        <v>6.1385632520060067</v>
      </c>
      <c r="F1352">
        <v>37.494829469461408</v>
      </c>
      <c r="G1352">
        <v>19.538618440230071</v>
      </c>
      <c r="H1352">
        <v>17.42194714876916</v>
      </c>
      <c r="I1352">
        <v>1923.172875755241</v>
      </c>
      <c r="J1352">
        <v>20</v>
      </c>
      <c r="K1352" t="s">
        <v>66</v>
      </c>
    </row>
    <row r="1353" spans="1:11" x14ac:dyDescent="0.3">
      <c r="A1353">
        <v>100.4355287694019</v>
      </c>
      <c r="B1353">
        <v>2.8305677987487168</v>
      </c>
      <c r="C1353">
        <v>3.8090357175228799</v>
      </c>
      <c r="D1353">
        <v>9.9200915473374511</v>
      </c>
      <c r="E1353">
        <v>6.0730962622864224</v>
      </c>
      <c r="F1353">
        <v>31.017370350004509</v>
      </c>
      <c r="G1353">
        <v>17.34841231575254</v>
      </c>
      <c r="H1353">
        <v>19.33498609406465</v>
      </c>
      <c r="I1353">
        <v>2088.5043745130301</v>
      </c>
      <c r="J1353">
        <v>20</v>
      </c>
      <c r="K1353" t="s">
        <v>66</v>
      </c>
    </row>
    <row r="1354" spans="1:11" x14ac:dyDescent="0.3">
      <c r="A1354">
        <v>349.94094699530842</v>
      </c>
      <c r="B1354">
        <v>14.943889209788029</v>
      </c>
      <c r="C1354">
        <v>23.271445619361799</v>
      </c>
      <c r="D1354">
        <v>54.383979343937042</v>
      </c>
      <c r="E1354">
        <v>5.2462647679059788</v>
      </c>
      <c r="F1354">
        <v>74.545991429116711</v>
      </c>
      <c r="G1354">
        <v>32.766125889853903</v>
      </c>
      <c r="H1354">
        <v>31.67245540144609</v>
      </c>
      <c r="I1354">
        <v>11.118739209542429</v>
      </c>
      <c r="J1354">
        <v>0</v>
      </c>
      <c r="K1354" t="s">
        <v>66</v>
      </c>
    </row>
    <row r="1355" spans="1:11" x14ac:dyDescent="0.3">
      <c r="A1355">
        <v>104.166020893118</v>
      </c>
      <c r="B1355">
        <v>3.496622133926488</v>
      </c>
      <c r="C1355">
        <v>4.0077376283247022</v>
      </c>
      <c r="D1355">
        <v>9.9548771096759481</v>
      </c>
      <c r="E1355">
        <v>6.0010629244402676</v>
      </c>
      <c r="F1355">
        <v>31.46275421161533</v>
      </c>
      <c r="G1355">
        <v>16.84271857058495</v>
      </c>
      <c r="H1355">
        <v>18.950325416368809</v>
      </c>
      <c r="I1355">
        <v>2095.4113308311212</v>
      </c>
      <c r="J1355">
        <v>20</v>
      </c>
      <c r="K1355" t="s">
        <v>66</v>
      </c>
    </row>
    <row r="1356" spans="1:11" x14ac:dyDescent="0.3">
      <c r="A1356">
        <v>22.33251303988369</v>
      </c>
      <c r="B1356">
        <v>0.98232258368842174</v>
      </c>
      <c r="C1356">
        <v>0.93331512830484364</v>
      </c>
      <c r="D1356">
        <v>2.7005079674126828</v>
      </c>
      <c r="E1356">
        <v>6.1592139087214894</v>
      </c>
      <c r="F1356">
        <v>32.137966470413261</v>
      </c>
      <c r="G1356">
        <v>23.629220007544969</v>
      </c>
      <c r="H1356">
        <v>24.934522965093532</v>
      </c>
      <c r="I1356">
        <v>1417.761120974119</v>
      </c>
      <c r="J1356">
        <v>7</v>
      </c>
      <c r="K1356" t="s">
        <v>66</v>
      </c>
    </row>
    <row r="1357" spans="1:11" x14ac:dyDescent="0.3">
      <c r="A1357">
        <v>27.867675725821179</v>
      </c>
      <c r="B1357">
        <v>1.0038237994960031</v>
      </c>
      <c r="C1357">
        <v>1.027834863464467</v>
      </c>
      <c r="D1357">
        <v>4.1872279832189694</v>
      </c>
      <c r="E1357">
        <v>5.8256431460432037</v>
      </c>
      <c r="F1357">
        <v>20.748588999127811</v>
      </c>
      <c r="G1357">
        <v>20.53721473348412</v>
      </c>
      <c r="H1357">
        <v>27.35166874082169</v>
      </c>
      <c r="I1357">
        <v>2242.187445619415</v>
      </c>
      <c r="J1357">
        <v>10</v>
      </c>
      <c r="K1357" t="s">
        <v>66</v>
      </c>
    </row>
    <row r="1358" spans="1:11" x14ac:dyDescent="0.3">
      <c r="A1358">
        <v>38</v>
      </c>
      <c r="B1358">
        <v>1</v>
      </c>
      <c r="C1358">
        <v>2</v>
      </c>
      <c r="D1358">
        <v>6</v>
      </c>
      <c r="E1358">
        <v>6.2</v>
      </c>
      <c r="F1358">
        <v>18.7</v>
      </c>
      <c r="G1358">
        <v>18.2</v>
      </c>
      <c r="H1358">
        <v>30</v>
      </c>
      <c r="I1358">
        <v>2257</v>
      </c>
      <c r="J1358">
        <v>15</v>
      </c>
      <c r="K1358" t="s">
        <v>67</v>
      </c>
    </row>
    <row r="1359" spans="1:11" x14ac:dyDescent="0.3">
      <c r="A1359">
        <v>52.073627777939201</v>
      </c>
      <c r="B1359">
        <v>2.162279310898318</v>
      </c>
      <c r="C1359">
        <v>2.8446922281392362</v>
      </c>
      <c r="D1359">
        <v>7.3512848510398001</v>
      </c>
      <c r="E1359">
        <v>5.8880272707375472</v>
      </c>
      <c r="F1359">
        <v>26.423243633640539</v>
      </c>
      <c r="G1359">
        <v>24.085313122987831</v>
      </c>
      <c r="H1359">
        <v>23.342411510709351</v>
      </c>
      <c r="I1359">
        <v>1507.3246173131729</v>
      </c>
      <c r="J1359">
        <v>30</v>
      </c>
      <c r="K1359" t="s">
        <v>66</v>
      </c>
    </row>
    <row r="1360" spans="1:11" x14ac:dyDescent="0.3">
      <c r="A1360">
        <v>93.068367006940619</v>
      </c>
      <c r="B1360">
        <v>3.3592136752411328</v>
      </c>
      <c r="C1360">
        <v>7.0843179861827306</v>
      </c>
      <c r="D1360">
        <v>13.793912609840159</v>
      </c>
      <c r="E1360">
        <v>6.8141267092406288</v>
      </c>
      <c r="F1360">
        <v>14.11090931745421</v>
      </c>
      <c r="G1360">
        <v>35.246461477670323</v>
      </c>
      <c r="H1360">
        <v>30.681923868401562</v>
      </c>
      <c r="I1360">
        <v>49.186756779129212</v>
      </c>
      <c r="J1360">
        <v>0</v>
      </c>
      <c r="K1360" t="s">
        <v>66</v>
      </c>
    </row>
    <row r="1361" spans="1:11" x14ac:dyDescent="0.3">
      <c r="A1361">
        <v>30.297496523542719</v>
      </c>
      <c r="B1361">
        <v>1.0251473608940509</v>
      </c>
      <c r="C1361">
        <v>1.365914852824389</v>
      </c>
      <c r="D1361">
        <v>5.0420471941250984</v>
      </c>
      <c r="E1361">
        <v>5.9851488133817528</v>
      </c>
      <c r="F1361">
        <v>30.921904580429288</v>
      </c>
      <c r="G1361">
        <v>26.649820609161281</v>
      </c>
      <c r="H1361">
        <v>22.21042584876249</v>
      </c>
      <c r="I1361">
        <v>1219.1942614465349</v>
      </c>
      <c r="J1361">
        <v>18</v>
      </c>
      <c r="K1361" t="s">
        <v>66</v>
      </c>
    </row>
    <row r="1362" spans="1:11" x14ac:dyDescent="0.3">
      <c r="A1362">
        <v>21.387871277788879</v>
      </c>
      <c r="B1362">
        <v>0.96968202171657247</v>
      </c>
      <c r="C1362">
        <v>1.123000057271915</v>
      </c>
      <c r="D1362">
        <v>3.2908707077258721</v>
      </c>
      <c r="E1362">
        <v>6.4854197204038062</v>
      </c>
      <c r="F1362">
        <v>32.378683898663681</v>
      </c>
      <c r="G1362">
        <v>18.477462705955929</v>
      </c>
      <c r="H1362">
        <v>16</v>
      </c>
      <c r="I1362">
        <v>1720.7483701441579</v>
      </c>
      <c r="J1362">
        <v>30</v>
      </c>
      <c r="K1362" t="s">
        <v>66</v>
      </c>
    </row>
    <row r="1363" spans="1:11" x14ac:dyDescent="0.3">
      <c r="A1363">
        <v>12.48944232752358</v>
      </c>
      <c r="B1363">
        <v>0</v>
      </c>
      <c r="C1363">
        <v>0</v>
      </c>
      <c r="D1363">
        <v>1.0773239986665759</v>
      </c>
      <c r="E1363">
        <v>6.2283069846275474</v>
      </c>
      <c r="F1363">
        <v>18.390866694815141</v>
      </c>
      <c r="G1363">
        <v>18.885030737147229</v>
      </c>
      <c r="H1363">
        <v>19.49119039309625</v>
      </c>
      <c r="I1363">
        <v>1816.147419208861</v>
      </c>
      <c r="J1363">
        <v>40</v>
      </c>
      <c r="K1363" t="s">
        <v>66</v>
      </c>
    </row>
    <row r="1364" spans="1:11" x14ac:dyDescent="0.3">
      <c r="A1364">
        <v>4.2183013703844923</v>
      </c>
      <c r="B1364">
        <v>0</v>
      </c>
      <c r="C1364">
        <v>0</v>
      </c>
      <c r="D1364">
        <v>0</v>
      </c>
      <c r="E1364">
        <v>6.3445750994923147</v>
      </c>
      <c r="F1364">
        <v>21.887327009723158</v>
      </c>
      <c r="G1364">
        <v>18.4721330765719</v>
      </c>
      <c r="H1364">
        <v>25.299362789091209</v>
      </c>
      <c r="I1364">
        <v>1455.9160600420471</v>
      </c>
      <c r="J1364">
        <v>30</v>
      </c>
      <c r="K1364" t="s">
        <v>66</v>
      </c>
    </row>
    <row r="1365" spans="1:11" x14ac:dyDescent="0.3">
      <c r="A1365">
        <v>41.567216138626542</v>
      </c>
      <c r="B1365">
        <v>2.0164879505869</v>
      </c>
      <c r="C1365">
        <v>2.3945084353579622</v>
      </c>
      <c r="D1365">
        <v>6.439697449093047</v>
      </c>
      <c r="E1365">
        <v>6.3967023974138204</v>
      </c>
      <c r="F1365">
        <v>27.615754108444911</v>
      </c>
      <c r="G1365">
        <v>21.192816306967309</v>
      </c>
      <c r="H1365">
        <v>26.93214108295129</v>
      </c>
      <c r="I1365">
        <v>1966.046402894965</v>
      </c>
      <c r="J1365">
        <v>30</v>
      </c>
      <c r="K1365" t="s">
        <v>66</v>
      </c>
    </row>
    <row r="1366" spans="1:11" x14ac:dyDescent="0.3">
      <c r="A1366">
        <v>21.411394205672671</v>
      </c>
      <c r="B1366">
        <v>0.94296486335863194</v>
      </c>
      <c r="C1366">
        <v>1.1820543907941821</v>
      </c>
      <c r="D1366">
        <v>3.350136236400989</v>
      </c>
      <c r="E1366">
        <v>6.1603415415417944</v>
      </c>
      <c r="F1366">
        <v>28.870807402074899</v>
      </c>
      <c r="G1366">
        <v>21.995485254056788</v>
      </c>
      <c r="H1366">
        <v>19.798277757999941</v>
      </c>
      <c r="I1366">
        <v>1244.216698987985</v>
      </c>
      <c r="J1366">
        <v>30</v>
      </c>
      <c r="K1366" t="s">
        <v>66</v>
      </c>
    </row>
    <row r="1367" spans="1:11" x14ac:dyDescent="0.3">
      <c r="A1367">
        <v>43.004926097652032</v>
      </c>
      <c r="B1367">
        <v>1.736150561080247</v>
      </c>
      <c r="C1367">
        <v>3.329190056263112</v>
      </c>
      <c r="D1367">
        <v>5.3870516448392234</v>
      </c>
      <c r="E1367">
        <v>5.9922792317337477</v>
      </c>
      <c r="F1367">
        <v>22.20455563019361</v>
      </c>
      <c r="G1367">
        <v>20.40270456591406</v>
      </c>
      <c r="H1367">
        <v>21.057072405754759</v>
      </c>
      <c r="I1367">
        <v>1487.9692688337329</v>
      </c>
      <c r="J1367">
        <v>18</v>
      </c>
      <c r="K1367" t="s">
        <v>66</v>
      </c>
    </row>
    <row r="1368" spans="1:11" x14ac:dyDescent="0.3">
      <c r="A1368">
        <v>66.809232160534421</v>
      </c>
      <c r="B1368">
        <v>3.2547306332229429</v>
      </c>
      <c r="C1368">
        <v>3.6909725004975038</v>
      </c>
      <c r="D1368">
        <v>11.328056888986969</v>
      </c>
      <c r="E1368">
        <v>5.7532443593077396</v>
      </c>
      <c r="F1368">
        <v>32.416532679577877</v>
      </c>
      <c r="G1368">
        <v>19.912020935573839</v>
      </c>
      <c r="H1368">
        <v>21.027382812462559</v>
      </c>
      <c r="I1368">
        <v>1544.613490810199</v>
      </c>
      <c r="J1368">
        <v>25</v>
      </c>
      <c r="K1368" t="s">
        <v>66</v>
      </c>
    </row>
    <row r="1369" spans="1:11" x14ac:dyDescent="0.3">
      <c r="A1369">
        <v>29.732231554521661</v>
      </c>
      <c r="B1369">
        <v>0.88063631682435195</v>
      </c>
      <c r="C1369">
        <v>2.0313387456493048</v>
      </c>
      <c r="D1369">
        <v>4.2438104180834406</v>
      </c>
      <c r="E1369">
        <v>5.9843905780351117</v>
      </c>
      <c r="F1369">
        <v>22.989451396759218</v>
      </c>
      <c r="G1369">
        <v>16.333515206471859</v>
      </c>
      <c r="H1369">
        <v>20.578934356685739</v>
      </c>
      <c r="I1369">
        <v>1718.7038809147421</v>
      </c>
      <c r="J1369">
        <v>35</v>
      </c>
      <c r="K1369" t="s">
        <v>66</v>
      </c>
    </row>
    <row r="1370" spans="1:11" x14ac:dyDescent="0.3">
      <c r="A1370">
        <v>37.920502928669407</v>
      </c>
      <c r="B1370">
        <v>0.91627375689502999</v>
      </c>
      <c r="C1370">
        <v>1.733374329044439</v>
      </c>
      <c r="D1370">
        <v>6.658332114963863</v>
      </c>
      <c r="E1370">
        <v>5.8462632768381004</v>
      </c>
      <c r="F1370">
        <v>27.630927898955321</v>
      </c>
      <c r="G1370">
        <v>17.040976598101121</v>
      </c>
      <c r="H1370">
        <v>23.77955288537478</v>
      </c>
      <c r="I1370">
        <v>1479.9424573428009</v>
      </c>
      <c r="J1370">
        <v>30</v>
      </c>
      <c r="K1370" t="s">
        <v>66</v>
      </c>
    </row>
    <row r="1371" spans="1:11" x14ac:dyDescent="0.3">
      <c r="A1371">
        <v>6.60483188007397</v>
      </c>
      <c r="B1371">
        <v>0</v>
      </c>
      <c r="C1371">
        <v>0</v>
      </c>
      <c r="D1371">
        <v>1.072851864351454</v>
      </c>
      <c r="E1371">
        <v>6.0956602602480032</v>
      </c>
      <c r="F1371">
        <v>22.352849332057179</v>
      </c>
      <c r="G1371">
        <v>17.6710378150268</v>
      </c>
      <c r="H1371">
        <v>16</v>
      </c>
      <c r="I1371">
        <v>1758.9742588518141</v>
      </c>
      <c r="J1371">
        <v>30</v>
      </c>
      <c r="K1371" t="s">
        <v>66</v>
      </c>
    </row>
    <row r="1372" spans="1:11" x14ac:dyDescent="0.3">
      <c r="A1372">
        <v>12</v>
      </c>
      <c r="B1372">
        <v>0</v>
      </c>
      <c r="C1372">
        <v>0</v>
      </c>
      <c r="D1372">
        <v>1</v>
      </c>
      <c r="E1372">
        <v>6</v>
      </c>
      <c r="F1372">
        <v>18.8</v>
      </c>
      <c r="G1372">
        <v>18.7</v>
      </c>
      <c r="H1372">
        <v>19.2</v>
      </c>
      <c r="I1372">
        <v>1839</v>
      </c>
      <c r="J1372">
        <v>40</v>
      </c>
      <c r="K1372" t="s">
        <v>67</v>
      </c>
    </row>
    <row r="1373" spans="1:11" x14ac:dyDescent="0.3">
      <c r="A1373">
        <v>349.84981934505419</v>
      </c>
      <c r="B1373">
        <v>15.67284604642221</v>
      </c>
      <c r="C1373">
        <v>24.564506829096391</v>
      </c>
      <c r="D1373">
        <v>50.8018994380108</v>
      </c>
      <c r="E1373">
        <v>4.3</v>
      </c>
      <c r="F1373">
        <v>61.805437924181007</v>
      </c>
      <c r="G1373">
        <v>30.685853434854469</v>
      </c>
      <c r="H1373">
        <v>29.264203217929971</v>
      </c>
      <c r="I1373">
        <v>13.96267157417493</v>
      </c>
      <c r="J1373">
        <v>0</v>
      </c>
      <c r="K1373" t="s">
        <v>66</v>
      </c>
    </row>
    <row r="1374" spans="1:11" x14ac:dyDescent="0.3">
      <c r="A1374">
        <v>53.65144668437312</v>
      </c>
      <c r="B1374">
        <v>2.0163991112827122</v>
      </c>
      <c r="C1374">
        <v>3.12591168250718</v>
      </c>
      <c r="D1374">
        <v>9.1555297560440696</v>
      </c>
      <c r="E1374">
        <v>6.5361207852664371</v>
      </c>
      <c r="F1374">
        <v>20.87930152193357</v>
      </c>
      <c r="G1374">
        <v>23.528514177293221</v>
      </c>
      <c r="H1374">
        <v>21.16894517838784</v>
      </c>
      <c r="I1374">
        <v>1708.041318549482</v>
      </c>
      <c r="J1374">
        <v>25</v>
      </c>
      <c r="K1374" t="s">
        <v>66</v>
      </c>
    </row>
    <row r="1375" spans="1:11" x14ac:dyDescent="0.3">
      <c r="A1375">
        <v>48.044204110054928</v>
      </c>
      <c r="B1375">
        <v>1.9619921929997011</v>
      </c>
      <c r="C1375">
        <v>3.1758497401178349</v>
      </c>
      <c r="D1375">
        <v>6.1685643320577306</v>
      </c>
      <c r="E1375">
        <v>7.5</v>
      </c>
      <c r="F1375">
        <v>43.126411617649858</v>
      </c>
      <c r="G1375">
        <v>31.37418054262956</v>
      </c>
      <c r="H1375">
        <v>22.39479361922097</v>
      </c>
      <c r="I1375">
        <v>1371.18055065969</v>
      </c>
      <c r="J1375">
        <v>25</v>
      </c>
      <c r="K1375" t="s">
        <v>66</v>
      </c>
    </row>
    <row r="1376" spans="1:11" x14ac:dyDescent="0.3">
      <c r="A1376">
        <v>46.59530380493252</v>
      </c>
      <c r="B1376">
        <v>1.994718848608215</v>
      </c>
      <c r="C1376">
        <v>3.153449872608558</v>
      </c>
      <c r="D1376">
        <v>7.2801650988687427</v>
      </c>
      <c r="E1376">
        <v>5.2840381937377128</v>
      </c>
      <c r="F1376">
        <v>19.363486045946249</v>
      </c>
      <c r="G1376">
        <v>23.54223639072605</v>
      </c>
      <c r="H1376">
        <v>27.15073534690951</v>
      </c>
      <c r="I1376">
        <v>1542.7514888452961</v>
      </c>
      <c r="J1376">
        <v>18</v>
      </c>
      <c r="K1376" t="s">
        <v>66</v>
      </c>
    </row>
    <row r="1377" spans="1:11" x14ac:dyDescent="0.3">
      <c r="A1377">
        <v>99.239306721240311</v>
      </c>
      <c r="B1377">
        <v>4.4916584357117513</v>
      </c>
      <c r="C1377">
        <v>6.7034809927902756</v>
      </c>
      <c r="D1377">
        <v>16.80917669195648</v>
      </c>
      <c r="E1377">
        <v>6.3221895642198067</v>
      </c>
      <c r="F1377">
        <v>28.541640562287501</v>
      </c>
      <c r="G1377">
        <v>21.406484534306951</v>
      </c>
      <c r="H1377">
        <v>27.554028726373311</v>
      </c>
      <c r="I1377">
        <v>1975.27794246342</v>
      </c>
      <c r="J1377">
        <v>30</v>
      </c>
      <c r="K1377" t="s">
        <v>66</v>
      </c>
    </row>
    <row r="1378" spans="1:11" x14ac:dyDescent="0.3">
      <c r="A1378">
        <v>51.039860072865693</v>
      </c>
      <c r="B1378">
        <v>1.848343586222482</v>
      </c>
      <c r="C1378">
        <v>3.0097221040020412</v>
      </c>
      <c r="D1378">
        <v>8.4984698783112762</v>
      </c>
      <c r="E1378">
        <v>6.1997937484233709</v>
      </c>
      <c r="F1378">
        <v>41.11509194996502</v>
      </c>
      <c r="G1378">
        <v>26.290610250578659</v>
      </c>
      <c r="H1378">
        <v>27.240703998287859</v>
      </c>
      <c r="I1378">
        <v>1462.0564943901529</v>
      </c>
      <c r="J1378">
        <v>18</v>
      </c>
      <c r="K1378" t="s">
        <v>66</v>
      </c>
    </row>
    <row r="1379" spans="1:11" x14ac:dyDescent="0.3">
      <c r="A1379">
        <v>505</v>
      </c>
      <c r="B1379">
        <v>25</v>
      </c>
      <c r="C1379">
        <v>35</v>
      </c>
      <c r="D1379">
        <v>82</v>
      </c>
      <c r="E1379">
        <v>5.4</v>
      </c>
      <c r="F1379">
        <v>64.900000000000006</v>
      </c>
      <c r="G1379">
        <v>31</v>
      </c>
      <c r="H1379">
        <v>31</v>
      </c>
      <c r="I1379">
        <v>11</v>
      </c>
      <c r="J1379">
        <v>0</v>
      </c>
      <c r="K1379" t="s">
        <v>67</v>
      </c>
    </row>
    <row r="1380" spans="1:11" x14ac:dyDescent="0.3">
      <c r="A1380">
        <v>60.595280693138882</v>
      </c>
      <c r="B1380">
        <v>1.718962030639285</v>
      </c>
      <c r="C1380">
        <v>2.8315326761008119</v>
      </c>
      <c r="D1380">
        <v>7.7151263611047556</v>
      </c>
      <c r="E1380">
        <v>5.8560036543909968</v>
      </c>
      <c r="F1380">
        <v>54.815570671593598</v>
      </c>
      <c r="G1380">
        <v>22.504256110572239</v>
      </c>
      <c r="H1380">
        <v>19.808865990541388</v>
      </c>
      <c r="I1380">
        <v>1925.4788834228241</v>
      </c>
      <c r="J1380">
        <v>40</v>
      </c>
      <c r="K1380" t="s">
        <v>66</v>
      </c>
    </row>
    <row r="1381" spans="1:11" x14ac:dyDescent="0.3">
      <c r="A1381">
        <v>66.68766326622692</v>
      </c>
      <c r="B1381">
        <v>2.4370341881874382</v>
      </c>
      <c r="C1381">
        <v>3.8974637286510032</v>
      </c>
      <c r="D1381">
        <v>10.03371905490105</v>
      </c>
      <c r="E1381">
        <v>6.1048450862497949</v>
      </c>
      <c r="F1381">
        <v>37.097624493908228</v>
      </c>
      <c r="G1381">
        <v>20.365061422602182</v>
      </c>
      <c r="H1381">
        <v>27.023340369638081</v>
      </c>
      <c r="I1381">
        <v>2035.5184111560441</v>
      </c>
      <c r="J1381">
        <v>25</v>
      </c>
      <c r="K1381" t="s">
        <v>66</v>
      </c>
    </row>
    <row r="1382" spans="1:11" x14ac:dyDescent="0.3">
      <c r="A1382">
        <v>75.223613887200656</v>
      </c>
      <c r="B1382">
        <v>2.939552539815744</v>
      </c>
      <c r="C1382">
        <v>4.9972198531759648</v>
      </c>
      <c r="D1382">
        <v>10.676178742520291</v>
      </c>
      <c r="E1382">
        <v>6.6120341953599704</v>
      </c>
      <c r="F1382">
        <v>15.644339290416021</v>
      </c>
      <c r="G1382">
        <v>27.04926714240845</v>
      </c>
      <c r="H1382">
        <v>24.978838581477721</v>
      </c>
      <c r="I1382">
        <v>692.42351908408909</v>
      </c>
      <c r="J1382">
        <v>25</v>
      </c>
      <c r="K1382" t="s">
        <v>66</v>
      </c>
    </row>
    <row r="1383" spans="1:11" x14ac:dyDescent="0.3">
      <c r="A1383">
        <v>58.68710226854617</v>
      </c>
      <c r="B1383">
        <v>2.0819525591918988</v>
      </c>
      <c r="C1383">
        <v>2.5310897080286239</v>
      </c>
      <c r="D1383">
        <v>8.5767975623245079</v>
      </c>
      <c r="E1383">
        <v>6.2648333040733641</v>
      </c>
      <c r="F1383">
        <v>34.264396254997273</v>
      </c>
      <c r="G1383">
        <v>20.738365964980641</v>
      </c>
      <c r="H1383">
        <v>19.91624292373055</v>
      </c>
      <c r="I1383">
        <v>1262.61587885576</v>
      </c>
      <c r="J1383">
        <v>18</v>
      </c>
      <c r="K1383" t="s">
        <v>66</v>
      </c>
    </row>
    <row r="1384" spans="1:11" x14ac:dyDescent="0.3">
      <c r="A1384">
        <v>23.133311799435031</v>
      </c>
      <c r="B1384">
        <v>1.108176672767283</v>
      </c>
      <c r="C1384">
        <v>0.93699750204661059</v>
      </c>
      <c r="D1384">
        <v>3.2393552104146419</v>
      </c>
      <c r="E1384">
        <v>6.3259762157218811</v>
      </c>
      <c r="F1384">
        <v>27.432581327500841</v>
      </c>
      <c r="G1384">
        <v>23.172968257206481</v>
      </c>
      <c r="H1384">
        <v>22.06654965150171</v>
      </c>
      <c r="I1384">
        <v>1754.260849530988</v>
      </c>
      <c r="J1384">
        <v>17</v>
      </c>
      <c r="K1384" t="s">
        <v>66</v>
      </c>
    </row>
    <row r="1385" spans="1:11" x14ac:dyDescent="0.3">
      <c r="A1385">
        <v>17.194150855167621</v>
      </c>
      <c r="B1385">
        <v>0</v>
      </c>
      <c r="C1385">
        <v>0.89047294811571953</v>
      </c>
      <c r="D1385">
        <v>2.1685027792910012</v>
      </c>
      <c r="E1385">
        <v>5.6818204356353474</v>
      </c>
      <c r="F1385">
        <v>25.166890319351982</v>
      </c>
      <c r="G1385">
        <v>23.64674782678853</v>
      </c>
      <c r="H1385">
        <v>27.169165698046761</v>
      </c>
      <c r="I1385">
        <v>1975.790257759734</v>
      </c>
      <c r="J1385">
        <v>20</v>
      </c>
      <c r="K1385" t="s">
        <v>66</v>
      </c>
    </row>
    <row r="1386" spans="1:11" x14ac:dyDescent="0.3">
      <c r="A1386">
        <v>67.920922421446434</v>
      </c>
      <c r="B1386">
        <v>2.9887288065061561</v>
      </c>
      <c r="C1386">
        <v>4.1983220084110284</v>
      </c>
      <c r="D1386">
        <v>8.9620086450107692</v>
      </c>
      <c r="E1386">
        <v>6.2997240537751136</v>
      </c>
      <c r="F1386">
        <v>35.670401444649883</v>
      </c>
      <c r="G1386">
        <v>20.223465130786671</v>
      </c>
      <c r="H1386">
        <v>30.205144727943409</v>
      </c>
      <c r="I1386">
        <v>2020.2040648014779</v>
      </c>
      <c r="J1386">
        <v>25</v>
      </c>
      <c r="K1386" t="s">
        <v>66</v>
      </c>
    </row>
    <row r="1387" spans="1:11" x14ac:dyDescent="0.3">
      <c r="A1387">
        <v>0</v>
      </c>
      <c r="B1387">
        <v>0</v>
      </c>
      <c r="C1387">
        <v>0</v>
      </c>
      <c r="D1387">
        <v>0</v>
      </c>
      <c r="E1387">
        <v>6.0502378353246247</v>
      </c>
      <c r="F1387">
        <v>19.989323972408961</v>
      </c>
      <c r="G1387">
        <v>29.591155731754519</v>
      </c>
      <c r="H1387">
        <v>32.666577659255623</v>
      </c>
      <c r="I1387">
        <v>1756.8618129869849</v>
      </c>
      <c r="J1387">
        <v>26</v>
      </c>
      <c r="K1387" t="s">
        <v>66</v>
      </c>
    </row>
    <row r="1388" spans="1:11" x14ac:dyDescent="0.3">
      <c r="A1388">
        <v>118.767875377157</v>
      </c>
      <c r="B1388">
        <v>5.9798324611777716</v>
      </c>
      <c r="C1388">
        <v>6.1026725113128863</v>
      </c>
      <c r="D1388">
        <v>18.405772867550041</v>
      </c>
      <c r="E1388">
        <v>5.908095310637111</v>
      </c>
      <c r="F1388">
        <v>30.526193600565389</v>
      </c>
      <c r="G1388">
        <v>24.069126672957879</v>
      </c>
      <c r="H1388">
        <v>18.59189868278515</v>
      </c>
      <c r="I1388">
        <v>2127.8714928946779</v>
      </c>
      <c r="J1388">
        <v>20</v>
      </c>
      <c r="K1388" t="s">
        <v>66</v>
      </c>
    </row>
    <row r="1389" spans="1:11" x14ac:dyDescent="0.3">
      <c r="A1389">
        <v>62.102989876395277</v>
      </c>
      <c r="B1389">
        <v>3.2994932694443881</v>
      </c>
      <c r="C1389">
        <v>3.7489064375661978</v>
      </c>
      <c r="D1389">
        <v>9.6038201234491876</v>
      </c>
      <c r="E1389">
        <v>5.9507671319324444</v>
      </c>
      <c r="F1389">
        <v>33.6051350452409</v>
      </c>
      <c r="G1389">
        <v>17.75023219819078</v>
      </c>
      <c r="H1389">
        <v>20.925327897534931</v>
      </c>
      <c r="I1389">
        <v>2206.1743755594939</v>
      </c>
      <c r="J1389">
        <v>20</v>
      </c>
      <c r="K1389" t="s">
        <v>66</v>
      </c>
    </row>
    <row r="1390" spans="1:11" x14ac:dyDescent="0.3">
      <c r="A1390">
        <v>7.2750300555277914</v>
      </c>
      <c r="B1390">
        <v>0</v>
      </c>
      <c r="C1390">
        <v>0</v>
      </c>
      <c r="D1390">
        <v>1.1103217572053661</v>
      </c>
      <c r="E1390">
        <v>6.5434619899706963</v>
      </c>
      <c r="F1390">
        <v>27.183647320678059</v>
      </c>
      <c r="G1390">
        <v>22.785510686030349</v>
      </c>
      <c r="H1390">
        <v>20.555579677911339</v>
      </c>
      <c r="I1390">
        <v>1653.2785491517891</v>
      </c>
      <c r="J1390">
        <v>25</v>
      </c>
      <c r="K1390" t="s">
        <v>66</v>
      </c>
    </row>
    <row r="1391" spans="1:11" x14ac:dyDescent="0.3">
      <c r="A1391">
        <v>102.6890067894345</v>
      </c>
      <c r="B1391">
        <v>5.7266303316605169</v>
      </c>
      <c r="C1391">
        <v>7.0558610388411136</v>
      </c>
      <c r="D1391">
        <v>14.80773156749224</v>
      </c>
      <c r="E1391">
        <v>6.3781096362462257</v>
      </c>
      <c r="F1391">
        <v>26.21712094549363</v>
      </c>
      <c r="G1391">
        <v>20.209343740438641</v>
      </c>
      <c r="H1391">
        <v>28.162612720830289</v>
      </c>
      <c r="I1391">
        <v>2030.036885327743</v>
      </c>
      <c r="J1391">
        <v>30</v>
      </c>
      <c r="K1391" t="s">
        <v>66</v>
      </c>
    </row>
    <row r="1392" spans="1:11" x14ac:dyDescent="0.3">
      <c r="A1392">
        <v>44.268735379611194</v>
      </c>
      <c r="B1392">
        <v>1.773876933012495</v>
      </c>
      <c r="C1392">
        <v>1.8655028807987331</v>
      </c>
      <c r="D1392">
        <v>6.1439146475095781</v>
      </c>
      <c r="E1392">
        <v>6.3499422365148863</v>
      </c>
      <c r="F1392">
        <v>23.11655707850791</v>
      </c>
      <c r="G1392">
        <v>19.517832536459061</v>
      </c>
      <c r="H1392">
        <v>29.182479673125151</v>
      </c>
      <c r="I1392">
        <v>2031.6199619995191</v>
      </c>
      <c r="J1392">
        <v>30</v>
      </c>
      <c r="K1392" t="s">
        <v>66</v>
      </c>
    </row>
    <row r="1393" spans="1:11" x14ac:dyDescent="0.3">
      <c r="A1393">
        <v>43.002667303910982</v>
      </c>
      <c r="B1393">
        <v>0.71678444018894316</v>
      </c>
      <c r="C1393">
        <v>1.8534062201752479</v>
      </c>
      <c r="D1393">
        <v>6.0315158209291901</v>
      </c>
      <c r="E1393">
        <v>6.0083645123315126</v>
      </c>
      <c r="F1393">
        <v>25.667037143971289</v>
      </c>
      <c r="G1393">
        <v>20.576012138490281</v>
      </c>
      <c r="H1393">
        <v>19.484277481461369</v>
      </c>
      <c r="I1393">
        <v>1970.2648025240319</v>
      </c>
      <c r="J1393">
        <v>40</v>
      </c>
      <c r="K1393" t="s">
        <v>66</v>
      </c>
    </row>
    <row r="1394" spans="1:11" x14ac:dyDescent="0.3">
      <c r="A1394">
        <v>87.851926859674919</v>
      </c>
      <c r="B1394">
        <v>4.2795313680810141</v>
      </c>
      <c r="C1394">
        <v>6.3091765929746808</v>
      </c>
      <c r="D1394">
        <v>11.64081166862373</v>
      </c>
      <c r="E1394">
        <v>6.2390590116828664</v>
      </c>
      <c r="F1394">
        <v>36.026165054824268</v>
      </c>
      <c r="G1394">
        <v>19.152988765537941</v>
      </c>
      <c r="H1394">
        <v>29.711514903581278</v>
      </c>
      <c r="I1394">
        <v>2076.8622652105728</v>
      </c>
      <c r="J1394">
        <v>25</v>
      </c>
      <c r="K1394" t="s">
        <v>66</v>
      </c>
    </row>
    <row r="1395" spans="1:11" x14ac:dyDescent="0.3">
      <c r="A1395">
        <v>21.719525060837061</v>
      </c>
      <c r="B1395">
        <v>1.0679373282956499</v>
      </c>
      <c r="C1395">
        <v>0.78038721789000531</v>
      </c>
      <c r="D1395">
        <v>2.9614361120244128</v>
      </c>
      <c r="E1395">
        <v>6.2484546647587376</v>
      </c>
      <c r="F1395">
        <v>39.017746845204499</v>
      </c>
      <c r="G1395">
        <v>25.304808081569021</v>
      </c>
      <c r="H1395">
        <v>20.475047164405229</v>
      </c>
      <c r="I1395">
        <v>1577.0648473997569</v>
      </c>
      <c r="J1395">
        <v>25</v>
      </c>
      <c r="K1395" t="s">
        <v>66</v>
      </c>
    </row>
    <row r="1396" spans="1:11" x14ac:dyDescent="0.3">
      <c r="A1396">
        <v>40</v>
      </c>
      <c r="B1396">
        <v>1</v>
      </c>
      <c r="C1396">
        <v>2</v>
      </c>
      <c r="D1396">
        <v>6</v>
      </c>
      <c r="E1396">
        <v>6</v>
      </c>
      <c r="F1396">
        <v>25.6</v>
      </c>
      <c r="G1396">
        <v>20.3</v>
      </c>
      <c r="H1396">
        <v>19.2</v>
      </c>
      <c r="I1396">
        <v>1960</v>
      </c>
      <c r="J1396">
        <v>40</v>
      </c>
      <c r="K1396" t="s">
        <v>67</v>
      </c>
    </row>
    <row r="1397" spans="1:11" x14ac:dyDescent="0.3">
      <c r="A1397">
        <v>15.80225809398352</v>
      </c>
      <c r="B1397">
        <v>0</v>
      </c>
      <c r="C1397">
        <v>1.079784377989577</v>
      </c>
      <c r="D1397">
        <v>1.7770355625295171</v>
      </c>
      <c r="E1397">
        <v>5.5507399292749611</v>
      </c>
      <c r="F1397">
        <v>27.646470963646049</v>
      </c>
      <c r="G1397">
        <v>22.93024369968612</v>
      </c>
      <c r="H1397">
        <v>27.69408566105098</v>
      </c>
      <c r="I1397">
        <v>2044.9870579090591</v>
      </c>
      <c r="J1397">
        <v>20</v>
      </c>
      <c r="K1397" t="s">
        <v>66</v>
      </c>
    </row>
    <row r="1398" spans="1:11" x14ac:dyDescent="0.3">
      <c r="A1398">
        <v>88.164710604767322</v>
      </c>
      <c r="B1398">
        <v>4.0303821071664352</v>
      </c>
      <c r="C1398">
        <v>6.3432037669802837</v>
      </c>
      <c r="D1398">
        <v>12.668341881456859</v>
      </c>
      <c r="E1398">
        <v>5.8336731312859884</v>
      </c>
      <c r="F1398">
        <v>34.597165857171213</v>
      </c>
      <c r="G1398">
        <v>20.8794189078172</v>
      </c>
      <c r="H1398">
        <v>20.567298382795641</v>
      </c>
      <c r="I1398">
        <v>1566.473668813707</v>
      </c>
      <c r="J1398">
        <v>40</v>
      </c>
      <c r="K1398" t="s">
        <v>66</v>
      </c>
    </row>
    <row r="1399" spans="1:11" x14ac:dyDescent="0.3">
      <c r="A1399">
        <v>36.968511770005527</v>
      </c>
      <c r="B1399">
        <v>1.2363872494619359</v>
      </c>
      <c r="C1399">
        <v>1.8603600650777901</v>
      </c>
      <c r="D1399">
        <v>4.9521199646525798</v>
      </c>
      <c r="E1399">
        <v>5.9382073552280072</v>
      </c>
      <c r="F1399">
        <v>24.549979569750441</v>
      </c>
      <c r="G1399">
        <v>20.388680751067579</v>
      </c>
      <c r="H1399">
        <v>19.380427215567519</v>
      </c>
      <c r="I1399">
        <v>1921.145186669117</v>
      </c>
      <c r="J1399">
        <v>40</v>
      </c>
      <c r="K1399" t="s">
        <v>66</v>
      </c>
    </row>
    <row r="1400" spans="1:11" x14ac:dyDescent="0.3">
      <c r="A1400">
        <v>371</v>
      </c>
      <c r="B1400">
        <v>18</v>
      </c>
      <c r="C1400">
        <v>26</v>
      </c>
      <c r="D1400">
        <v>60</v>
      </c>
      <c r="E1400">
        <v>4.5999999999999996</v>
      </c>
      <c r="F1400">
        <v>48.6</v>
      </c>
      <c r="G1400">
        <v>19.899999999999999</v>
      </c>
      <c r="H1400">
        <v>20.6</v>
      </c>
      <c r="I1400">
        <v>1618</v>
      </c>
      <c r="J1400">
        <v>8</v>
      </c>
      <c r="K1400" t="s">
        <v>67</v>
      </c>
    </row>
    <row r="1401" spans="1:11" x14ac:dyDescent="0.3">
      <c r="A1401">
        <v>26</v>
      </c>
      <c r="B1401">
        <v>1</v>
      </c>
      <c r="C1401">
        <v>1</v>
      </c>
      <c r="D1401">
        <v>4</v>
      </c>
      <c r="E1401">
        <v>6.9</v>
      </c>
      <c r="F1401">
        <v>54.2</v>
      </c>
      <c r="G1401">
        <v>21.1</v>
      </c>
      <c r="H1401">
        <v>21</v>
      </c>
      <c r="I1401">
        <v>1284</v>
      </c>
      <c r="J1401">
        <v>18</v>
      </c>
      <c r="K1401" t="s">
        <v>67</v>
      </c>
    </row>
    <row r="1402" spans="1:11" x14ac:dyDescent="0.3">
      <c r="A1402">
        <v>685</v>
      </c>
      <c r="B1402">
        <v>34</v>
      </c>
      <c r="C1402">
        <v>47</v>
      </c>
      <c r="D1402">
        <v>109</v>
      </c>
      <c r="E1402">
        <v>6</v>
      </c>
      <c r="F1402">
        <v>70</v>
      </c>
      <c r="G1402">
        <v>29.3</v>
      </c>
      <c r="H1402">
        <v>31</v>
      </c>
      <c r="I1402">
        <v>11</v>
      </c>
      <c r="J1402">
        <v>0</v>
      </c>
      <c r="K1402" t="s">
        <v>67</v>
      </c>
    </row>
    <row r="1403" spans="1:11" x14ac:dyDescent="0.3">
      <c r="A1403">
        <v>27.732456058841048</v>
      </c>
      <c r="B1403">
        <v>1.114844570919675</v>
      </c>
      <c r="C1403">
        <v>0.99609804806224556</v>
      </c>
      <c r="D1403">
        <v>3.738528343745033</v>
      </c>
      <c r="E1403">
        <v>6.0403161808128694</v>
      </c>
      <c r="F1403">
        <v>18.628303499717461</v>
      </c>
      <c r="G1403">
        <v>30.947542501805898</v>
      </c>
      <c r="H1403">
        <v>25.23529716384289</v>
      </c>
      <c r="I1403">
        <v>717.70799006062248</v>
      </c>
      <c r="J1403">
        <v>0</v>
      </c>
      <c r="K1403" t="s">
        <v>66</v>
      </c>
    </row>
    <row r="1404" spans="1:11" x14ac:dyDescent="0.3">
      <c r="A1404">
        <v>124.6514432646393</v>
      </c>
      <c r="B1404">
        <v>6.7373883014934366</v>
      </c>
      <c r="C1404">
        <v>8.843113241836706</v>
      </c>
      <c r="D1404">
        <v>19.91933217957191</v>
      </c>
      <c r="E1404">
        <v>6.3054892049131208</v>
      </c>
      <c r="F1404">
        <v>32.495041620105283</v>
      </c>
      <c r="G1404">
        <v>20.720874534346152</v>
      </c>
      <c r="H1404">
        <v>20.912854584313521</v>
      </c>
      <c r="I1404">
        <v>1692.664805181256</v>
      </c>
      <c r="J1404">
        <v>12</v>
      </c>
      <c r="K1404" t="s">
        <v>66</v>
      </c>
    </row>
    <row r="1405" spans="1:11" x14ac:dyDescent="0.3">
      <c r="A1405">
        <v>65.884537981360026</v>
      </c>
      <c r="B1405">
        <v>2.8920694062632739</v>
      </c>
      <c r="C1405">
        <v>4.2212596625516836</v>
      </c>
      <c r="D1405">
        <v>10.40943853064225</v>
      </c>
      <c r="E1405">
        <v>6.1343101200506691</v>
      </c>
      <c r="F1405">
        <v>36.207543253582912</v>
      </c>
      <c r="G1405">
        <v>20.475274088260129</v>
      </c>
      <c r="H1405">
        <v>28.47446534946863</v>
      </c>
      <c r="I1405">
        <v>2074.915368234861</v>
      </c>
      <c r="J1405">
        <v>25</v>
      </c>
      <c r="K1405" t="s">
        <v>66</v>
      </c>
    </row>
    <row r="1406" spans="1:11" x14ac:dyDescent="0.3">
      <c r="A1406">
        <v>33.920662252711082</v>
      </c>
      <c r="B1406">
        <v>1.108269105388707</v>
      </c>
      <c r="C1406">
        <v>1.996677931534818</v>
      </c>
      <c r="D1406">
        <v>4.3317295090331447</v>
      </c>
      <c r="E1406">
        <v>6.1657820199896793</v>
      </c>
      <c r="F1406">
        <v>23.051583462889479</v>
      </c>
      <c r="G1406">
        <v>22.70365351748449</v>
      </c>
      <c r="H1406">
        <v>19.489287198922739</v>
      </c>
      <c r="I1406">
        <v>1866.1262821742989</v>
      </c>
      <c r="J1406">
        <v>40</v>
      </c>
      <c r="K1406" t="s">
        <v>66</v>
      </c>
    </row>
    <row r="1407" spans="1:11" x14ac:dyDescent="0.3">
      <c r="A1407">
        <v>124.37660628077229</v>
      </c>
      <c r="B1407">
        <v>4.2751773901507351</v>
      </c>
      <c r="C1407">
        <v>8.4740538190778647</v>
      </c>
      <c r="D1407">
        <v>13.40361072709938</v>
      </c>
      <c r="E1407">
        <v>5.3767155584234123</v>
      </c>
      <c r="F1407">
        <v>44.857070706228427</v>
      </c>
      <c r="G1407">
        <v>21.929042971637831</v>
      </c>
      <c r="H1407">
        <v>27.19396826091215</v>
      </c>
      <c r="I1407">
        <v>1804.2072448337169</v>
      </c>
      <c r="J1407">
        <v>25</v>
      </c>
      <c r="K1407" t="s">
        <v>66</v>
      </c>
    </row>
    <row r="1408" spans="1:11" x14ac:dyDescent="0.3">
      <c r="A1408">
        <v>92</v>
      </c>
      <c r="B1408">
        <v>4</v>
      </c>
      <c r="C1408">
        <v>6</v>
      </c>
      <c r="D1408">
        <v>14</v>
      </c>
      <c r="E1408">
        <v>6.9</v>
      </c>
      <c r="F1408">
        <v>14.7</v>
      </c>
      <c r="G1408">
        <v>34.1</v>
      </c>
      <c r="H1408">
        <v>31</v>
      </c>
      <c r="I1408">
        <v>48</v>
      </c>
      <c r="J1408">
        <v>0</v>
      </c>
      <c r="K1408" t="s">
        <v>67</v>
      </c>
    </row>
    <row r="1409" spans="1:11" x14ac:dyDescent="0.3">
      <c r="A1409">
        <v>125</v>
      </c>
      <c r="B1409">
        <v>6</v>
      </c>
      <c r="C1409">
        <v>8</v>
      </c>
      <c r="D1409">
        <v>20</v>
      </c>
      <c r="E1409">
        <v>6.2</v>
      </c>
      <c r="F1409">
        <v>30.9</v>
      </c>
      <c r="G1409">
        <v>20.9</v>
      </c>
      <c r="H1409">
        <v>20.9</v>
      </c>
      <c r="I1409">
        <v>1681</v>
      </c>
      <c r="J1409">
        <v>12</v>
      </c>
      <c r="K1409" t="s">
        <v>67</v>
      </c>
    </row>
    <row r="1410" spans="1:11" x14ac:dyDescent="0.3">
      <c r="A1410">
        <v>95.69489265458229</v>
      </c>
      <c r="B1410">
        <v>3.3875569989777108</v>
      </c>
      <c r="C1410">
        <v>5.5143715073503472</v>
      </c>
      <c r="D1410">
        <v>15.064708567417799</v>
      </c>
      <c r="E1410">
        <v>6.289176914628074</v>
      </c>
      <c r="F1410">
        <v>35.620220797211083</v>
      </c>
      <c r="G1410">
        <v>21.734132228714081</v>
      </c>
      <c r="H1410">
        <v>19.517148911768519</v>
      </c>
      <c r="I1410">
        <v>1531.4525760042429</v>
      </c>
      <c r="J1410">
        <v>40</v>
      </c>
      <c r="K1410" t="s">
        <v>66</v>
      </c>
    </row>
    <row r="1411" spans="1:11" x14ac:dyDescent="0.3">
      <c r="A1411">
        <v>332.75649181357062</v>
      </c>
      <c r="B1411">
        <v>15.542393244991819</v>
      </c>
      <c r="C1411">
        <v>21.13147459744393</v>
      </c>
      <c r="D1411">
        <v>52.858525158982971</v>
      </c>
      <c r="E1411">
        <v>4.3423132281287531</v>
      </c>
      <c r="F1411">
        <v>58.295156090763783</v>
      </c>
      <c r="G1411">
        <v>28.799982046723919</v>
      </c>
      <c r="H1411">
        <v>30.123219026585659</v>
      </c>
      <c r="I1411">
        <v>14.1731694698687</v>
      </c>
      <c r="J1411">
        <v>0</v>
      </c>
      <c r="K1411" t="s">
        <v>66</v>
      </c>
    </row>
    <row r="1412" spans="1:11" x14ac:dyDescent="0.3">
      <c r="A1412">
        <v>79.095151440882631</v>
      </c>
      <c r="B1412">
        <v>3.2325466482104348</v>
      </c>
      <c r="C1412">
        <v>4.6019315984067521</v>
      </c>
      <c r="D1412">
        <v>9.9779500254392666</v>
      </c>
      <c r="E1412">
        <v>5.9101001750654536</v>
      </c>
      <c r="F1412">
        <v>34.082672513295279</v>
      </c>
      <c r="G1412">
        <v>17.740978608121669</v>
      </c>
      <c r="H1412">
        <v>27.841900430151629</v>
      </c>
      <c r="I1412">
        <v>1624.473644901768</v>
      </c>
      <c r="J1412">
        <v>20</v>
      </c>
      <c r="K1412" t="s">
        <v>66</v>
      </c>
    </row>
    <row r="1413" spans="1:11" x14ac:dyDescent="0.3">
      <c r="A1413">
        <v>83.227711001049428</v>
      </c>
      <c r="B1413">
        <v>3.8561481310190149</v>
      </c>
      <c r="C1413">
        <v>5.2704542592804948</v>
      </c>
      <c r="D1413">
        <v>11.823191728054191</v>
      </c>
      <c r="E1413">
        <v>5.6136742125453729</v>
      </c>
      <c r="F1413">
        <v>28.742457179998791</v>
      </c>
      <c r="G1413">
        <v>24.986713542987872</v>
      </c>
      <c r="H1413">
        <v>25.358304584026861</v>
      </c>
      <c r="I1413">
        <v>1378.170780835183</v>
      </c>
      <c r="J1413">
        <v>18</v>
      </c>
      <c r="K1413" t="s">
        <v>66</v>
      </c>
    </row>
    <row r="1414" spans="1:11" x14ac:dyDescent="0.3">
      <c r="A1414">
        <v>123.7966911966377</v>
      </c>
      <c r="B1414">
        <v>7.2145857739721118</v>
      </c>
      <c r="C1414">
        <v>7.0261738462236174</v>
      </c>
      <c r="D1414">
        <v>17.548045105388091</v>
      </c>
      <c r="E1414">
        <v>4.3</v>
      </c>
      <c r="F1414">
        <v>60.996198166512173</v>
      </c>
      <c r="G1414">
        <v>19.614303102769519</v>
      </c>
      <c r="H1414">
        <v>21.67259205685852</v>
      </c>
      <c r="I1414">
        <v>1698.3556177965611</v>
      </c>
      <c r="J1414">
        <v>12</v>
      </c>
      <c r="K1414" t="s">
        <v>66</v>
      </c>
    </row>
    <row r="1415" spans="1:11" x14ac:dyDescent="0.3">
      <c r="A1415">
        <v>606.16277226143757</v>
      </c>
      <c r="B1415">
        <v>27.1396879637715</v>
      </c>
      <c r="C1415">
        <v>42.61990233688676</v>
      </c>
      <c r="D1415">
        <v>87.696079169585857</v>
      </c>
      <c r="E1415">
        <v>6.0565392667435454</v>
      </c>
      <c r="F1415">
        <v>82.037181294568029</v>
      </c>
      <c r="G1415">
        <v>31.845530512241769</v>
      </c>
      <c r="H1415">
        <v>30.63539556211958</v>
      </c>
      <c r="I1415">
        <v>11.14074225147376</v>
      </c>
      <c r="J1415">
        <v>0</v>
      </c>
      <c r="K1415" t="s">
        <v>66</v>
      </c>
    </row>
    <row r="1416" spans="1:11" x14ac:dyDescent="0.3">
      <c r="A1416">
        <v>71.090754654984622</v>
      </c>
      <c r="B1416">
        <v>3.3930926238358832</v>
      </c>
      <c r="C1416">
        <v>4.494700890035543</v>
      </c>
      <c r="D1416">
        <v>10.87337933668444</v>
      </c>
      <c r="E1416">
        <v>6.2685794272282669</v>
      </c>
      <c r="F1416">
        <v>17.421376164218639</v>
      </c>
      <c r="G1416">
        <v>20.02798241993958</v>
      </c>
      <c r="H1416">
        <v>19.55366624218864</v>
      </c>
      <c r="I1416">
        <v>1619.2545683837591</v>
      </c>
      <c r="J1416">
        <v>30</v>
      </c>
      <c r="K1416" t="s">
        <v>66</v>
      </c>
    </row>
    <row r="1417" spans="1:11" x14ac:dyDescent="0.3">
      <c r="A1417">
        <v>43.645022864185997</v>
      </c>
      <c r="B1417">
        <v>1.792291235831206</v>
      </c>
      <c r="C1417">
        <v>2.7016714434600622</v>
      </c>
      <c r="D1417">
        <v>6.8798284422526512</v>
      </c>
      <c r="E1417">
        <v>6.2295332419613141</v>
      </c>
      <c r="F1417">
        <v>31.461379553747431</v>
      </c>
      <c r="G1417">
        <v>23.21355988781913</v>
      </c>
      <c r="H1417">
        <v>27.245530912916252</v>
      </c>
      <c r="I1417">
        <v>1393.9693018540131</v>
      </c>
      <c r="J1417">
        <v>18</v>
      </c>
      <c r="K1417" t="s">
        <v>66</v>
      </c>
    </row>
    <row r="1418" spans="1:11" x14ac:dyDescent="0.3">
      <c r="A1418">
        <v>55.45385049840597</v>
      </c>
      <c r="B1418">
        <v>1.9081819379562019</v>
      </c>
      <c r="C1418">
        <v>3.1936763136522579</v>
      </c>
      <c r="D1418">
        <v>7.5878632807263857</v>
      </c>
      <c r="E1418">
        <v>5.9901194212015803</v>
      </c>
      <c r="F1418">
        <v>57.542136182257948</v>
      </c>
      <c r="G1418">
        <v>22.547850431737011</v>
      </c>
      <c r="H1418">
        <v>19.31155393056854</v>
      </c>
      <c r="I1418">
        <v>1997.1656626531301</v>
      </c>
      <c r="J1418">
        <v>40</v>
      </c>
      <c r="K1418" t="s">
        <v>66</v>
      </c>
    </row>
    <row r="1419" spans="1:11" x14ac:dyDescent="0.3">
      <c r="A1419">
        <v>32</v>
      </c>
      <c r="B1419">
        <v>1</v>
      </c>
      <c r="C1419">
        <v>2</v>
      </c>
      <c r="D1419">
        <v>5</v>
      </c>
      <c r="E1419">
        <v>6.2</v>
      </c>
      <c r="F1419">
        <v>20.3</v>
      </c>
      <c r="G1419">
        <v>24.6</v>
      </c>
      <c r="H1419">
        <v>20</v>
      </c>
      <c r="I1419">
        <v>1265</v>
      </c>
      <c r="J1419">
        <v>45</v>
      </c>
      <c r="K1419" t="s">
        <v>67</v>
      </c>
    </row>
    <row r="1420" spans="1:11" x14ac:dyDescent="0.3">
      <c r="A1420">
        <v>157.589454784471</v>
      </c>
      <c r="B1420">
        <v>6.7252702257573889</v>
      </c>
      <c r="C1420">
        <v>9.7689305225423197</v>
      </c>
      <c r="D1420">
        <v>20.24490689439407</v>
      </c>
      <c r="E1420">
        <v>5.8329842303291954</v>
      </c>
      <c r="F1420">
        <v>26.002718060976271</v>
      </c>
      <c r="G1420">
        <v>24.579558653018889</v>
      </c>
      <c r="H1420">
        <v>19.252131668186429</v>
      </c>
      <c r="I1420">
        <v>2101.6959039693111</v>
      </c>
      <c r="J1420">
        <v>20</v>
      </c>
      <c r="K1420" t="s">
        <v>66</v>
      </c>
    </row>
    <row r="1421" spans="1:11" x14ac:dyDescent="0.3">
      <c r="A1421">
        <v>98.513524319182935</v>
      </c>
      <c r="B1421">
        <v>3.4851345725663001</v>
      </c>
      <c r="C1421">
        <v>5.4676023246865384</v>
      </c>
      <c r="D1421">
        <v>13.7423546411214</v>
      </c>
      <c r="E1421">
        <v>6.1802934503923126</v>
      </c>
      <c r="F1421">
        <v>31.095634264810499</v>
      </c>
      <c r="G1421">
        <v>18.737326640042141</v>
      </c>
      <c r="H1421">
        <v>18.822941333292981</v>
      </c>
      <c r="I1421">
        <v>2128.7345202543788</v>
      </c>
      <c r="J1421">
        <v>20</v>
      </c>
      <c r="K1421" t="s">
        <v>66</v>
      </c>
    </row>
    <row r="1422" spans="1:11" x14ac:dyDescent="0.3">
      <c r="A1422">
        <v>43.860197201968717</v>
      </c>
      <c r="B1422">
        <v>2.3746595552435088</v>
      </c>
      <c r="C1422">
        <v>2.6158633286992599</v>
      </c>
      <c r="D1422">
        <v>7.8164593819684756</v>
      </c>
      <c r="E1422">
        <v>7.2740212112941327</v>
      </c>
      <c r="F1422">
        <v>42.921181331765403</v>
      </c>
      <c r="G1422">
        <v>31.072416041793499</v>
      </c>
      <c r="H1422">
        <v>21.57436873329474</v>
      </c>
      <c r="I1422">
        <v>1339.5983821570539</v>
      </c>
      <c r="J1422">
        <v>25</v>
      </c>
      <c r="K1422" t="s">
        <v>66</v>
      </c>
    </row>
    <row r="1423" spans="1:11" x14ac:dyDescent="0.3">
      <c r="A1423">
        <v>62</v>
      </c>
      <c r="B1423">
        <v>3</v>
      </c>
      <c r="C1423">
        <v>4</v>
      </c>
      <c r="D1423">
        <v>10</v>
      </c>
      <c r="E1423">
        <v>6</v>
      </c>
      <c r="F1423">
        <v>33.9</v>
      </c>
      <c r="G1423">
        <v>19.2</v>
      </c>
      <c r="H1423">
        <v>19</v>
      </c>
      <c r="I1423">
        <v>2122</v>
      </c>
      <c r="J1423">
        <v>20</v>
      </c>
      <c r="K1423" t="s">
        <v>67</v>
      </c>
    </row>
    <row r="1424" spans="1:11" x14ac:dyDescent="0.3">
      <c r="A1424">
        <v>26.24738609023942</v>
      </c>
      <c r="B1424">
        <v>1.029562448874709</v>
      </c>
      <c r="C1424">
        <v>0.95050345196319275</v>
      </c>
      <c r="D1424">
        <v>4.0197312663179376</v>
      </c>
      <c r="E1424">
        <v>5.4809725113473418</v>
      </c>
      <c r="F1424">
        <v>31.715349067392921</v>
      </c>
      <c r="G1424">
        <v>18.94698436533972</v>
      </c>
      <c r="H1424">
        <v>26.39837372869367</v>
      </c>
      <c r="I1424">
        <v>1840.545576120486</v>
      </c>
      <c r="J1424">
        <v>20</v>
      </c>
      <c r="K1424" t="s">
        <v>66</v>
      </c>
    </row>
    <row r="1425" spans="1:11" x14ac:dyDescent="0.3">
      <c r="A1425">
        <v>11.24742634609845</v>
      </c>
      <c r="B1425">
        <v>0</v>
      </c>
      <c r="C1425">
        <v>0</v>
      </c>
      <c r="D1425">
        <v>0.91859893307084439</v>
      </c>
      <c r="E1425">
        <v>6.0517227549613084</v>
      </c>
      <c r="F1425">
        <v>18.320699684306309</v>
      </c>
      <c r="G1425">
        <v>18.369481022338199</v>
      </c>
      <c r="H1425">
        <v>18.527687336286132</v>
      </c>
      <c r="I1425">
        <v>1844.5168194068069</v>
      </c>
      <c r="J1425">
        <v>40</v>
      </c>
      <c r="K1425" t="s">
        <v>66</v>
      </c>
    </row>
    <row r="1426" spans="1:11" x14ac:dyDescent="0.3">
      <c r="A1426">
        <v>238.72696390401191</v>
      </c>
      <c r="B1426">
        <v>13.06227777958679</v>
      </c>
      <c r="C1426">
        <v>18.53090623146371</v>
      </c>
      <c r="D1426">
        <v>33.677584236763323</v>
      </c>
      <c r="E1426">
        <v>5.2940748950913363</v>
      </c>
      <c r="F1426">
        <v>30.243437651555791</v>
      </c>
      <c r="G1426">
        <v>21.261577561465248</v>
      </c>
      <c r="H1426">
        <v>17.48678357589662</v>
      </c>
      <c r="I1426">
        <v>1585.364678220569</v>
      </c>
      <c r="J1426">
        <v>25</v>
      </c>
      <c r="K1426" t="s">
        <v>66</v>
      </c>
    </row>
    <row r="1427" spans="1:11" x14ac:dyDescent="0.3">
      <c r="A1427">
        <v>78.310006736922844</v>
      </c>
      <c r="B1427">
        <v>3.126028347135553</v>
      </c>
      <c r="C1427">
        <v>4.9720397757388932</v>
      </c>
      <c r="D1427">
        <v>11.53935031040306</v>
      </c>
      <c r="E1427">
        <v>5.533674800841303</v>
      </c>
      <c r="F1427">
        <v>32.007801426326672</v>
      </c>
      <c r="G1427">
        <v>17.203239500188619</v>
      </c>
      <c r="H1427">
        <v>18.220974792447539</v>
      </c>
      <c r="I1427">
        <v>1879.7623315195849</v>
      </c>
      <c r="J1427">
        <v>20</v>
      </c>
      <c r="K1427" t="s">
        <v>66</v>
      </c>
    </row>
    <row r="1428" spans="1:11" x14ac:dyDescent="0.3">
      <c r="A1428">
        <v>728.58181250261532</v>
      </c>
      <c r="B1428">
        <v>39.923923028081227</v>
      </c>
      <c r="C1428">
        <v>67</v>
      </c>
      <c r="D1428">
        <v>125.3666513382876</v>
      </c>
      <c r="E1428">
        <v>5.5730010981736129</v>
      </c>
      <c r="F1428">
        <v>51.121166593228878</v>
      </c>
      <c r="G1428">
        <v>20.81359084202975</v>
      </c>
      <c r="H1428">
        <v>22.914696605848381</v>
      </c>
      <c r="I1428">
        <v>1419.9347075750011</v>
      </c>
      <c r="J1428">
        <v>30</v>
      </c>
      <c r="K1428" t="s">
        <v>66</v>
      </c>
    </row>
    <row r="1429" spans="1:11" x14ac:dyDescent="0.3">
      <c r="A1429">
        <v>78.475286754962028</v>
      </c>
      <c r="B1429">
        <v>2.8049992257529621</v>
      </c>
      <c r="C1429">
        <v>4.9510423767785481</v>
      </c>
      <c r="D1429">
        <v>11.024611691596119</v>
      </c>
      <c r="E1429">
        <v>5.5371542708960062</v>
      </c>
      <c r="F1429">
        <v>32.459269291057844</v>
      </c>
      <c r="G1429">
        <v>18.021842611503679</v>
      </c>
      <c r="H1429">
        <v>17.740708424528091</v>
      </c>
      <c r="I1429">
        <v>1851.9193307929011</v>
      </c>
      <c r="J1429">
        <v>20</v>
      </c>
      <c r="K1429" t="s">
        <v>66</v>
      </c>
    </row>
    <row r="1430" spans="1:11" x14ac:dyDescent="0.3">
      <c r="A1430">
        <v>24.08227556976723</v>
      </c>
      <c r="B1430">
        <v>0.98311782768099898</v>
      </c>
      <c r="C1430">
        <v>0.96590921226539206</v>
      </c>
      <c r="D1430">
        <v>2.691056445437447</v>
      </c>
      <c r="E1430">
        <v>5.938851141534248</v>
      </c>
      <c r="F1430">
        <v>30.75019743606946</v>
      </c>
      <c r="G1430">
        <v>25.0494760387596</v>
      </c>
      <c r="H1430">
        <v>25.636914085151211</v>
      </c>
      <c r="I1430">
        <v>1354.4219748872949</v>
      </c>
      <c r="J1430">
        <v>7</v>
      </c>
      <c r="K1430" t="s">
        <v>66</v>
      </c>
    </row>
    <row r="1431" spans="1:11" x14ac:dyDescent="0.3">
      <c r="A1431">
        <v>41.644207031820322</v>
      </c>
      <c r="B1431">
        <v>2.256203272347022</v>
      </c>
      <c r="C1431">
        <v>1.749015466399541</v>
      </c>
      <c r="D1431">
        <v>5.6823198218957947</v>
      </c>
      <c r="E1431">
        <v>6.4254926835346522</v>
      </c>
      <c r="F1431">
        <v>27.621893320182309</v>
      </c>
      <c r="G1431">
        <v>20.848896446286329</v>
      </c>
      <c r="H1431">
        <v>26.94863403265305</v>
      </c>
      <c r="I1431">
        <v>1994.5466253126151</v>
      </c>
      <c r="J1431">
        <v>30</v>
      </c>
      <c r="K1431" t="s">
        <v>66</v>
      </c>
    </row>
    <row r="1432" spans="1:11" x14ac:dyDescent="0.3">
      <c r="A1432">
        <v>0</v>
      </c>
      <c r="B1432">
        <v>0</v>
      </c>
      <c r="C1432">
        <v>0</v>
      </c>
      <c r="D1432">
        <v>0</v>
      </c>
      <c r="E1432">
        <v>6.9520991888421868</v>
      </c>
      <c r="F1432">
        <v>14.74419341219237</v>
      </c>
      <c r="G1432">
        <v>37.799999999999997</v>
      </c>
      <c r="H1432">
        <v>32.618377120059172</v>
      </c>
      <c r="I1432">
        <v>1735.783145370943</v>
      </c>
      <c r="J1432">
        <v>7</v>
      </c>
      <c r="K1432" t="s">
        <v>66</v>
      </c>
    </row>
    <row r="1433" spans="1:11" x14ac:dyDescent="0.3">
      <c r="A1433">
        <v>30.98018059630957</v>
      </c>
      <c r="B1433">
        <v>1.0482248952680659</v>
      </c>
      <c r="C1433">
        <v>1.692483040710165</v>
      </c>
      <c r="D1433">
        <v>3.5972290556219422</v>
      </c>
      <c r="E1433">
        <v>6.1223864138071091</v>
      </c>
      <c r="F1433">
        <v>22.352471128860319</v>
      </c>
      <c r="G1433">
        <v>23.034078459855451</v>
      </c>
      <c r="H1433">
        <v>19.364180011449228</v>
      </c>
      <c r="I1433">
        <v>1894.584993304793</v>
      </c>
      <c r="J1433">
        <v>40</v>
      </c>
      <c r="K1433" t="s">
        <v>66</v>
      </c>
    </row>
    <row r="1434" spans="1:11" x14ac:dyDescent="0.3">
      <c r="A1434">
        <v>938.61587897276297</v>
      </c>
      <c r="B1434">
        <v>47</v>
      </c>
      <c r="C1434">
        <v>67</v>
      </c>
      <c r="D1434">
        <v>139.59961118062481</v>
      </c>
      <c r="E1434">
        <v>5.2844032124897042</v>
      </c>
      <c r="F1434">
        <v>26.193025933099818</v>
      </c>
      <c r="G1434">
        <v>19.731326386143181</v>
      </c>
      <c r="H1434">
        <v>22.64071658365657</v>
      </c>
      <c r="I1434">
        <v>1486.345329617571</v>
      </c>
      <c r="J1434">
        <v>30</v>
      </c>
      <c r="K1434" t="s">
        <v>66</v>
      </c>
    </row>
    <row r="1435" spans="1:11" x14ac:dyDescent="0.3">
      <c r="A1435">
        <v>34</v>
      </c>
      <c r="B1435">
        <v>1</v>
      </c>
      <c r="C1435">
        <v>2</v>
      </c>
      <c r="D1435">
        <v>5</v>
      </c>
      <c r="E1435">
        <v>5.5</v>
      </c>
      <c r="F1435">
        <v>25.7</v>
      </c>
      <c r="G1435">
        <v>20.6</v>
      </c>
      <c r="H1435">
        <v>26</v>
      </c>
      <c r="I1435">
        <v>1866</v>
      </c>
      <c r="J1435">
        <v>20</v>
      </c>
      <c r="K1435" t="s">
        <v>67</v>
      </c>
    </row>
    <row r="1436" spans="1:11" x14ac:dyDescent="0.3">
      <c r="A1436">
        <v>121.3382696715002</v>
      </c>
      <c r="B1436">
        <v>4.3534292281206763</v>
      </c>
      <c r="C1436">
        <v>8.6718603950093076</v>
      </c>
      <c r="D1436">
        <v>16.12136029860449</v>
      </c>
      <c r="E1436">
        <v>5.6382087440177706</v>
      </c>
      <c r="F1436">
        <v>44.753299845967078</v>
      </c>
      <c r="G1436">
        <v>16.498180452334118</v>
      </c>
      <c r="H1436">
        <v>28.512296606788851</v>
      </c>
      <c r="I1436">
        <v>1627.883106206031</v>
      </c>
      <c r="J1436">
        <v>20</v>
      </c>
      <c r="K1436" t="s">
        <v>66</v>
      </c>
    </row>
    <row r="1437" spans="1:11" x14ac:dyDescent="0.3">
      <c r="A1437">
        <v>43.773932054679861</v>
      </c>
      <c r="B1437">
        <v>2.0915545732303769</v>
      </c>
      <c r="C1437">
        <v>3.2662511902242182</v>
      </c>
      <c r="D1437">
        <v>7.8567641272022044</v>
      </c>
      <c r="E1437">
        <v>6.0912895613832081</v>
      </c>
      <c r="F1437">
        <v>29.441479293997059</v>
      </c>
      <c r="G1437">
        <v>22.521180271669479</v>
      </c>
      <c r="H1437">
        <v>24.771140280539971</v>
      </c>
      <c r="I1437">
        <v>1361.844945287218</v>
      </c>
      <c r="J1437">
        <v>18</v>
      </c>
      <c r="K1437" t="s">
        <v>66</v>
      </c>
    </row>
    <row r="1438" spans="1:11" x14ac:dyDescent="0.3">
      <c r="A1438">
        <v>18.714838211659639</v>
      </c>
      <c r="B1438">
        <v>0</v>
      </c>
      <c r="C1438">
        <v>0.97343954397138943</v>
      </c>
      <c r="D1438">
        <v>2.066022758094189</v>
      </c>
      <c r="E1438">
        <v>6.1642802130044414</v>
      </c>
      <c r="F1438">
        <v>22.602319368569919</v>
      </c>
      <c r="G1438">
        <v>23.0072327615337</v>
      </c>
      <c r="H1438">
        <v>27.974088915685272</v>
      </c>
      <c r="I1438">
        <v>2067.02556748188</v>
      </c>
      <c r="J1438">
        <v>25</v>
      </c>
      <c r="K1438" t="s">
        <v>66</v>
      </c>
    </row>
    <row r="1439" spans="1:11" x14ac:dyDescent="0.3">
      <c r="A1439">
        <v>0</v>
      </c>
      <c r="B1439">
        <v>0</v>
      </c>
      <c r="C1439">
        <v>0</v>
      </c>
      <c r="D1439">
        <v>0</v>
      </c>
      <c r="E1439">
        <v>6.9527058868132032</v>
      </c>
      <c r="F1439">
        <v>14.74543093415757</v>
      </c>
      <c r="G1439">
        <v>37.799999999999997</v>
      </c>
      <c r="H1439">
        <v>32.221140653375613</v>
      </c>
      <c r="I1439">
        <v>1838.7469142610259</v>
      </c>
      <c r="J1439">
        <v>7</v>
      </c>
      <c r="K1439" t="s">
        <v>66</v>
      </c>
    </row>
    <row r="1440" spans="1:11" x14ac:dyDescent="0.3">
      <c r="A1440">
        <v>47.682673821054792</v>
      </c>
      <c r="B1440">
        <v>1.778859066302813</v>
      </c>
      <c r="C1440">
        <v>2.909345823905213</v>
      </c>
      <c r="D1440">
        <v>6.5433917777583872</v>
      </c>
      <c r="E1440">
        <v>5.938166519244958</v>
      </c>
      <c r="F1440">
        <v>29.600885742018878</v>
      </c>
      <c r="G1440">
        <v>19.09149991608616</v>
      </c>
      <c r="H1440">
        <v>19.7508217189135</v>
      </c>
      <c r="I1440">
        <v>1780.194336918295</v>
      </c>
      <c r="J1440">
        <v>10</v>
      </c>
      <c r="K1440" t="s">
        <v>66</v>
      </c>
    </row>
    <row r="1441" spans="1:11" x14ac:dyDescent="0.3">
      <c r="A1441">
        <v>72.453581755521853</v>
      </c>
      <c r="B1441">
        <v>2.7461052067602791</v>
      </c>
      <c r="C1441">
        <v>5.4594574273291654</v>
      </c>
      <c r="D1441">
        <v>11.428135438279771</v>
      </c>
      <c r="E1441">
        <v>5.6895382189410872</v>
      </c>
      <c r="F1441">
        <v>33.226261031288622</v>
      </c>
      <c r="G1441">
        <v>16.564668588994369</v>
      </c>
      <c r="H1441">
        <v>18.461396385615899</v>
      </c>
      <c r="I1441">
        <v>1885.033250758805</v>
      </c>
      <c r="J1441">
        <v>20</v>
      </c>
      <c r="K1441" t="s">
        <v>66</v>
      </c>
    </row>
    <row r="1442" spans="1:11" x14ac:dyDescent="0.3">
      <c r="A1442">
        <v>94.818759963287818</v>
      </c>
      <c r="B1442">
        <v>4.2502032067324143</v>
      </c>
      <c r="C1442">
        <v>5.6426790388896846</v>
      </c>
      <c r="D1442">
        <v>15.717848435868421</v>
      </c>
      <c r="E1442">
        <v>6.8016133243685868</v>
      </c>
      <c r="F1442">
        <v>34.328669580135973</v>
      </c>
      <c r="G1442">
        <v>16.551868003269981</v>
      </c>
      <c r="H1442">
        <v>18.09352672706272</v>
      </c>
      <c r="I1442">
        <v>1899.18171291674</v>
      </c>
      <c r="J1442">
        <v>20</v>
      </c>
      <c r="K1442" t="s">
        <v>66</v>
      </c>
    </row>
    <row r="1443" spans="1:11" x14ac:dyDescent="0.3">
      <c r="A1443">
        <v>47.928917901147287</v>
      </c>
      <c r="B1443">
        <v>2.0515505080285501</v>
      </c>
      <c r="C1443">
        <v>2.8964505883650609</v>
      </c>
      <c r="D1443">
        <v>7.0085564838906187</v>
      </c>
      <c r="E1443">
        <v>6.1927047260876913</v>
      </c>
      <c r="F1443">
        <v>32.786595975874611</v>
      </c>
      <c r="G1443">
        <v>20.351409782569821</v>
      </c>
      <c r="H1443">
        <v>18.726129993544529</v>
      </c>
      <c r="I1443">
        <v>1921.104426933691</v>
      </c>
      <c r="J1443">
        <v>20</v>
      </c>
      <c r="K1443" t="s">
        <v>66</v>
      </c>
    </row>
    <row r="1444" spans="1:11" x14ac:dyDescent="0.3">
      <c r="A1444">
        <v>75.23987247612942</v>
      </c>
      <c r="B1444">
        <v>3.9696942853858159</v>
      </c>
      <c r="C1444">
        <v>5.1538063340945994</v>
      </c>
      <c r="D1444">
        <v>11.687629150474271</v>
      </c>
      <c r="E1444">
        <v>6.0361270824726301</v>
      </c>
      <c r="F1444">
        <v>15.22180056988822</v>
      </c>
      <c r="G1444">
        <v>35.863769109458971</v>
      </c>
      <c r="H1444">
        <v>32.148951551453827</v>
      </c>
      <c r="I1444">
        <v>49.02476913702786</v>
      </c>
      <c r="J1444">
        <v>0</v>
      </c>
      <c r="K1444" t="s">
        <v>66</v>
      </c>
    </row>
    <row r="1445" spans="1:11" x14ac:dyDescent="0.3">
      <c r="A1445">
        <v>81.948569666772912</v>
      </c>
      <c r="B1445">
        <v>4.1053948861324239</v>
      </c>
      <c r="C1445">
        <v>5.1031808856627254</v>
      </c>
      <c r="D1445">
        <v>10.27649536208626</v>
      </c>
      <c r="E1445">
        <v>6.1127143756484728</v>
      </c>
      <c r="F1445">
        <v>15.015291442183161</v>
      </c>
      <c r="G1445">
        <v>34.428706726040353</v>
      </c>
      <c r="H1445">
        <v>29.914224233790939</v>
      </c>
      <c r="I1445">
        <v>45.868810475945878</v>
      </c>
      <c r="J1445">
        <v>0</v>
      </c>
      <c r="K1445" t="s">
        <v>66</v>
      </c>
    </row>
    <row r="1446" spans="1:11" x14ac:dyDescent="0.3">
      <c r="A1446">
        <v>125.54780209747661</v>
      </c>
      <c r="B1446">
        <v>5.3173885977451096</v>
      </c>
      <c r="C1446">
        <v>8.6758195006253604</v>
      </c>
      <c r="D1446">
        <v>18.772722713699331</v>
      </c>
      <c r="E1446">
        <v>4.5401299626402567</v>
      </c>
      <c r="F1446">
        <v>53.500321151734951</v>
      </c>
      <c r="G1446">
        <v>20.046405801192861</v>
      </c>
      <c r="H1446">
        <v>21.006555333829279</v>
      </c>
      <c r="I1446">
        <v>1645.499683597315</v>
      </c>
      <c r="J1446">
        <v>12</v>
      </c>
      <c r="K1446" t="s">
        <v>66</v>
      </c>
    </row>
    <row r="1447" spans="1:11" x14ac:dyDescent="0.3">
      <c r="A1447">
        <v>83.662142786087088</v>
      </c>
      <c r="B1447">
        <v>4.1148496660807297</v>
      </c>
      <c r="C1447">
        <v>6.9531761568261574</v>
      </c>
      <c r="D1447">
        <v>13.62015903070438</v>
      </c>
      <c r="E1447">
        <v>5.8642645619327336</v>
      </c>
      <c r="F1447">
        <v>34.123891296345313</v>
      </c>
      <c r="G1447">
        <v>21.788764091824781</v>
      </c>
      <c r="H1447">
        <v>20.778749903396459</v>
      </c>
      <c r="I1447">
        <v>1513.551384520036</v>
      </c>
      <c r="J1447">
        <v>40</v>
      </c>
      <c r="K1447" t="s">
        <v>66</v>
      </c>
    </row>
    <row r="1448" spans="1:11" x14ac:dyDescent="0.3">
      <c r="A1448">
        <v>75</v>
      </c>
      <c r="B1448">
        <v>3</v>
      </c>
      <c r="C1448">
        <v>5</v>
      </c>
      <c r="D1448">
        <v>12</v>
      </c>
      <c r="E1448">
        <v>6.6</v>
      </c>
      <c r="F1448">
        <v>15.7</v>
      </c>
      <c r="G1448">
        <v>26.3</v>
      </c>
      <c r="H1448">
        <v>25.1</v>
      </c>
      <c r="I1448">
        <v>682</v>
      </c>
      <c r="J1448">
        <v>25</v>
      </c>
      <c r="K1448" t="s">
        <v>67</v>
      </c>
    </row>
    <row r="1449" spans="1:11" x14ac:dyDescent="0.3">
      <c r="A1449">
        <v>126.2221603774219</v>
      </c>
      <c r="B1449">
        <v>6.7416784330837309</v>
      </c>
      <c r="C1449">
        <v>7.6851761152242171</v>
      </c>
      <c r="D1449">
        <v>20.913376021460799</v>
      </c>
      <c r="E1449">
        <v>4.9053902877312714</v>
      </c>
      <c r="F1449">
        <v>55.990174430763943</v>
      </c>
      <c r="G1449">
        <v>19.709609396239671</v>
      </c>
      <c r="H1449">
        <v>22.43349751983428</v>
      </c>
      <c r="I1449">
        <v>1650.7152020131309</v>
      </c>
      <c r="J1449">
        <v>12</v>
      </c>
      <c r="K1449" t="s">
        <v>66</v>
      </c>
    </row>
    <row r="1450" spans="1:11" x14ac:dyDescent="0.3">
      <c r="A1450">
        <v>10.163066511121061</v>
      </c>
      <c r="B1450">
        <v>0</v>
      </c>
      <c r="C1450">
        <v>0</v>
      </c>
      <c r="D1450">
        <v>1.111863233415421</v>
      </c>
      <c r="E1450">
        <v>6.119086491641136</v>
      </c>
      <c r="F1450">
        <v>29.353511351756751</v>
      </c>
      <c r="G1450">
        <v>16.138414920359509</v>
      </c>
      <c r="H1450">
        <v>23.35444212315949</v>
      </c>
      <c r="I1450">
        <v>1516.057705621062</v>
      </c>
      <c r="J1450">
        <v>30</v>
      </c>
      <c r="K1450" t="s">
        <v>66</v>
      </c>
    </row>
    <row r="1451" spans="1:11" x14ac:dyDescent="0.3">
      <c r="A1451">
        <v>76.45297581267269</v>
      </c>
      <c r="B1451">
        <v>3.9731286839802582</v>
      </c>
      <c r="C1451">
        <v>4.5245446351563841</v>
      </c>
      <c r="D1451">
        <v>11.23066288773043</v>
      </c>
      <c r="E1451">
        <v>6.4438977033510234</v>
      </c>
      <c r="F1451">
        <v>14.01216404610393</v>
      </c>
      <c r="G1451">
        <v>35.509622184185019</v>
      </c>
      <c r="H1451">
        <v>30.575763436843541</v>
      </c>
      <c r="I1451">
        <v>47.564780687903443</v>
      </c>
      <c r="J1451">
        <v>0</v>
      </c>
      <c r="K1451" t="s">
        <v>66</v>
      </c>
    </row>
    <row r="1452" spans="1:11" x14ac:dyDescent="0.3">
      <c r="A1452">
        <v>33.742320955147783</v>
      </c>
      <c r="B1452">
        <v>1.0361503525206099</v>
      </c>
      <c r="C1452">
        <v>1.771798298049452</v>
      </c>
      <c r="D1452">
        <v>4.4392349262874866</v>
      </c>
      <c r="E1452">
        <v>6.0854162118897079</v>
      </c>
      <c r="F1452">
        <v>20.683716954334301</v>
      </c>
      <c r="G1452">
        <v>23.79226316170385</v>
      </c>
      <c r="H1452">
        <v>19.965498218723049</v>
      </c>
      <c r="I1452">
        <v>1211.145177149682</v>
      </c>
      <c r="J1452">
        <v>45</v>
      </c>
      <c r="K1452" t="s">
        <v>66</v>
      </c>
    </row>
    <row r="1453" spans="1:11" x14ac:dyDescent="0.3">
      <c r="A1453">
        <v>10.436586797266139</v>
      </c>
      <c r="B1453">
        <v>0</v>
      </c>
      <c r="C1453">
        <v>0</v>
      </c>
      <c r="D1453">
        <v>1.170410207805912</v>
      </c>
      <c r="E1453">
        <v>6.2208407673942174</v>
      </c>
      <c r="F1453">
        <v>15.31921993545475</v>
      </c>
      <c r="G1453">
        <v>22.7941308563259</v>
      </c>
      <c r="H1453">
        <v>20.010600721418179</v>
      </c>
      <c r="I1453">
        <v>1567.751247416463</v>
      </c>
      <c r="J1453">
        <v>30</v>
      </c>
      <c r="K1453" t="s">
        <v>66</v>
      </c>
    </row>
    <row r="1454" spans="1:11" x14ac:dyDescent="0.3">
      <c r="A1454">
        <v>73.398882976311469</v>
      </c>
      <c r="B1454">
        <v>2.986346326409627</v>
      </c>
      <c r="C1454">
        <v>4.4065033058471279</v>
      </c>
      <c r="D1454">
        <v>10.87408039102125</v>
      </c>
      <c r="E1454">
        <v>6.494384782277252</v>
      </c>
      <c r="F1454">
        <v>15.91961409775978</v>
      </c>
      <c r="G1454">
        <v>19.58422579728127</v>
      </c>
      <c r="H1454">
        <v>18.950094478521539</v>
      </c>
      <c r="I1454">
        <v>1596.4644636759399</v>
      </c>
      <c r="J1454">
        <v>30</v>
      </c>
      <c r="K1454" t="s">
        <v>66</v>
      </c>
    </row>
    <row r="1455" spans="1:11" x14ac:dyDescent="0.3">
      <c r="A1455">
        <v>52.036729625272862</v>
      </c>
      <c r="B1455">
        <v>1.953919857158847</v>
      </c>
      <c r="C1455">
        <v>2.376656454043141</v>
      </c>
      <c r="D1455">
        <v>6.9832386231261738</v>
      </c>
      <c r="E1455">
        <v>4.9408605270161949</v>
      </c>
      <c r="F1455">
        <v>31.68863258726169</v>
      </c>
      <c r="G1455">
        <v>23.003452979035281</v>
      </c>
      <c r="H1455">
        <v>27.326682726174941</v>
      </c>
      <c r="I1455">
        <v>2068.6581421926999</v>
      </c>
      <c r="J1455">
        <v>20</v>
      </c>
      <c r="K1455" t="s">
        <v>66</v>
      </c>
    </row>
    <row r="1456" spans="1:11" x14ac:dyDescent="0.3">
      <c r="A1456">
        <v>776.21682857219412</v>
      </c>
      <c r="B1456">
        <v>44.868189112584624</v>
      </c>
      <c r="C1456">
        <v>67</v>
      </c>
      <c r="D1456">
        <v>129.86956601891001</v>
      </c>
      <c r="E1456">
        <v>5.4487192526859154</v>
      </c>
      <c r="F1456">
        <v>48.741508260532747</v>
      </c>
      <c r="G1456">
        <v>18.27399860513864</v>
      </c>
      <c r="H1456">
        <v>22.071724111785301</v>
      </c>
      <c r="I1456">
        <v>1465.8409625093041</v>
      </c>
      <c r="J1456">
        <v>30</v>
      </c>
      <c r="K1456" t="s">
        <v>66</v>
      </c>
    </row>
    <row r="1457" spans="1:11" x14ac:dyDescent="0.3">
      <c r="A1457">
        <v>16.466955804580358</v>
      </c>
      <c r="B1457">
        <v>0</v>
      </c>
      <c r="C1457">
        <v>1.0160489623973481</v>
      </c>
      <c r="D1457">
        <v>1.732827519166277</v>
      </c>
      <c r="E1457">
        <v>6.1626975814519964</v>
      </c>
      <c r="F1457">
        <v>22.833966778662258</v>
      </c>
      <c r="G1457">
        <v>22.526318151670029</v>
      </c>
      <c r="H1457">
        <v>29.669824760210702</v>
      </c>
      <c r="I1457">
        <v>2068.141289262077</v>
      </c>
      <c r="J1457">
        <v>25</v>
      </c>
      <c r="K1457" t="s">
        <v>66</v>
      </c>
    </row>
    <row r="1458" spans="1:11" x14ac:dyDescent="0.3">
      <c r="A1458">
        <v>28.277951576450711</v>
      </c>
      <c r="B1458">
        <v>0.97484611139555044</v>
      </c>
      <c r="C1458">
        <v>1.0710549102297791</v>
      </c>
      <c r="D1458">
        <v>2.987292273499675</v>
      </c>
      <c r="E1458">
        <v>6.8496089393786468</v>
      </c>
      <c r="F1458">
        <v>56.657393509646802</v>
      </c>
      <c r="G1458">
        <v>22.12769399049451</v>
      </c>
      <c r="H1458">
        <v>20.08592485498577</v>
      </c>
      <c r="I1458">
        <v>1265.930104230549</v>
      </c>
      <c r="J1458">
        <v>18</v>
      </c>
      <c r="K1458" t="s">
        <v>66</v>
      </c>
    </row>
    <row r="1459" spans="1:11" x14ac:dyDescent="0.3">
      <c r="A1459">
        <v>66.545312176085218</v>
      </c>
      <c r="B1459">
        <v>2.566843555159938</v>
      </c>
      <c r="C1459">
        <v>5.609097355877128</v>
      </c>
      <c r="D1459">
        <v>11.943688707820479</v>
      </c>
      <c r="E1459">
        <v>6.2134961171026246</v>
      </c>
      <c r="F1459">
        <v>16.28670460000626</v>
      </c>
      <c r="G1459">
        <v>19.486710382444649</v>
      </c>
      <c r="H1459">
        <v>18.938088506685141</v>
      </c>
      <c r="I1459">
        <v>1668.7148041463049</v>
      </c>
      <c r="J1459">
        <v>30</v>
      </c>
      <c r="K1459" t="s">
        <v>66</v>
      </c>
    </row>
    <row r="1460" spans="1:11" x14ac:dyDescent="0.3">
      <c r="A1460">
        <v>63.642047538505857</v>
      </c>
      <c r="B1460">
        <v>2.863338142192839</v>
      </c>
      <c r="C1460">
        <v>4.7780780297107732</v>
      </c>
      <c r="D1460">
        <v>9.1162808593089366</v>
      </c>
      <c r="E1460">
        <v>6.0855919500955853</v>
      </c>
      <c r="F1460">
        <v>33.815402154995233</v>
      </c>
      <c r="G1460">
        <v>19.372611058946649</v>
      </c>
      <c r="H1460">
        <v>19.801880291377788</v>
      </c>
      <c r="I1460">
        <v>2129.701921306947</v>
      </c>
      <c r="J1460">
        <v>20</v>
      </c>
      <c r="K1460" t="s">
        <v>66</v>
      </c>
    </row>
    <row r="1461" spans="1:11" x14ac:dyDescent="0.3">
      <c r="A1461">
        <v>72.798172524036687</v>
      </c>
      <c r="B1461">
        <v>4.5062831363458802</v>
      </c>
      <c r="C1461">
        <v>5.5443848271083356</v>
      </c>
      <c r="D1461">
        <v>12.03767503863933</v>
      </c>
      <c r="E1461">
        <v>6.2037790753261586</v>
      </c>
      <c r="F1461">
        <v>14.811468095026591</v>
      </c>
      <c r="G1461">
        <v>34.238389975617331</v>
      </c>
      <c r="H1461">
        <v>32.02250130739796</v>
      </c>
      <c r="I1461">
        <v>49.67471572738549</v>
      </c>
      <c r="J1461">
        <v>0</v>
      </c>
      <c r="K1461" t="s">
        <v>66</v>
      </c>
    </row>
    <row r="1462" spans="1:11" x14ac:dyDescent="0.3">
      <c r="A1462">
        <v>44.532118245467707</v>
      </c>
      <c r="B1462">
        <v>1.8206715545369581</v>
      </c>
      <c r="C1462">
        <v>3.2165710456314431</v>
      </c>
      <c r="D1462">
        <v>7.658556644051794</v>
      </c>
      <c r="E1462">
        <v>5.7941150017634246</v>
      </c>
      <c r="F1462">
        <v>28.18196931286429</v>
      </c>
      <c r="G1462">
        <v>24.369013052376719</v>
      </c>
      <c r="H1462">
        <v>23.153674083194669</v>
      </c>
      <c r="I1462">
        <v>1428.6681501530229</v>
      </c>
      <c r="J1462">
        <v>30</v>
      </c>
      <c r="K1462" t="s">
        <v>66</v>
      </c>
    </row>
    <row r="1463" spans="1:11" x14ac:dyDescent="0.3">
      <c r="A1463">
        <v>6.735615973676337</v>
      </c>
      <c r="B1463">
        <v>0</v>
      </c>
      <c r="C1463">
        <v>0</v>
      </c>
      <c r="D1463">
        <v>1.0193379451924161</v>
      </c>
      <c r="E1463">
        <v>6.4630822821089451</v>
      </c>
      <c r="F1463">
        <v>23.509862743105959</v>
      </c>
      <c r="G1463">
        <v>18.37698720759694</v>
      </c>
      <c r="H1463">
        <v>16</v>
      </c>
      <c r="I1463">
        <v>1802.3025065157451</v>
      </c>
      <c r="J1463">
        <v>30</v>
      </c>
      <c r="K1463" t="s">
        <v>66</v>
      </c>
    </row>
    <row r="1464" spans="1:11" x14ac:dyDescent="0.3">
      <c r="A1464">
        <v>245.1528478837146</v>
      </c>
      <c r="B1464">
        <v>12.040982900985631</v>
      </c>
      <c r="C1464">
        <v>15.48645965836622</v>
      </c>
      <c r="D1464">
        <v>48.330641288439189</v>
      </c>
      <c r="E1464">
        <v>5.3678380151278127</v>
      </c>
      <c r="F1464">
        <v>28.917288368657299</v>
      </c>
      <c r="G1464">
        <v>20.132231270055971</v>
      </c>
      <c r="H1464">
        <v>19.00331314670871</v>
      </c>
      <c r="I1464">
        <v>1585.467724575642</v>
      </c>
      <c r="J1464">
        <v>25</v>
      </c>
      <c r="K1464" t="s">
        <v>66</v>
      </c>
    </row>
    <row r="1465" spans="1:11" x14ac:dyDescent="0.3">
      <c r="A1465">
        <v>47.482429234537172</v>
      </c>
      <c r="B1465">
        <v>2.133748331118503</v>
      </c>
      <c r="C1465">
        <v>3.116493601627035</v>
      </c>
      <c r="D1465">
        <v>5.8301811592541544</v>
      </c>
      <c r="E1465">
        <v>5.9431492297620689</v>
      </c>
      <c r="F1465">
        <v>31.858069992155361</v>
      </c>
      <c r="G1465">
        <v>19.836583683844271</v>
      </c>
      <c r="H1465">
        <v>18.389145184932929</v>
      </c>
      <c r="I1465">
        <v>1881.4002541770039</v>
      </c>
      <c r="J1465">
        <v>20</v>
      </c>
      <c r="K1465" t="s">
        <v>66</v>
      </c>
    </row>
    <row r="1466" spans="1:11" x14ac:dyDescent="0.3">
      <c r="A1466">
        <v>180.23769892055461</v>
      </c>
      <c r="B1466">
        <v>8.4490497745606614</v>
      </c>
      <c r="C1466">
        <v>11.940143815046261</v>
      </c>
      <c r="D1466">
        <v>28.67036660166384</v>
      </c>
      <c r="E1466">
        <v>6.3212561617541816</v>
      </c>
      <c r="F1466">
        <v>35.513646592783182</v>
      </c>
      <c r="G1466">
        <v>24.644762314711251</v>
      </c>
      <c r="H1466">
        <v>21.09984716380464</v>
      </c>
      <c r="I1466">
        <v>1372.1979764518919</v>
      </c>
      <c r="J1466">
        <v>20</v>
      </c>
      <c r="K1466" t="s">
        <v>66</v>
      </c>
    </row>
    <row r="1467" spans="1:11" x14ac:dyDescent="0.3">
      <c r="A1467">
        <v>63.763539279818048</v>
      </c>
      <c r="B1467">
        <v>2.7418844967661489</v>
      </c>
      <c r="C1467">
        <v>3.192029067137546</v>
      </c>
      <c r="D1467">
        <v>9.9677231058973828</v>
      </c>
      <c r="E1467">
        <v>5.8863720222228828</v>
      </c>
      <c r="F1467">
        <v>34.659288200202518</v>
      </c>
      <c r="G1467">
        <v>19.4714712166254</v>
      </c>
      <c r="H1467">
        <v>17.970245217144551</v>
      </c>
      <c r="I1467">
        <v>1936.017189503674</v>
      </c>
      <c r="J1467">
        <v>20</v>
      </c>
      <c r="K1467" t="s">
        <v>66</v>
      </c>
    </row>
    <row r="1468" spans="1:11" x14ac:dyDescent="0.3">
      <c r="A1468">
        <v>69.85867544847072</v>
      </c>
      <c r="B1468">
        <v>2.8163289796476749</v>
      </c>
      <c r="C1468">
        <v>3.3878154361026489</v>
      </c>
      <c r="D1468">
        <v>9.3961617025068129</v>
      </c>
      <c r="E1468">
        <v>5.9618703535351054</v>
      </c>
      <c r="F1468">
        <v>35.709682588693013</v>
      </c>
      <c r="G1468">
        <v>19.600802070054819</v>
      </c>
      <c r="H1468">
        <v>18.030514144191809</v>
      </c>
      <c r="I1468">
        <v>1921.409578131241</v>
      </c>
      <c r="J1468">
        <v>20</v>
      </c>
      <c r="K1468" t="s">
        <v>66</v>
      </c>
    </row>
    <row r="1469" spans="1:11" x14ac:dyDescent="0.3">
      <c r="A1469">
        <v>76.456119041529391</v>
      </c>
      <c r="B1469">
        <v>3.2823931742302448</v>
      </c>
      <c r="C1469">
        <v>6.0981115710763998</v>
      </c>
      <c r="D1469">
        <v>11.378317176629929</v>
      </c>
      <c r="E1469">
        <v>5.4596039299120784</v>
      </c>
      <c r="F1469">
        <v>30.717946027871989</v>
      </c>
      <c r="G1469">
        <v>17.165269301380992</v>
      </c>
      <c r="H1469">
        <v>17.656421309107539</v>
      </c>
      <c r="I1469">
        <v>1878.665058088932</v>
      </c>
      <c r="J1469">
        <v>20</v>
      </c>
      <c r="K1469" t="s">
        <v>66</v>
      </c>
    </row>
    <row r="1470" spans="1:11" x14ac:dyDescent="0.3">
      <c r="A1470">
        <v>19</v>
      </c>
      <c r="B1470">
        <v>0</v>
      </c>
      <c r="C1470">
        <v>1</v>
      </c>
      <c r="D1470">
        <v>3</v>
      </c>
      <c r="E1470">
        <v>5.4</v>
      </c>
      <c r="F1470">
        <v>25.8</v>
      </c>
      <c r="G1470">
        <v>20.2</v>
      </c>
      <c r="H1470">
        <v>22.1</v>
      </c>
      <c r="I1470">
        <v>2088</v>
      </c>
      <c r="J1470">
        <v>13</v>
      </c>
      <c r="K1470" t="s">
        <v>67</v>
      </c>
    </row>
    <row r="1471" spans="1:11" x14ac:dyDescent="0.3">
      <c r="A1471">
        <v>30.708896223619561</v>
      </c>
      <c r="B1471">
        <v>1.1097152711753691</v>
      </c>
      <c r="C1471">
        <v>1.8777229505222739</v>
      </c>
      <c r="D1471">
        <v>4.2760294705346453</v>
      </c>
      <c r="E1471">
        <v>5.8417229783316129</v>
      </c>
      <c r="F1471">
        <v>31.955905557534091</v>
      </c>
      <c r="G1471">
        <v>26.985839255810909</v>
      </c>
      <c r="H1471">
        <v>19.30396572830097</v>
      </c>
      <c r="I1471">
        <v>1844.006664041309</v>
      </c>
      <c r="J1471">
        <v>40</v>
      </c>
      <c r="K1471" t="s">
        <v>66</v>
      </c>
    </row>
    <row r="1472" spans="1:11" x14ac:dyDescent="0.3">
      <c r="A1472">
        <v>95.539647076391944</v>
      </c>
      <c r="B1472">
        <v>2.8940501121567941</v>
      </c>
      <c r="C1472">
        <v>4.4691027381069777</v>
      </c>
      <c r="D1472">
        <v>10.232868087426899</v>
      </c>
      <c r="E1472">
        <v>5.9600904744180152</v>
      </c>
      <c r="F1472">
        <v>31.21668696475092</v>
      </c>
      <c r="G1472">
        <v>16.903320169506902</v>
      </c>
      <c r="H1472">
        <v>18.254050045336189</v>
      </c>
      <c r="I1472">
        <v>2012.577251440036</v>
      </c>
      <c r="J1472">
        <v>20</v>
      </c>
      <c r="K1472" t="s">
        <v>66</v>
      </c>
    </row>
    <row r="1473" spans="1:11" x14ac:dyDescent="0.3">
      <c r="A1473">
        <v>25</v>
      </c>
      <c r="B1473">
        <v>1</v>
      </c>
      <c r="C1473">
        <v>1</v>
      </c>
      <c r="D1473">
        <v>4</v>
      </c>
      <c r="E1473">
        <v>6.3</v>
      </c>
      <c r="F1473">
        <v>25.9</v>
      </c>
      <c r="G1473">
        <v>25.1</v>
      </c>
      <c r="H1473">
        <v>19.2</v>
      </c>
      <c r="I1473">
        <v>1839</v>
      </c>
      <c r="J1473">
        <v>40</v>
      </c>
      <c r="K1473" t="s">
        <v>67</v>
      </c>
    </row>
    <row r="1474" spans="1:11" x14ac:dyDescent="0.3">
      <c r="A1474">
        <v>34.682909927568197</v>
      </c>
      <c r="B1474">
        <v>1.019473619471877</v>
      </c>
      <c r="C1474">
        <v>1.7554209960888869</v>
      </c>
      <c r="D1474">
        <v>4.7043576055990526</v>
      </c>
      <c r="E1474">
        <v>5.6840155022088394</v>
      </c>
      <c r="F1474">
        <v>26.03508536046574</v>
      </c>
      <c r="G1474">
        <v>20.640041054376251</v>
      </c>
      <c r="H1474">
        <v>26.287314562995959</v>
      </c>
      <c r="I1474">
        <v>1790.799885037595</v>
      </c>
      <c r="J1474">
        <v>20</v>
      </c>
      <c r="K1474" t="s">
        <v>66</v>
      </c>
    </row>
    <row r="1475" spans="1:11" x14ac:dyDescent="0.3">
      <c r="A1475">
        <v>35.993639332740919</v>
      </c>
      <c r="B1475">
        <v>0.87674766852314912</v>
      </c>
      <c r="C1475">
        <v>1.8066824218029369</v>
      </c>
      <c r="D1475">
        <v>4.5829075756336879</v>
      </c>
      <c r="E1475">
        <v>6.5676940849584557</v>
      </c>
      <c r="F1475">
        <v>22.28840539170405</v>
      </c>
      <c r="G1475">
        <v>25.15271485198878</v>
      </c>
      <c r="H1475">
        <v>18.54192657456359</v>
      </c>
      <c r="I1475">
        <v>1245.1504550871559</v>
      </c>
      <c r="J1475">
        <v>45</v>
      </c>
      <c r="K1475" t="s">
        <v>66</v>
      </c>
    </row>
    <row r="1476" spans="1:11" x14ac:dyDescent="0.3">
      <c r="A1476">
        <v>911.41898998751196</v>
      </c>
      <c r="B1476">
        <v>47</v>
      </c>
      <c r="C1476">
        <v>64.551110222198716</v>
      </c>
      <c r="D1476">
        <v>122.89992651734229</v>
      </c>
      <c r="E1476">
        <v>5.3775811953388439</v>
      </c>
      <c r="F1476">
        <v>26.715591636848821</v>
      </c>
      <c r="G1476">
        <v>19.46001443298336</v>
      </c>
      <c r="H1476">
        <v>22.03838413668954</v>
      </c>
      <c r="I1476">
        <v>1475.3802438883199</v>
      </c>
      <c r="J1476">
        <v>30</v>
      </c>
      <c r="K1476" t="s">
        <v>66</v>
      </c>
    </row>
    <row r="1477" spans="1:11" x14ac:dyDescent="0.3">
      <c r="A1477">
        <v>45</v>
      </c>
      <c r="B1477">
        <v>2</v>
      </c>
      <c r="C1477">
        <v>3</v>
      </c>
      <c r="D1477">
        <v>7</v>
      </c>
      <c r="E1477">
        <v>6.2</v>
      </c>
      <c r="F1477">
        <v>32.6</v>
      </c>
      <c r="G1477">
        <v>19.5</v>
      </c>
      <c r="H1477">
        <v>18</v>
      </c>
      <c r="I1477">
        <v>1900</v>
      </c>
      <c r="J1477">
        <v>20</v>
      </c>
      <c r="K1477" t="s">
        <v>67</v>
      </c>
    </row>
    <row r="1478" spans="1:11" x14ac:dyDescent="0.3">
      <c r="A1478">
        <v>12.75856343710273</v>
      </c>
      <c r="B1478">
        <v>0</v>
      </c>
      <c r="C1478">
        <v>0</v>
      </c>
      <c r="D1478">
        <v>1.723596486261513</v>
      </c>
      <c r="E1478">
        <v>5.297535140911056</v>
      </c>
      <c r="F1478">
        <v>28.44826299689062</v>
      </c>
      <c r="G1478">
        <v>19.810253960863069</v>
      </c>
      <c r="H1478">
        <v>26.2570901544177</v>
      </c>
      <c r="I1478">
        <v>2226.3858974666882</v>
      </c>
      <c r="J1478">
        <v>10</v>
      </c>
      <c r="K1478" t="s">
        <v>66</v>
      </c>
    </row>
    <row r="1479" spans="1:11" x14ac:dyDescent="0.3">
      <c r="A1479">
        <v>539.8627954978873</v>
      </c>
      <c r="B1479">
        <v>28.37065055376933</v>
      </c>
      <c r="C1479">
        <v>40.344443473035909</v>
      </c>
      <c r="D1479">
        <v>83.873668790387569</v>
      </c>
      <c r="E1479">
        <v>6.1512137008619563</v>
      </c>
      <c r="F1479">
        <v>79.605116422177304</v>
      </c>
      <c r="G1479">
        <v>31.02424675920161</v>
      </c>
      <c r="H1479">
        <v>29.781949263838101</v>
      </c>
      <c r="I1479">
        <v>11.06334231667412</v>
      </c>
      <c r="J1479">
        <v>0</v>
      </c>
      <c r="K1479" t="s">
        <v>66</v>
      </c>
    </row>
    <row r="1480" spans="1:11" x14ac:dyDescent="0.3">
      <c r="A1480">
        <v>6.9446972354973537</v>
      </c>
      <c r="B1480">
        <v>0</v>
      </c>
      <c r="C1480">
        <v>0</v>
      </c>
      <c r="D1480">
        <v>1.1090183471020449</v>
      </c>
      <c r="E1480">
        <v>6.4188855472804107</v>
      </c>
      <c r="F1480">
        <v>24.90530045168801</v>
      </c>
      <c r="G1480">
        <v>22.00355162898127</v>
      </c>
      <c r="H1480">
        <v>18.638553636228561</v>
      </c>
      <c r="I1480">
        <v>1556.007927395274</v>
      </c>
      <c r="J1480">
        <v>25</v>
      </c>
      <c r="K1480" t="s">
        <v>66</v>
      </c>
    </row>
    <row r="1481" spans="1:11" x14ac:dyDescent="0.3">
      <c r="A1481">
        <v>48.724300559566721</v>
      </c>
      <c r="B1481">
        <v>2.021881694366594</v>
      </c>
      <c r="C1481">
        <v>2.924171023471144</v>
      </c>
      <c r="D1481">
        <v>7.0451541810038014</v>
      </c>
      <c r="E1481">
        <v>7.4471868378819179</v>
      </c>
      <c r="F1481">
        <v>44.815669921472903</v>
      </c>
      <c r="G1481">
        <v>29.960535218718441</v>
      </c>
      <c r="H1481">
        <v>22.361376281311571</v>
      </c>
      <c r="I1481">
        <v>1327.1930419996941</v>
      </c>
      <c r="J1481">
        <v>25</v>
      </c>
      <c r="K1481" t="s">
        <v>66</v>
      </c>
    </row>
    <row r="1482" spans="1:11" x14ac:dyDescent="0.3">
      <c r="A1482">
        <v>58.905102473709753</v>
      </c>
      <c r="B1482">
        <v>2.9296776599051029</v>
      </c>
      <c r="C1482">
        <v>4.1794543058058107</v>
      </c>
      <c r="D1482">
        <v>10.716589339759651</v>
      </c>
      <c r="E1482">
        <v>6.1916634419076786</v>
      </c>
      <c r="F1482">
        <v>18.778663638707862</v>
      </c>
      <c r="G1482">
        <v>22.9599098295296</v>
      </c>
      <c r="H1482">
        <v>22.27121806273961</v>
      </c>
      <c r="I1482">
        <v>1593.0118701411579</v>
      </c>
      <c r="J1482">
        <v>30</v>
      </c>
      <c r="K1482" t="s">
        <v>66</v>
      </c>
    </row>
    <row r="1483" spans="1:11" x14ac:dyDescent="0.3">
      <c r="A1483">
        <v>15</v>
      </c>
      <c r="B1483">
        <v>0</v>
      </c>
      <c r="C1483">
        <v>1</v>
      </c>
      <c r="D1483">
        <v>2</v>
      </c>
      <c r="E1483">
        <v>6.1</v>
      </c>
      <c r="F1483">
        <v>36.6</v>
      </c>
      <c r="G1483">
        <v>23.6</v>
      </c>
      <c r="H1483">
        <v>27.1</v>
      </c>
      <c r="I1483">
        <v>1485</v>
      </c>
      <c r="J1483">
        <v>18</v>
      </c>
      <c r="K1483" t="s">
        <v>67</v>
      </c>
    </row>
    <row r="1484" spans="1:11" x14ac:dyDescent="0.3">
      <c r="A1484">
        <v>66</v>
      </c>
      <c r="B1484">
        <v>3</v>
      </c>
      <c r="C1484">
        <v>4</v>
      </c>
      <c r="D1484">
        <v>10</v>
      </c>
      <c r="E1484">
        <v>6.1</v>
      </c>
      <c r="F1484">
        <v>36.700000000000003</v>
      </c>
      <c r="G1484">
        <v>20.5</v>
      </c>
      <c r="H1484">
        <v>28.7</v>
      </c>
      <c r="I1484">
        <v>2074</v>
      </c>
      <c r="J1484">
        <v>25</v>
      </c>
      <c r="K1484" t="s">
        <v>67</v>
      </c>
    </row>
    <row r="1485" spans="1:11" x14ac:dyDescent="0.3">
      <c r="A1485">
        <v>25.163426300505819</v>
      </c>
      <c r="B1485">
        <v>0.81302583003045792</v>
      </c>
      <c r="C1485">
        <v>0.93207693468070452</v>
      </c>
      <c r="D1485">
        <v>3.7580372944287301</v>
      </c>
      <c r="E1485">
        <v>6.7619131465973128</v>
      </c>
      <c r="F1485">
        <v>55.654748241599492</v>
      </c>
      <c r="G1485">
        <v>20.6851776778139</v>
      </c>
      <c r="H1485">
        <v>20.437043990173851</v>
      </c>
      <c r="I1485">
        <v>1285.732630248606</v>
      </c>
      <c r="J1485">
        <v>18</v>
      </c>
      <c r="K1485" t="s">
        <v>66</v>
      </c>
    </row>
    <row r="1486" spans="1:11" x14ac:dyDescent="0.3">
      <c r="A1486">
        <v>49.683535697448313</v>
      </c>
      <c r="B1486">
        <v>1.987599198126794</v>
      </c>
      <c r="C1486">
        <v>2.9182365835914572</v>
      </c>
      <c r="D1486">
        <v>8.0730113489454176</v>
      </c>
      <c r="E1486">
        <v>5.2650620166391713</v>
      </c>
      <c r="F1486">
        <v>17.441431405200479</v>
      </c>
      <c r="G1486">
        <v>24.193533910952009</v>
      </c>
      <c r="H1486">
        <v>28.096295764795659</v>
      </c>
      <c r="I1486">
        <v>1626.365905214391</v>
      </c>
      <c r="J1486">
        <v>18</v>
      </c>
      <c r="K1486" t="s">
        <v>66</v>
      </c>
    </row>
    <row r="1487" spans="1:11" x14ac:dyDescent="0.3">
      <c r="A1487">
        <v>48.879229341654977</v>
      </c>
      <c r="B1487">
        <v>2.200116463608595</v>
      </c>
      <c r="C1487">
        <v>3.0525860336801771</v>
      </c>
      <c r="D1487">
        <v>8.1606760744925673</v>
      </c>
      <c r="E1487">
        <v>6.6021284720028621</v>
      </c>
      <c r="F1487">
        <v>21.926516944279481</v>
      </c>
      <c r="G1487">
        <v>23.56672557175439</v>
      </c>
      <c r="H1487">
        <v>20.974776559261709</v>
      </c>
      <c r="I1487">
        <v>1743.108269363885</v>
      </c>
      <c r="J1487">
        <v>25</v>
      </c>
      <c r="K1487" t="s">
        <v>66</v>
      </c>
    </row>
    <row r="1488" spans="1:11" x14ac:dyDescent="0.3">
      <c r="A1488">
        <v>98.857685523111996</v>
      </c>
      <c r="B1488">
        <v>3.9622165142231989</v>
      </c>
      <c r="C1488">
        <v>6.3997618032261139</v>
      </c>
      <c r="D1488">
        <v>12.26457678246496</v>
      </c>
      <c r="E1488">
        <v>6.0441858983427661</v>
      </c>
      <c r="F1488">
        <v>32.145347407840887</v>
      </c>
      <c r="G1488">
        <v>20.645193515090671</v>
      </c>
      <c r="H1488">
        <v>19.291060052538551</v>
      </c>
      <c r="I1488">
        <v>1533.403780278476</v>
      </c>
      <c r="J1488">
        <v>40</v>
      </c>
      <c r="K1488" t="s">
        <v>66</v>
      </c>
    </row>
    <row r="1489" spans="1:11" x14ac:dyDescent="0.3">
      <c r="A1489">
        <v>77.42698477388528</v>
      </c>
      <c r="B1489">
        <v>2.8043733334220819</v>
      </c>
      <c r="C1489">
        <v>4.4541874139204491</v>
      </c>
      <c r="D1489">
        <v>9.8472946641696435</v>
      </c>
      <c r="E1489">
        <v>6.7682261100760552</v>
      </c>
      <c r="F1489">
        <v>15.9373234767734</v>
      </c>
      <c r="G1489">
        <v>26.23011742792492</v>
      </c>
      <c r="H1489">
        <v>25.40492083942295</v>
      </c>
      <c r="I1489">
        <v>655.38971763299287</v>
      </c>
      <c r="J1489">
        <v>25</v>
      </c>
      <c r="K1489" t="s">
        <v>66</v>
      </c>
    </row>
    <row r="1490" spans="1:11" x14ac:dyDescent="0.3">
      <c r="A1490">
        <v>20.619019511538362</v>
      </c>
      <c r="B1490">
        <v>0.98256457420971643</v>
      </c>
      <c r="C1490">
        <v>1.029964768783735</v>
      </c>
      <c r="D1490">
        <v>3.3384719349806509</v>
      </c>
      <c r="E1490">
        <v>6.3685529023212357</v>
      </c>
      <c r="F1490">
        <v>29.056505318345572</v>
      </c>
      <c r="G1490">
        <v>22.913215842567549</v>
      </c>
      <c r="H1490">
        <v>19.812975444519669</v>
      </c>
      <c r="I1490">
        <v>1232.212472843785</v>
      </c>
      <c r="J1490">
        <v>30</v>
      </c>
      <c r="K1490" t="s">
        <v>66</v>
      </c>
    </row>
    <row r="1491" spans="1:11" x14ac:dyDescent="0.3">
      <c r="A1491">
        <v>68.507345245016069</v>
      </c>
      <c r="B1491">
        <v>3.3003138277701418</v>
      </c>
      <c r="C1491">
        <v>4.5101393876415967</v>
      </c>
      <c r="D1491">
        <v>12.598031099638799</v>
      </c>
      <c r="E1491">
        <v>6.0740723738630384</v>
      </c>
      <c r="F1491">
        <v>68.181108146631374</v>
      </c>
      <c r="G1491">
        <v>19.675951664667139</v>
      </c>
      <c r="H1491">
        <v>21.85942638612044</v>
      </c>
      <c r="I1491">
        <v>1511.292298248683</v>
      </c>
      <c r="J1491">
        <v>18</v>
      </c>
      <c r="K1491" t="s">
        <v>66</v>
      </c>
    </row>
    <row r="1492" spans="1:11" x14ac:dyDescent="0.3">
      <c r="A1492">
        <v>18.035981105841781</v>
      </c>
      <c r="B1492">
        <v>0</v>
      </c>
      <c r="C1492">
        <v>1.116283857753499</v>
      </c>
      <c r="D1492">
        <v>3.1358269056230079</v>
      </c>
      <c r="E1492">
        <v>5.566565875787421</v>
      </c>
      <c r="F1492">
        <v>26.325146594584499</v>
      </c>
      <c r="G1492">
        <v>20.532512488695311</v>
      </c>
      <c r="H1492">
        <v>22.655711496594432</v>
      </c>
      <c r="I1492">
        <v>2062.4525740748318</v>
      </c>
      <c r="J1492">
        <v>13</v>
      </c>
      <c r="K1492" t="s">
        <v>66</v>
      </c>
    </row>
    <row r="1493" spans="1:11" x14ac:dyDescent="0.3">
      <c r="A1493">
        <v>23.048552601285191</v>
      </c>
      <c r="B1493">
        <v>0.94172413423884183</v>
      </c>
      <c r="C1493">
        <v>1.0072874098015521</v>
      </c>
      <c r="D1493">
        <v>3.124747988836603</v>
      </c>
      <c r="E1493">
        <v>5.6385779052782548</v>
      </c>
      <c r="F1493">
        <v>22.845466366808122</v>
      </c>
      <c r="G1493">
        <v>20.174421737501081</v>
      </c>
      <c r="H1493">
        <v>19.876330426802589</v>
      </c>
      <c r="I1493">
        <v>1941.938008263334</v>
      </c>
      <c r="J1493">
        <v>12</v>
      </c>
      <c r="K1493" t="s">
        <v>66</v>
      </c>
    </row>
    <row r="1494" spans="1:11" x14ac:dyDescent="0.3">
      <c r="A1494">
        <v>53.527608656922403</v>
      </c>
      <c r="B1494">
        <v>1.8538087448569049</v>
      </c>
      <c r="C1494">
        <v>3.1489200353201818</v>
      </c>
      <c r="D1494">
        <v>8.3080222534141015</v>
      </c>
      <c r="E1494">
        <v>6.0229885813786339</v>
      </c>
      <c r="F1494">
        <v>24.69064651621493</v>
      </c>
      <c r="G1494">
        <v>17.205007961055909</v>
      </c>
      <c r="H1494">
        <v>21.20086756412967</v>
      </c>
      <c r="I1494">
        <v>1724.5860940251109</v>
      </c>
      <c r="J1494">
        <v>25</v>
      </c>
      <c r="K1494" t="s">
        <v>66</v>
      </c>
    </row>
    <row r="1495" spans="1:11" x14ac:dyDescent="0.3">
      <c r="A1495">
        <v>17.277950457700541</v>
      </c>
      <c r="B1495">
        <v>0</v>
      </c>
      <c r="C1495">
        <v>1.0257975981221179</v>
      </c>
      <c r="D1495">
        <v>2.2244748437406319</v>
      </c>
      <c r="E1495">
        <v>5.4804758927848276</v>
      </c>
      <c r="F1495">
        <v>20.974921672432451</v>
      </c>
      <c r="G1495">
        <v>21.00296192689526</v>
      </c>
      <c r="H1495">
        <v>26.89300370737071</v>
      </c>
      <c r="I1495">
        <v>2210.4076831239158</v>
      </c>
      <c r="J1495">
        <v>10</v>
      </c>
      <c r="K1495" t="s">
        <v>66</v>
      </c>
    </row>
    <row r="1496" spans="1:11" x14ac:dyDescent="0.3">
      <c r="A1496">
        <v>40.315898009724883</v>
      </c>
      <c r="B1496">
        <v>0.91681777917695551</v>
      </c>
      <c r="C1496">
        <v>2.0558535676433052</v>
      </c>
      <c r="D1496">
        <v>6.0276038320418044</v>
      </c>
      <c r="E1496">
        <v>6.4723798738386771</v>
      </c>
      <c r="F1496">
        <v>27.819325004600991</v>
      </c>
      <c r="G1496">
        <v>18.096347053027749</v>
      </c>
      <c r="H1496">
        <v>24.651933196537769</v>
      </c>
      <c r="I1496">
        <v>1414.891566079172</v>
      </c>
      <c r="J1496">
        <v>30</v>
      </c>
      <c r="K1496" t="s">
        <v>66</v>
      </c>
    </row>
    <row r="1497" spans="1:11" x14ac:dyDescent="0.3">
      <c r="A1497">
        <v>333.93850077112751</v>
      </c>
      <c r="B1497">
        <v>16.669437153421889</v>
      </c>
      <c r="C1497">
        <v>26.048493850918678</v>
      </c>
      <c r="D1497">
        <v>56.724741798177909</v>
      </c>
      <c r="E1497">
        <v>4.3019849366697356</v>
      </c>
      <c r="F1497">
        <v>57.792418789186712</v>
      </c>
      <c r="G1497">
        <v>30.388369894794021</v>
      </c>
      <c r="H1497">
        <v>32.287930117228463</v>
      </c>
      <c r="I1497">
        <v>14.16788201578785</v>
      </c>
      <c r="J1497">
        <v>0</v>
      </c>
      <c r="K1497" t="s">
        <v>66</v>
      </c>
    </row>
    <row r="1498" spans="1:11" x14ac:dyDescent="0.3">
      <c r="A1498">
        <v>6.9268418599498913</v>
      </c>
      <c r="B1498">
        <v>0</v>
      </c>
      <c r="C1498">
        <v>0</v>
      </c>
      <c r="D1498">
        <v>1.0505557853215011</v>
      </c>
      <c r="E1498">
        <v>6.2482135448727014</v>
      </c>
      <c r="F1498">
        <v>23.60166721232283</v>
      </c>
      <c r="G1498">
        <v>19.170729097647421</v>
      </c>
      <c r="H1498">
        <v>16</v>
      </c>
      <c r="I1498">
        <v>1770.264853110745</v>
      </c>
      <c r="J1498">
        <v>30</v>
      </c>
      <c r="K1498" t="s">
        <v>66</v>
      </c>
    </row>
    <row r="1499" spans="1:11" x14ac:dyDescent="0.3">
      <c r="A1499">
        <v>56.783698710739067</v>
      </c>
      <c r="B1499">
        <v>2.259398909312222</v>
      </c>
      <c r="C1499">
        <v>2.7251177698308831</v>
      </c>
      <c r="D1499">
        <v>8.5059633733138398</v>
      </c>
      <c r="E1499">
        <v>5.3871311071384813</v>
      </c>
      <c r="F1499">
        <v>20.91526847286087</v>
      </c>
      <c r="G1499">
        <v>21.691920222499569</v>
      </c>
      <c r="H1499">
        <v>30.109536850404659</v>
      </c>
      <c r="I1499">
        <v>1747.749472865007</v>
      </c>
      <c r="J1499">
        <v>15</v>
      </c>
      <c r="K1499" t="s">
        <v>66</v>
      </c>
    </row>
    <row r="1500" spans="1:11" x14ac:dyDescent="0.3">
      <c r="A1500">
        <v>796.65613693544526</v>
      </c>
      <c r="B1500">
        <v>34.235078359910837</v>
      </c>
      <c r="C1500">
        <v>67</v>
      </c>
      <c r="D1500">
        <v>153</v>
      </c>
      <c r="E1500">
        <v>5.358363418798163</v>
      </c>
      <c r="F1500">
        <v>46.749352185353743</v>
      </c>
      <c r="G1500">
        <v>19.578090181722221</v>
      </c>
      <c r="H1500">
        <v>21.619520746268432</v>
      </c>
      <c r="I1500">
        <v>1455.3762392074591</v>
      </c>
      <c r="J1500">
        <v>30</v>
      </c>
      <c r="K1500" t="s">
        <v>66</v>
      </c>
    </row>
    <row r="1501" spans="1:11" x14ac:dyDescent="0.3">
      <c r="A1501">
        <v>24.91229286067669</v>
      </c>
      <c r="B1501">
        <v>1.0207267329398939</v>
      </c>
      <c r="C1501">
        <v>0.95117261575484557</v>
      </c>
      <c r="D1501">
        <v>4.15614647775815</v>
      </c>
      <c r="E1501">
        <v>6.1195992927230796</v>
      </c>
      <c r="F1501">
        <v>45.196590220829918</v>
      </c>
      <c r="G1501">
        <v>23.260059959567549</v>
      </c>
      <c r="H1501">
        <v>20.992265783893629</v>
      </c>
      <c r="I1501">
        <v>1629.069133944339</v>
      </c>
      <c r="J1501">
        <v>25</v>
      </c>
      <c r="K1501" t="s">
        <v>66</v>
      </c>
    </row>
    <row r="1502" spans="1:11" x14ac:dyDescent="0.3">
      <c r="A1502">
        <v>78.074257553913199</v>
      </c>
      <c r="B1502">
        <v>2.9415908111649949</v>
      </c>
      <c r="C1502">
        <v>5.2504157955021054</v>
      </c>
      <c r="D1502">
        <v>10.98177474919523</v>
      </c>
      <c r="E1502">
        <v>6.4020634320517704</v>
      </c>
      <c r="F1502">
        <v>65.00504286401754</v>
      </c>
      <c r="G1502">
        <v>21.520415220796728</v>
      </c>
      <c r="H1502">
        <v>20.839397998669419</v>
      </c>
      <c r="I1502">
        <v>1509.2017780215281</v>
      </c>
      <c r="J1502">
        <v>18</v>
      </c>
      <c r="K1502" t="s">
        <v>66</v>
      </c>
    </row>
    <row r="1503" spans="1:11" x14ac:dyDescent="0.3">
      <c r="A1503">
        <v>67</v>
      </c>
      <c r="B1503">
        <v>3</v>
      </c>
      <c r="C1503">
        <v>4</v>
      </c>
      <c r="D1503">
        <v>10</v>
      </c>
      <c r="E1503">
        <v>5.8</v>
      </c>
      <c r="F1503">
        <v>31.2</v>
      </c>
      <c r="G1503">
        <v>20</v>
      </c>
      <c r="H1503">
        <v>20</v>
      </c>
      <c r="I1503">
        <v>1535</v>
      </c>
      <c r="J1503">
        <v>25</v>
      </c>
      <c r="K1503" t="s">
        <v>67</v>
      </c>
    </row>
    <row r="1504" spans="1:11" x14ac:dyDescent="0.3">
      <c r="A1504">
        <v>74</v>
      </c>
      <c r="B1504">
        <v>3</v>
      </c>
      <c r="C1504">
        <v>5</v>
      </c>
      <c r="D1504">
        <v>12</v>
      </c>
      <c r="E1504">
        <v>6.2</v>
      </c>
      <c r="F1504">
        <v>34.5</v>
      </c>
      <c r="G1504">
        <v>26.2</v>
      </c>
      <c r="H1504">
        <v>22</v>
      </c>
      <c r="I1504">
        <v>1349</v>
      </c>
      <c r="J1504">
        <v>25</v>
      </c>
      <c r="K1504" t="s">
        <v>67</v>
      </c>
    </row>
    <row r="1505" spans="1:11" x14ac:dyDescent="0.3">
      <c r="A1505">
        <v>31.370657900276221</v>
      </c>
      <c r="B1505">
        <v>1.0547264797377971</v>
      </c>
      <c r="C1505">
        <v>1.9725378068422239</v>
      </c>
      <c r="D1505">
        <v>4.0172163483401553</v>
      </c>
      <c r="E1505">
        <v>6.2510821718836649</v>
      </c>
      <c r="F1505">
        <v>22.077377413710732</v>
      </c>
      <c r="G1505">
        <v>23.523839882153929</v>
      </c>
      <c r="H1505">
        <v>19.41361069020153</v>
      </c>
      <c r="I1505">
        <v>1811.6467170562271</v>
      </c>
      <c r="J1505">
        <v>40</v>
      </c>
      <c r="K1505" t="s">
        <v>66</v>
      </c>
    </row>
    <row r="1506" spans="1:11" x14ac:dyDescent="0.3">
      <c r="A1506">
        <v>94.685661857448366</v>
      </c>
      <c r="B1506">
        <v>3.4764718403523549</v>
      </c>
      <c r="C1506">
        <v>6.4465114261890211</v>
      </c>
      <c r="D1506">
        <v>14.916203437947869</v>
      </c>
      <c r="E1506">
        <v>6.4687466692751157</v>
      </c>
      <c r="F1506">
        <v>13.9</v>
      </c>
      <c r="G1506">
        <v>31.731192726521961</v>
      </c>
      <c r="H1506">
        <v>31.07248168579914</v>
      </c>
      <c r="I1506">
        <v>48.696566568463027</v>
      </c>
      <c r="J1506">
        <v>0</v>
      </c>
      <c r="K1506" t="s">
        <v>66</v>
      </c>
    </row>
    <row r="1507" spans="1:11" x14ac:dyDescent="0.3">
      <c r="A1507">
        <v>108</v>
      </c>
      <c r="B1507">
        <v>5</v>
      </c>
      <c r="C1507">
        <v>7</v>
      </c>
      <c r="D1507">
        <v>17</v>
      </c>
      <c r="E1507">
        <v>5.8</v>
      </c>
      <c r="F1507">
        <v>41.8</v>
      </c>
      <c r="G1507">
        <v>24.2</v>
      </c>
      <c r="H1507">
        <v>19</v>
      </c>
      <c r="I1507">
        <v>2077</v>
      </c>
      <c r="J1507">
        <v>20</v>
      </c>
      <c r="K1507" t="s">
        <v>67</v>
      </c>
    </row>
    <row r="1508" spans="1:11" x14ac:dyDescent="0.3">
      <c r="A1508">
        <v>93.852540326683339</v>
      </c>
      <c r="B1508">
        <v>4.2064713148459836</v>
      </c>
      <c r="C1508">
        <v>6.6042800018838959</v>
      </c>
      <c r="D1508">
        <v>13.291647321417001</v>
      </c>
      <c r="E1508">
        <v>5.9193002215961501</v>
      </c>
      <c r="F1508">
        <v>30.646195472539311</v>
      </c>
      <c r="G1508">
        <v>19.614120193489128</v>
      </c>
      <c r="H1508">
        <v>18.963023278599589</v>
      </c>
      <c r="I1508">
        <v>2138.0519235537131</v>
      </c>
      <c r="J1508">
        <v>20</v>
      </c>
      <c r="K1508" t="s">
        <v>66</v>
      </c>
    </row>
  </sheetData>
  <autoFilter ref="J1:J1772" xr:uid="{44DB200F-9EC1-4D1A-AD07-32553A2D72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Data_All</vt:lpstr>
      <vt:lpstr>Data_Tekstur</vt:lpstr>
      <vt:lpstr>Data_Cocok_Produktivitas</vt:lpstr>
      <vt:lpstr>Data_NPK_Lab_100</vt:lpstr>
      <vt:lpstr>Data_All_TempTime</vt:lpstr>
      <vt:lpstr>Train</vt:lpstr>
      <vt:lpstr>VALIDATE</vt:lpstr>
      <vt:lpstr>Test</vt:lpstr>
      <vt:lpstr>Train_Aug_Kesesuaian</vt:lpstr>
      <vt:lpstr>Train_Aug_Produktivitas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EKA WIJAYA SUBIANTO</dc:creator>
  <cp:lastModifiedBy>MUHAMMAD NABIL ARIFIANDI TAMBUNAN</cp:lastModifiedBy>
  <dcterms:created xsi:type="dcterms:W3CDTF">2025-10-09T05:19:50Z</dcterms:created>
  <dcterms:modified xsi:type="dcterms:W3CDTF">2026-06-16T04:45:08Z</dcterms:modified>
</cp:coreProperties>
</file>